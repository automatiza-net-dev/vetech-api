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DRE" sheetId="1" r:id="rId4"/>
    <sheet name="Grupos de Contas" sheetId="2" r:id="rId5"/>
  </sheets>
</workbook>
</file>

<file path=xl/sharedStrings.xml><?xml version="1.0" encoding="utf-8"?>
<sst xmlns="http://schemas.openxmlformats.org/spreadsheetml/2006/main" uniqueCount="139">
  <si>
    <t>Mês/Ano</t>
  </si>
  <si>
    <t xml:space="preserve">DRE </t>
  </si>
  <si>
    <t>R$</t>
  </si>
  <si>
    <t>%</t>
  </si>
  <si>
    <t>REALIZADO</t>
  </si>
  <si>
    <t>RECEITA OPERACIONAL BRUTA</t>
  </si>
  <si>
    <t>Recebimento dos serviços prestados</t>
  </si>
  <si>
    <t>Recebimento de Outras receitas</t>
  </si>
  <si>
    <t>(-) DEDUÇÕES</t>
  </si>
  <si>
    <t>Devoluções e Cancelamentos</t>
  </si>
  <si>
    <t>(-) Cheques Devolvidos</t>
  </si>
  <si>
    <t>(-) Créditos Perdidos</t>
  </si>
  <si>
    <t>(-) Devoluções a Clientes</t>
  </si>
  <si>
    <t>(-) Cancelamento de Vendas</t>
  </si>
  <si>
    <t>Impostos</t>
  </si>
  <si>
    <t>(-) Darf Cofins</t>
  </si>
  <si>
    <t>(-) Darf Pis</t>
  </si>
  <si>
    <t>(-) Das Simples Nacional</t>
  </si>
  <si>
    <t>(-) Issqn Prefeitura</t>
  </si>
  <si>
    <t>RECEITA OPERACIONAL LÍQUIDA</t>
  </si>
  <si>
    <t>(-) CUSTOS</t>
  </si>
  <si>
    <t>(-) Custos Dos Materiais</t>
  </si>
  <si>
    <t>(-) Compras De Materiais (consumo)</t>
  </si>
  <si>
    <t>(-) Compras De Materiais (revenda)</t>
  </si>
  <si>
    <t>(-) Exames - Laboratório</t>
  </si>
  <si>
    <t>(-) Fretes Sobre Compras</t>
  </si>
  <si>
    <t>(-) Custos Da Mão-de-obra Direta</t>
  </si>
  <si>
    <t>(-) Salários Dos Veterinários</t>
  </si>
  <si>
    <t>LUCRO BRUTO</t>
  </si>
  <si>
    <t>(-) Despesas Variáveis</t>
  </si>
  <si>
    <t>(-) Despesas Comerciais</t>
  </si>
  <si>
    <t>(-) Bonificação</t>
  </si>
  <si>
    <t>(-) Royalties</t>
  </si>
  <si>
    <t>(-) Fundo Nacional de Propaganda</t>
  </si>
  <si>
    <t>(-) Marketing E Propaganda</t>
  </si>
  <si>
    <t>MARGEM DE CONTRIBUIÇÃO</t>
  </si>
  <si>
    <t>(-) DESPESAS FIXAS</t>
  </si>
  <si>
    <t>(-) Despesas Administrativas</t>
  </si>
  <si>
    <t>(-) Aluguel</t>
  </si>
  <si>
    <t>(-) Brindes / Prêmios</t>
  </si>
  <si>
    <t>(-) Cartórios E Protestos</t>
  </si>
  <si>
    <t>(-) Confraternizações</t>
  </si>
  <si>
    <t>(-) Consultorias</t>
  </si>
  <si>
    <t>(-) Contador</t>
  </si>
  <si>
    <t>(-) Estacionamento</t>
  </si>
  <si>
    <t>(-) Correio</t>
  </si>
  <si>
    <t>(-) Honorários De Advogados</t>
  </si>
  <si>
    <t>(-) Impressos E Materiais Gráficos</t>
  </si>
  <si>
    <t>(-) Internet</t>
  </si>
  <si>
    <t>(-) Lanches E Refeições</t>
  </si>
  <si>
    <t>(-) Manutenção De Instalações</t>
  </si>
  <si>
    <t>(-) Material De Consumo</t>
  </si>
  <si>
    <t>(-) Material De Escritório</t>
  </si>
  <si>
    <t>(-) Material De Limpeza</t>
  </si>
  <si>
    <t>(-) Mensalidade De Software</t>
  </si>
  <si>
    <t>(-) Monitoramento E Segurança</t>
  </si>
  <si>
    <t>(-) Pró-labore Dos Sócios</t>
  </si>
  <si>
    <t>(-) Seguros</t>
  </si>
  <si>
    <t>(-) Serasa /scpc /associação Comercial / CRMV</t>
  </si>
  <si>
    <t>(-) Serviços De Terceiros</t>
  </si>
  <si>
    <t>(-) Telefone Fixo</t>
  </si>
  <si>
    <t>(-) Telefone Celular</t>
  </si>
  <si>
    <t>(-) Despesas Com Pessoal</t>
  </si>
  <si>
    <t>(-) 13 Salario</t>
  </si>
  <si>
    <t>(-) Cursos E Treinamentos</t>
  </si>
  <si>
    <t>(-) Exame Ocupacional</t>
  </si>
  <si>
    <t>(-) Férias</t>
  </si>
  <si>
    <t>(-) Gps Inss</t>
  </si>
  <si>
    <t>(-) Plano De Saúde</t>
  </si>
  <si>
    <t>(-) Prêmios Por Produtividade (funcionários)</t>
  </si>
  <si>
    <t>(-) Rescisões</t>
  </si>
  <si>
    <t>(-) Salários Dos Funcionários</t>
  </si>
  <si>
    <t>(-) Uniformes</t>
  </si>
  <si>
    <t>(-) Vale Alimentação</t>
  </si>
  <si>
    <t>(-) Vale Transporte</t>
  </si>
  <si>
    <t>(-) Ação Trabalhista</t>
  </si>
  <si>
    <t xml:space="preserve">(-) Fgts </t>
  </si>
  <si>
    <t>(-) Gastos Gerais Nos Serviços</t>
  </si>
  <si>
    <t>(-) Água E Esgoto</t>
  </si>
  <si>
    <t>(-) Energia Elétrica</t>
  </si>
  <si>
    <t>(-) Manutenção De Equipamentos</t>
  </si>
  <si>
    <t>(-) Despesas Tributárias</t>
  </si>
  <si>
    <t>(-) Contribuições Sindicais</t>
  </si>
  <si>
    <t>(-) Darf Contribuição Social - Csll</t>
  </si>
  <si>
    <t>(-) Darf Imposto De Renda - Irpj</t>
  </si>
  <si>
    <t>(-) Darf Irrf Sobre Aluguel/salários/outros</t>
  </si>
  <si>
    <t>(-) Impostos E Taxas</t>
  </si>
  <si>
    <t>(-) Iof</t>
  </si>
  <si>
    <t>(-) Iptu</t>
  </si>
  <si>
    <t>(-) Despesas Financeiras</t>
  </si>
  <si>
    <t>(-) Despesas Bancárias</t>
  </si>
  <si>
    <t>(-) Juros Pagos A Fornecedores</t>
  </si>
  <si>
    <t>(-) Juros Sobre Descontos Cheques/duplicatas/cartões</t>
  </si>
  <si>
    <t>(-) Taxas De Boletos Bancários</t>
  </si>
  <si>
    <t>(-) Taxa Administração Cartão Débito Ou Crédito</t>
  </si>
  <si>
    <t>EBTIDA</t>
  </si>
  <si>
    <t>RESULTADO FINANCEIRO</t>
  </si>
  <si>
    <t>(-) Juros De Financiamentos</t>
  </si>
  <si>
    <t>(-) Aplicações Financeiras</t>
  </si>
  <si>
    <t>Receitas Financeiras</t>
  </si>
  <si>
    <t>Descontos Obtidos</t>
  </si>
  <si>
    <t>Juros De Aplicações Financeiras</t>
  </si>
  <si>
    <t>Juros/multas Recebidos</t>
  </si>
  <si>
    <t>LUCRO OPERACIONAL</t>
  </si>
  <si>
    <t>Extra Operacional</t>
  </si>
  <si>
    <t>(-) Benfeitoria Em Imóveis De Terceiros</t>
  </si>
  <si>
    <t>(-) Imóveis</t>
  </si>
  <si>
    <t>(-) Equipamentos De Informática</t>
  </si>
  <si>
    <t>(-) Maquinas E Equipamentos</t>
  </si>
  <si>
    <t>(-) Móveis E Utensílios</t>
  </si>
  <si>
    <t>(-) Empréstimos De Capital De Giro</t>
  </si>
  <si>
    <t>(-) Financiamentos</t>
  </si>
  <si>
    <t>(-) Retiradas De Lucro</t>
  </si>
  <si>
    <t>(-) Taxa Antecipação de recebimento</t>
  </si>
  <si>
    <t>Aporte de capital</t>
  </si>
  <si>
    <t>Outras receitas da empresa</t>
  </si>
  <si>
    <t>LUCRO LÍQUIDO</t>
  </si>
  <si>
    <t>Ponto de Equilíbrio Operacional (Sem Result. Financ.)</t>
  </si>
  <si>
    <t>Ponto de Equilíbrio Geral</t>
  </si>
  <si>
    <t>Faturamento dos serviços prestados</t>
  </si>
  <si>
    <t>Outras receitas</t>
  </si>
  <si>
    <t>(-) Anestesista</t>
  </si>
  <si>
    <t>(-) Comissões Dos Vendedores</t>
  </si>
  <si>
    <t>(-) Combustível</t>
  </si>
  <si>
    <t>(-) Condomínio</t>
  </si>
  <si>
    <t>(-) Cópias E Fotocópias</t>
  </si>
  <si>
    <t>(-) Doações</t>
  </si>
  <si>
    <t>(-) Jornais E Revistas</t>
  </si>
  <si>
    <t>(-) Farmácia / Medicamentos</t>
  </si>
  <si>
    <t>(-) Horas Extras</t>
  </si>
  <si>
    <t>(-) Vale Refeição</t>
  </si>
  <si>
    <t>(-) Compra De Epis/ Jalecos/ Instrumentais De Baixo Valor</t>
  </si>
  <si>
    <t>(-) Manutenção Equipamentos</t>
  </si>
  <si>
    <t>(-) Ipva</t>
  </si>
  <si>
    <t>(-) Terrenos</t>
  </si>
  <si>
    <t>(-) Consórcios Em Andamento</t>
  </si>
  <si>
    <t>(-) Veículos</t>
  </si>
  <si>
    <t>(-) Cotas De Empresas</t>
  </si>
  <si>
    <t>(-) Participação Em Cooperativas De Crédito</t>
  </si>
</sst>
</file>

<file path=xl/styles.xml><?xml version="1.0" encoding="utf-8"?>
<styleSheet xmlns="http://schemas.openxmlformats.org/spreadsheetml/2006/main">
  <numFmts count="7">
    <numFmt numFmtId="0" formatCode="General"/>
    <numFmt numFmtId="59" formatCode="&quot; &quot;* #,##0.00&quot; &quot;;&quot;-&quot;* #,##0.00&quot; &quot;;&quot; &quot;* &quot;-&quot;??&quot; &quot;"/>
    <numFmt numFmtId="60" formatCode="&quot; &quot;* #,##0&quot; &quot;;&quot; &quot;* (#,##0);&quot; &quot;* &quot;-&quot;??&quot; &quot;"/>
    <numFmt numFmtId="61" formatCode="dd/mm/yy"/>
    <numFmt numFmtId="62" formatCode="&quot; &quot;* #,##0.00&quot; &quot;;&quot; &quot;* (#,##0.00);&quot; &quot;* &quot;-&quot;??&quot; &quot;"/>
    <numFmt numFmtId="63" formatCode="0.0%"/>
    <numFmt numFmtId="64" formatCode="&quot; &quot;* #,##0&quot; &quot;;&quot;-&quot;* #,##0&quot; &quot;;&quot; &quot;* &quot;-&quot;??&quot; &quot;"/>
  </numFmts>
  <fonts count="14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u val="single"/>
      <sz val="10"/>
      <color indexed="8"/>
      <name val="Calibri"/>
    </font>
    <font>
      <b val="1"/>
      <sz val="10"/>
      <color indexed="8"/>
      <name val="Calibri"/>
    </font>
    <font>
      <sz val="10"/>
      <color indexed="8"/>
      <name val="Calibri"/>
    </font>
    <font>
      <b val="1"/>
      <sz val="10"/>
      <color indexed="9"/>
      <name val="Calibri"/>
    </font>
    <font>
      <b val="1"/>
      <sz val="10"/>
      <color indexed="12"/>
      <name val="Calibri"/>
    </font>
    <font>
      <b val="1"/>
      <sz val="10"/>
      <color indexed="13"/>
      <name val="Calibri"/>
    </font>
    <font>
      <sz val="10"/>
      <color indexed="13"/>
      <name val="Calibri"/>
    </font>
    <font>
      <b val="1"/>
      <sz val="16"/>
      <color indexed="8"/>
      <name val="Calibri"/>
    </font>
    <font>
      <b val="1"/>
      <sz val="14"/>
      <color indexed="9"/>
      <name val="Calibri"/>
    </font>
    <font>
      <b val="1"/>
      <sz val="11"/>
      <color indexed="13"/>
      <name val="Calibri"/>
    </font>
    <font>
      <sz val="11"/>
      <color indexed="13"/>
      <name val="Calibri"/>
    </font>
  </fonts>
  <fills count="8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8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15"/>
        <bgColor auto="1"/>
      </patternFill>
    </fill>
    <fill>
      <patternFill patternType="solid">
        <fgColor indexed="16"/>
        <bgColor auto="1"/>
      </patternFill>
    </fill>
    <fill>
      <patternFill patternType="solid">
        <fgColor indexed="19"/>
        <bgColor auto="1"/>
      </patternFill>
    </fill>
  </fills>
  <borders count="32">
    <border>
      <left/>
      <right/>
      <top/>
      <bottom/>
      <diagonal/>
    </border>
    <border>
      <left style="thin">
        <color indexed="10"/>
      </left>
      <right/>
      <top style="thin">
        <color indexed="10"/>
      </top>
      <bottom/>
      <diagonal/>
    </border>
    <border>
      <left/>
      <right/>
      <top style="thin">
        <color indexed="10"/>
      </top>
      <bottom/>
      <diagonal/>
    </border>
    <border>
      <left/>
      <right style="thin">
        <color indexed="10"/>
      </right>
      <top style="thin">
        <color indexed="10"/>
      </top>
      <bottom/>
      <diagonal/>
    </border>
    <border>
      <left style="thin">
        <color indexed="10"/>
      </left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indexed="11"/>
      </bottom>
      <diagonal/>
    </border>
    <border>
      <left/>
      <right style="thin">
        <color indexed="10"/>
      </right>
      <top/>
      <bottom style="medium">
        <color indexed="11"/>
      </bottom>
      <diagonal/>
    </border>
    <border>
      <left/>
      <right style="medium">
        <color indexed="11"/>
      </right>
      <top/>
      <bottom/>
      <diagonal/>
    </border>
    <border>
      <left style="medium">
        <color indexed="11"/>
      </left>
      <right/>
      <top style="medium">
        <color indexed="11"/>
      </top>
      <bottom/>
      <diagonal/>
    </border>
    <border>
      <left/>
      <right style="medium">
        <color indexed="11"/>
      </right>
      <top style="medium">
        <color indexed="11"/>
      </top>
      <bottom/>
      <diagonal/>
    </border>
    <border>
      <left/>
      <right style="thin">
        <color indexed="10"/>
      </right>
      <top/>
      <bottom/>
      <diagonal/>
    </border>
    <border>
      <left style="thin">
        <color indexed="10"/>
      </left>
      <right style="medium">
        <color indexed="11"/>
      </right>
      <top/>
      <bottom/>
      <diagonal/>
    </border>
    <border>
      <left style="medium">
        <color indexed="11"/>
      </left>
      <right/>
      <top/>
      <bottom style="medium">
        <color indexed="11"/>
      </bottom>
      <diagonal/>
    </border>
    <border>
      <left/>
      <right style="medium">
        <color indexed="11"/>
      </right>
      <top/>
      <bottom style="medium">
        <color indexed="11"/>
      </bottom>
      <diagonal/>
    </border>
    <border>
      <left style="medium">
        <color indexed="11"/>
      </left>
      <right style="medium">
        <color indexed="11"/>
      </right>
      <top style="medium">
        <color indexed="11"/>
      </top>
      <bottom style="medium">
        <color indexed="11"/>
      </bottom>
      <diagonal/>
    </border>
    <border>
      <left style="medium">
        <color indexed="11"/>
      </left>
      <right style="medium">
        <color indexed="11"/>
      </right>
      <top/>
      <bottom/>
      <diagonal/>
    </border>
    <border>
      <left style="medium">
        <color indexed="11"/>
      </left>
      <right/>
      <top style="medium">
        <color indexed="11"/>
      </top>
      <bottom style="medium">
        <color indexed="11"/>
      </bottom>
      <diagonal/>
    </border>
    <border>
      <left/>
      <right style="medium">
        <color indexed="11"/>
      </right>
      <top style="medium">
        <color indexed="11"/>
      </top>
      <bottom style="medium">
        <color indexed="11"/>
      </bottom>
      <diagonal/>
    </border>
    <border>
      <left/>
      <right/>
      <top style="medium">
        <color indexed="11"/>
      </top>
      <bottom style="medium">
        <color indexed="11"/>
      </bottom>
      <diagonal/>
    </border>
    <border>
      <left/>
      <right style="thin">
        <color indexed="10"/>
      </right>
      <top style="medium">
        <color indexed="11"/>
      </top>
      <bottom style="medium">
        <color indexed="11"/>
      </bottom>
      <diagonal/>
    </border>
    <border>
      <left style="medium">
        <color indexed="11"/>
      </left>
      <right style="medium">
        <color indexed="11"/>
      </right>
      <top/>
      <bottom style="medium">
        <color indexed="11"/>
      </bottom>
      <diagonal/>
    </border>
    <border>
      <left/>
      <right/>
      <top style="medium">
        <color indexed="11"/>
      </top>
      <bottom/>
      <diagonal/>
    </border>
    <border>
      <left style="thin">
        <color indexed="10"/>
      </left>
      <right/>
      <top/>
      <bottom style="thin">
        <color indexed="10"/>
      </bottom>
      <diagonal/>
    </border>
    <border>
      <left/>
      <right/>
      <top style="medium">
        <color indexed="11"/>
      </top>
      <bottom style="thin">
        <color indexed="10"/>
      </bottom>
      <diagonal/>
    </border>
    <border>
      <left/>
      <right/>
      <top/>
      <bottom style="thin">
        <color indexed="10"/>
      </bottom>
      <diagonal/>
    </border>
    <border>
      <left/>
      <right style="thin">
        <color indexed="10"/>
      </right>
      <top style="medium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/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medium">
        <color indexed="11"/>
      </top>
      <bottom style="medium">
        <color indexed="11"/>
      </bottom>
      <diagonal/>
    </border>
    <border>
      <left style="medium">
        <color indexed="11"/>
      </left>
      <right style="thin">
        <color indexed="10"/>
      </right>
      <top style="medium">
        <color indexed="11"/>
      </top>
      <bottom style="medium">
        <color indexed="11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79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3" fillId="2" borderId="1" applyNumberFormat="0" applyFont="1" applyFill="1" applyBorder="1" applyAlignment="1" applyProtection="0">
      <alignment vertical="bottom"/>
    </xf>
    <xf numFmtId="59" fontId="4" fillId="2" borderId="2" applyNumberFormat="1" applyFont="1" applyFill="1" applyBorder="1" applyAlignment="1" applyProtection="0">
      <alignment horizontal="center" vertical="center" wrapText="1"/>
    </xf>
    <xf numFmtId="0" fontId="0" fillId="2" borderId="2" applyNumberFormat="0" applyFont="1" applyFill="1" applyBorder="1" applyAlignment="1" applyProtection="0">
      <alignment vertical="bottom"/>
    </xf>
    <xf numFmtId="49" fontId="5" fillId="2" borderId="2" applyNumberFormat="1" applyFont="1" applyFill="1" applyBorder="1" applyAlignment="1" applyProtection="0">
      <alignment horizontal="center" vertical="bottom"/>
    </xf>
    <xf numFmtId="0" fontId="5" fillId="2" borderId="3" applyNumberFormat="0" applyFont="1" applyFill="1" applyBorder="1" applyAlignment="1" applyProtection="0">
      <alignment horizontal="center" vertical="bottom"/>
    </xf>
    <xf numFmtId="0" fontId="3" fillId="2" borderId="4" applyNumberFormat="0" applyFont="1" applyFill="1" applyBorder="1" applyAlignment="1" applyProtection="0">
      <alignment vertical="bottom"/>
    </xf>
    <xf numFmtId="49" fontId="4" fillId="2" borderId="5" applyNumberFormat="1" applyFont="1" applyFill="1" applyBorder="1" applyAlignment="1" applyProtection="0">
      <alignment horizontal="center" vertical="center" wrapText="1"/>
    </xf>
    <xf numFmtId="0" fontId="0" fillId="2" borderId="5" applyNumberFormat="0" applyFont="1" applyFill="1" applyBorder="1" applyAlignment="1" applyProtection="0">
      <alignment vertical="bottom"/>
    </xf>
    <xf numFmtId="0" fontId="5" fillId="2" borderId="6" applyNumberFormat="0" applyFont="1" applyFill="1" applyBorder="1" applyAlignment="1" applyProtection="0">
      <alignment horizontal="center" vertical="bottom"/>
    </xf>
    <xf numFmtId="60" fontId="5" fillId="2" borderId="7" applyNumberFormat="1" applyFont="1" applyFill="1" applyBorder="1" applyAlignment="1" applyProtection="0">
      <alignment horizontal="center" vertical="bottom"/>
    </xf>
    <xf numFmtId="0" fontId="0" fillId="2" borderId="4" applyNumberFormat="0" applyFont="1" applyFill="1" applyBorder="1" applyAlignment="1" applyProtection="0">
      <alignment vertical="bottom"/>
    </xf>
    <xf numFmtId="0" fontId="4" fillId="2" borderId="5" applyNumberFormat="0" applyFont="1" applyFill="1" applyBorder="1" applyAlignment="1" applyProtection="0">
      <alignment vertical="center" wrapText="1"/>
    </xf>
    <xf numFmtId="0" fontId="5" fillId="2" borderId="8" applyNumberFormat="0" applyFont="1" applyFill="1" applyBorder="1" applyAlignment="1" applyProtection="0">
      <alignment horizontal="center" vertical="bottom"/>
    </xf>
    <xf numFmtId="49" fontId="6" fillId="3" borderId="9" applyNumberFormat="1" applyFont="1" applyFill="1" applyBorder="1" applyAlignment="1" applyProtection="0">
      <alignment horizontal="center" vertical="center"/>
    </xf>
    <xf numFmtId="49" fontId="6" fillId="3" borderId="10" applyNumberFormat="1" applyFont="1" applyFill="1" applyBorder="1" applyAlignment="1" applyProtection="0">
      <alignment horizontal="center" vertical="center"/>
    </xf>
    <xf numFmtId="0" fontId="5" fillId="2" borderId="5" applyNumberFormat="0" applyFont="1" applyFill="1" applyBorder="1" applyAlignment="1" applyProtection="0">
      <alignment horizontal="center" vertical="bottom"/>
    </xf>
    <xf numFmtId="49" fontId="7" fillId="2" borderId="5" applyNumberFormat="1" applyFont="1" applyFill="1" applyBorder="1" applyAlignment="1" applyProtection="0">
      <alignment horizontal="center" vertical="center"/>
    </xf>
    <xf numFmtId="61" fontId="7" fillId="2" borderId="11" applyNumberFormat="1" applyFont="1" applyFill="1" applyBorder="1" applyAlignment="1" applyProtection="0">
      <alignment horizontal="center" vertical="center"/>
    </xf>
    <xf numFmtId="0" fontId="0" fillId="2" borderId="12" applyNumberFormat="0" applyFont="1" applyFill="1" applyBorder="1" applyAlignment="1" applyProtection="0">
      <alignment vertical="bottom"/>
    </xf>
    <xf numFmtId="49" fontId="6" fillId="3" borderId="13" applyNumberFormat="1" applyFont="1" applyFill="1" applyBorder="1" applyAlignment="1" applyProtection="0">
      <alignment vertical="center"/>
    </xf>
    <xf numFmtId="0" fontId="0" fillId="2" borderId="8" applyNumberFormat="0" applyFont="1" applyFill="1" applyBorder="1" applyAlignment="1" applyProtection="0">
      <alignment vertical="bottom"/>
    </xf>
    <xf numFmtId="62" fontId="6" fillId="3" borderId="13" applyNumberFormat="1" applyFont="1" applyFill="1" applyBorder="1" applyAlignment="1" applyProtection="0">
      <alignment vertical="center"/>
    </xf>
    <xf numFmtId="63" fontId="6" fillId="3" borderId="14" applyNumberFormat="1" applyFont="1" applyFill="1" applyBorder="1" applyAlignment="1" applyProtection="0">
      <alignment horizontal="center" vertical="center"/>
    </xf>
    <xf numFmtId="49" fontId="8" fillId="2" borderId="15" applyNumberFormat="1" applyFont="1" applyFill="1" applyBorder="1" applyAlignment="1" applyProtection="0">
      <alignment horizontal="left" vertical="center"/>
    </xf>
    <xf numFmtId="0" fontId="0" fillId="2" borderId="16" applyNumberFormat="0" applyFont="1" applyFill="1" applyBorder="1" applyAlignment="1" applyProtection="0">
      <alignment vertical="bottom"/>
    </xf>
    <xf numFmtId="62" fontId="8" fillId="2" borderId="17" applyNumberFormat="1" applyFont="1" applyFill="1" applyBorder="1" applyAlignment="1" applyProtection="0">
      <alignment vertical="center"/>
    </xf>
    <xf numFmtId="63" fontId="8" fillId="2" borderId="18" applyNumberFormat="1" applyFont="1" applyFill="1" applyBorder="1" applyAlignment="1" applyProtection="0">
      <alignment horizontal="center" vertical="center"/>
    </xf>
    <xf numFmtId="0" fontId="4" fillId="2" borderId="19" applyNumberFormat="0" applyFont="1" applyFill="1" applyBorder="1" applyAlignment="1" applyProtection="0">
      <alignment vertical="center" wrapText="1"/>
    </xf>
    <xf numFmtId="62" fontId="5" fillId="2" borderId="19" applyNumberFormat="1" applyFont="1" applyFill="1" applyBorder="1" applyAlignment="1" applyProtection="0">
      <alignment horizontal="center" vertical="center"/>
    </xf>
    <xf numFmtId="63" fontId="5" fillId="2" borderId="20" applyNumberFormat="1" applyFont="1" applyFill="1" applyBorder="1" applyAlignment="1" applyProtection="0">
      <alignment horizontal="center" vertical="center"/>
    </xf>
    <xf numFmtId="0" fontId="5" fillId="2" borderId="12" applyNumberFormat="0" applyFont="1" applyFill="1" applyBorder="1" applyAlignment="1" applyProtection="0">
      <alignment vertical="bottom"/>
    </xf>
    <xf numFmtId="49" fontId="6" fillId="4" borderId="17" applyNumberFormat="1" applyFont="1" applyFill="1" applyBorder="1" applyAlignment="1" applyProtection="0">
      <alignment vertical="center"/>
    </xf>
    <xf numFmtId="62" fontId="6" fillId="4" borderId="17" applyNumberFormat="1" applyFont="1" applyFill="1" applyBorder="1" applyAlignment="1" applyProtection="0">
      <alignment vertical="center"/>
    </xf>
    <xf numFmtId="63" fontId="6" fillId="4" borderId="18" applyNumberFormat="1" applyFont="1" applyFill="1" applyBorder="1" applyAlignment="1" applyProtection="0">
      <alignment horizontal="center" vertical="center"/>
    </xf>
    <xf numFmtId="0" fontId="8" fillId="2" borderId="16" applyNumberFormat="0" applyFont="1" applyFill="1" applyBorder="1" applyAlignment="1" applyProtection="0">
      <alignment vertical="bottom"/>
    </xf>
    <xf numFmtId="49" fontId="9" fillId="2" borderId="15" applyNumberFormat="1" applyFont="1" applyFill="1" applyBorder="1" applyAlignment="1" applyProtection="0">
      <alignment horizontal="left" vertical="center"/>
    </xf>
    <xf numFmtId="0" fontId="9" fillId="2" borderId="16" applyNumberFormat="0" applyFont="1" applyFill="1" applyBorder="1" applyAlignment="1" applyProtection="0">
      <alignment vertical="bottom"/>
    </xf>
    <xf numFmtId="63" fontId="9" fillId="2" borderId="18" applyNumberFormat="1" applyFont="1" applyFill="1" applyBorder="1" applyAlignment="1" applyProtection="0">
      <alignment horizontal="center" vertical="center"/>
    </xf>
    <xf numFmtId="60" fontId="9" fillId="2" borderId="21" applyNumberFormat="1" applyFont="1" applyFill="1" applyBorder="1" applyAlignment="1" applyProtection="0">
      <alignment vertical="center"/>
    </xf>
    <xf numFmtId="60" fontId="9" fillId="2" borderId="15" applyNumberFormat="1" applyFont="1" applyFill="1" applyBorder="1" applyAlignment="1" applyProtection="0">
      <alignment vertical="center"/>
    </xf>
    <xf numFmtId="0" fontId="4" fillId="2" borderId="22" applyNumberFormat="0" applyFont="1" applyFill="1" applyBorder="1" applyAlignment="1" applyProtection="0">
      <alignment vertical="center" wrapText="1"/>
    </xf>
    <xf numFmtId="0" fontId="5" fillId="2" borderId="22" applyNumberFormat="0" applyFont="1" applyFill="1" applyBorder="1" applyAlignment="1" applyProtection="0">
      <alignment horizontal="center" vertical="bottom"/>
    </xf>
    <xf numFmtId="49" fontId="6" fillId="4" borderId="13" applyNumberFormat="1" applyFont="1" applyFill="1" applyBorder="1" applyAlignment="1" applyProtection="0">
      <alignment vertical="center"/>
    </xf>
    <xf numFmtId="49" fontId="9" fillId="5" borderId="15" applyNumberFormat="1" applyFont="1" applyFill="1" applyBorder="1" applyAlignment="1" applyProtection="0">
      <alignment horizontal="left" vertical="center"/>
    </xf>
    <xf numFmtId="59" fontId="0" fillId="5" borderId="16" applyNumberFormat="1" applyFont="1" applyFill="1" applyBorder="1" applyAlignment="1" applyProtection="0">
      <alignment vertical="bottom"/>
    </xf>
    <xf numFmtId="62" fontId="8" fillId="5" borderId="17" applyNumberFormat="1" applyFont="1" applyFill="1" applyBorder="1" applyAlignment="1" applyProtection="0">
      <alignment vertical="center"/>
    </xf>
    <xf numFmtId="63" fontId="9" fillId="5" borderId="18" applyNumberFormat="1" applyFont="1" applyFill="1" applyBorder="1" applyAlignment="1" applyProtection="0">
      <alignment horizontal="center" vertical="center"/>
    </xf>
    <xf numFmtId="59" fontId="0" fillId="2" borderId="16" applyNumberFormat="1" applyFont="1" applyFill="1" applyBorder="1" applyAlignment="1" applyProtection="0">
      <alignment vertical="bottom"/>
    </xf>
    <xf numFmtId="49" fontId="6" fillId="6" borderId="17" applyNumberFormat="1" applyFont="1" applyFill="1" applyBorder="1" applyAlignment="1" applyProtection="0">
      <alignment vertical="center"/>
    </xf>
    <xf numFmtId="62" fontId="6" fillId="6" borderId="17" applyNumberFormat="1" applyFont="1" applyFill="1" applyBorder="1" applyAlignment="1" applyProtection="0">
      <alignment vertical="center"/>
    </xf>
    <xf numFmtId="63" fontId="6" fillId="6" borderId="18" applyNumberFormat="1" applyFont="1" applyFill="1" applyBorder="1" applyAlignment="1" applyProtection="0">
      <alignment horizontal="center" vertical="center"/>
    </xf>
    <xf numFmtId="0" fontId="9" fillId="2" borderId="15" applyNumberFormat="0" applyFont="1" applyFill="1" applyBorder="1" applyAlignment="1" applyProtection="0">
      <alignment horizontal="left" vertical="center"/>
    </xf>
    <xf numFmtId="62" fontId="9" fillId="2" borderId="17" applyNumberFormat="1" applyFont="1" applyFill="1" applyBorder="1" applyAlignment="1" applyProtection="0">
      <alignment vertical="center"/>
    </xf>
    <xf numFmtId="0" fontId="0" fillId="5" borderId="16" applyNumberFormat="0" applyFont="1" applyFill="1" applyBorder="1" applyAlignment="1" applyProtection="0">
      <alignment vertical="bottom"/>
    </xf>
    <xf numFmtId="49" fontId="6" fillId="7" borderId="17" applyNumberFormat="1" applyFont="1" applyFill="1" applyBorder="1" applyAlignment="1" applyProtection="0">
      <alignment vertical="center"/>
    </xf>
    <xf numFmtId="62" fontId="6" fillId="7" borderId="17" applyNumberFormat="1" applyFont="1" applyFill="1" applyBorder="1" applyAlignment="1" applyProtection="0">
      <alignment vertical="center"/>
    </xf>
    <xf numFmtId="63" fontId="6" fillId="7" borderId="18" applyNumberFormat="1" applyFont="1" applyFill="1" applyBorder="1" applyAlignment="1" applyProtection="0">
      <alignment horizontal="center" vertical="center"/>
    </xf>
    <xf numFmtId="49" fontId="8" fillId="2" borderId="17" applyNumberFormat="1" applyFont="1" applyFill="1" applyBorder="1" applyAlignment="1" applyProtection="0">
      <alignment horizontal="left" vertical="center"/>
    </xf>
    <xf numFmtId="0" fontId="0" fillId="2" borderId="19" applyNumberFormat="0" applyFont="1" applyFill="1" applyBorder="1" applyAlignment="1" applyProtection="0">
      <alignment vertical="bottom"/>
    </xf>
    <xf numFmtId="0" fontId="0" fillId="2" borderId="20" applyNumberFormat="0" applyFont="1" applyFill="1" applyBorder="1" applyAlignment="1" applyProtection="0">
      <alignment vertical="bottom"/>
    </xf>
    <xf numFmtId="0" fontId="0" fillId="2" borderId="23" applyNumberFormat="0" applyFont="1" applyFill="1" applyBorder="1" applyAlignment="1" applyProtection="0">
      <alignment vertical="bottom"/>
    </xf>
    <xf numFmtId="0" fontId="0" fillId="2" borderId="24" applyNumberFormat="0" applyFont="1" applyFill="1" applyBorder="1" applyAlignment="1" applyProtection="0">
      <alignment vertical="bottom"/>
    </xf>
    <xf numFmtId="0" fontId="0" fillId="2" borderId="25" applyNumberFormat="0" applyFont="1" applyFill="1" applyBorder="1" applyAlignment="1" applyProtection="0">
      <alignment vertical="bottom"/>
    </xf>
    <xf numFmtId="0" fontId="0" fillId="2" borderId="26" applyNumberFormat="0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10" fillId="2" borderId="27" applyNumberFormat="0" applyFont="1" applyFill="1" applyBorder="1" applyAlignment="1" applyProtection="0">
      <alignment vertical="center" wrapText="1"/>
    </xf>
    <xf numFmtId="0" fontId="0" borderId="28" applyNumberFormat="0" applyFont="1" applyFill="0" applyBorder="1" applyAlignment="1" applyProtection="0">
      <alignment vertical="bottom"/>
    </xf>
    <xf numFmtId="49" fontId="11" fillId="3" borderId="13" applyNumberFormat="1" applyFont="1" applyFill="1" applyBorder="1" applyAlignment="1" applyProtection="0">
      <alignment vertical="center"/>
    </xf>
    <xf numFmtId="0" fontId="0" borderId="29" applyNumberFormat="0" applyFont="1" applyFill="0" applyBorder="1" applyAlignment="1" applyProtection="0">
      <alignment vertical="bottom"/>
    </xf>
    <xf numFmtId="49" fontId="12" fillId="2" borderId="17" applyNumberFormat="1" applyFont="1" applyFill="1" applyBorder="1" applyAlignment="1" applyProtection="0">
      <alignment horizontal="left" vertical="center"/>
    </xf>
    <xf numFmtId="0" fontId="10" fillId="2" borderId="30" applyNumberFormat="0" applyFont="1" applyFill="1" applyBorder="1" applyAlignment="1" applyProtection="0">
      <alignment vertical="center" wrapText="1"/>
    </xf>
    <xf numFmtId="49" fontId="11" fillId="4" borderId="17" applyNumberFormat="1" applyFont="1" applyFill="1" applyBorder="1" applyAlignment="1" applyProtection="0">
      <alignment vertical="center"/>
    </xf>
    <xf numFmtId="4" fontId="0" borderId="28" applyNumberFormat="1" applyFont="1" applyFill="0" applyBorder="1" applyAlignment="1" applyProtection="0">
      <alignment vertical="bottom"/>
    </xf>
    <xf numFmtId="49" fontId="12" fillId="2" borderId="31" applyNumberFormat="1" applyFont="1" applyFill="1" applyBorder="1" applyAlignment="1" applyProtection="0">
      <alignment horizontal="left" vertical="center"/>
    </xf>
    <xf numFmtId="49" fontId="13" fillId="2" borderId="31" applyNumberFormat="1" applyFont="1" applyFill="1" applyBorder="1" applyAlignment="1" applyProtection="0">
      <alignment horizontal="left" vertical="center"/>
    </xf>
    <xf numFmtId="64" fontId="0" borderId="28" applyNumberFormat="1" applyFont="1" applyFill="0" applyBorder="1" applyAlignment="1" applyProtection="0">
      <alignment vertical="bottom"/>
    </xf>
    <xf numFmtId="49" fontId="11" fillId="7" borderId="17" applyNumberFormat="1" applyFont="1" applyFill="1" applyBorder="1" applyAlignment="1" applyProtection="0">
      <alignment vertical="center"/>
    </xf>
  </cellXfs>
  <cellStyles count="1">
    <cellStyle name="Normal" xfId="0" builtinId="0"/>
  </cellStyles>
  <dxfs count="2">
    <dxf>
      <font>
        <color rgb="ffffffff"/>
      </font>
      <fill>
        <patternFill patternType="solid">
          <fgColor indexed="17"/>
          <bgColor indexed="18"/>
        </patternFill>
      </fill>
    </dxf>
    <dxf>
      <font>
        <color rgb="ffffffff"/>
      </font>
      <fill>
        <patternFill patternType="solid">
          <fgColor indexed="17"/>
          <bgColor indexed="18"/>
        </patternFill>
      </fill>
    </dxf>
  </dxfs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d8d8d8"/>
      <rgbColor rgb="ffb97034"/>
      <rgbColor rgb="ff3f3f3f"/>
      <rgbColor rgb="ff0f243e"/>
      <rgbColor rgb="ffffff00"/>
      <rgbColor rgb="fff79646"/>
      <rgbColor rgb="00000000"/>
      <rgbColor rgb="ffff0000"/>
      <rgbColor rgb="ff3b3b38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E133"/>
  <sheetViews>
    <sheetView workbookViewId="0" showGridLines="0" defaultGridColor="1"/>
  </sheetViews>
  <sheetFormatPr defaultColWidth="9.16667" defaultRowHeight="13.8" customHeight="1" outlineLevelRow="0" outlineLevelCol="0"/>
  <cols>
    <col min="1" max="1" width="2.85156" style="1" customWidth="1"/>
    <col min="2" max="2" width="50.5" style="1" customWidth="1"/>
    <col min="3" max="3" width="1.35156" style="1" customWidth="1"/>
    <col min="4" max="4" width="13" style="1" customWidth="1"/>
    <col min="5" max="5" width="13.5" style="1" customWidth="1"/>
    <col min="6" max="16384" width="9.17188" style="1" customWidth="1"/>
  </cols>
  <sheetData>
    <row r="1" ht="15" customHeight="1">
      <c r="A1" s="2"/>
      <c r="B1" s="3"/>
      <c r="C1" s="4"/>
      <c r="D1" t="s" s="5">
        <v>0</v>
      </c>
      <c r="E1" s="6"/>
    </row>
    <row r="2" ht="12.75" customHeight="1">
      <c r="A2" s="7"/>
      <c r="B2" t="s" s="8">
        <v>1</v>
      </c>
      <c r="C2" s="9"/>
      <c r="D2" s="10">
        <f>#REF!&amp;"/"&amp;#REF!</f>
      </c>
      <c r="E2" s="11"/>
    </row>
    <row r="3" ht="15" customHeight="1">
      <c r="A3" s="12"/>
      <c r="B3" s="13"/>
      <c r="C3" s="14"/>
      <c r="D3" t="s" s="15">
        <v>2</v>
      </c>
      <c r="E3" t="s" s="16">
        <v>3</v>
      </c>
    </row>
    <row r="4" ht="15" customHeight="1">
      <c r="A4" s="12"/>
      <c r="B4" s="13"/>
      <c r="C4" s="17"/>
      <c r="D4" t="s" s="18">
        <v>4</v>
      </c>
      <c r="E4" s="19"/>
    </row>
    <row r="5" ht="14.4" customHeight="1">
      <c r="A5" s="20"/>
      <c r="B5" t="s" s="21">
        <v>5</v>
      </c>
      <c r="C5" s="22"/>
      <c r="D5" s="23">
        <f>SUM(D6:D7)</f>
      </c>
      <c r="E5" s="24">
        <f>_xlfn.IFERROR(D5/D$5,0)</f>
        <v>0</v>
      </c>
    </row>
    <row r="6" ht="14.4" customHeight="1">
      <c r="A6" s="20"/>
      <c r="B6" t="s" s="25">
        <v>6</v>
      </c>
      <c r="C6" s="26"/>
      <c r="D6" s="27">
        <f>_xlfn.SUMIFS(#REF!,#REF!,$B6)</f>
      </c>
      <c r="E6" s="28">
        <f>_xlfn.IFERROR(D6/D$5,0)</f>
        <v>0</v>
      </c>
    </row>
    <row r="7" ht="14.4" customHeight="1">
      <c r="A7" s="20"/>
      <c r="B7" t="s" s="25">
        <v>7</v>
      </c>
      <c r="C7" s="26"/>
      <c r="D7" s="27">
        <f>_xlfn.SUMIFS(#REF!,#REF!,$B7)</f>
      </c>
      <c r="E7" s="28">
        <f>_xlfn.IFERROR(D7/D$5,0)</f>
        <v>0</v>
      </c>
    </row>
    <row r="8" ht="8" customHeight="1">
      <c r="A8" s="12"/>
      <c r="B8" s="29"/>
      <c r="C8" s="17"/>
      <c r="D8" s="30"/>
      <c r="E8" s="31"/>
    </row>
    <row r="9" ht="14.4" customHeight="1">
      <c r="A9" s="32"/>
      <c r="B9" t="s" s="33">
        <v>8</v>
      </c>
      <c r="C9" s="22"/>
      <c r="D9" s="34">
        <f>D10+D15</f>
      </c>
      <c r="E9" s="35">
        <f>_xlfn.IFERROR(D9/D$5,0)</f>
        <v>0</v>
      </c>
    </row>
    <row r="10" ht="14.4" customHeight="1">
      <c r="A10" s="20"/>
      <c r="B10" t="s" s="25">
        <v>9</v>
      </c>
      <c r="C10" s="36"/>
      <c r="D10" s="27">
        <f>SUM(D11:D14)</f>
      </c>
      <c r="E10" s="28">
        <f>_xlfn.IFERROR(D10/D$5,0)</f>
        <v>0</v>
      </c>
    </row>
    <row r="11" ht="14.4" customHeight="1">
      <c r="A11" s="20"/>
      <c r="B11" t="s" s="37">
        <v>10</v>
      </c>
      <c r="C11" s="38"/>
      <c r="D11" s="27">
        <f>_xlfn.SUMIFS(#REF!,#REF!,$B11)</f>
      </c>
      <c r="E11" s="39">
        <f>_xlfn.IFERROR(D11/D$5,0)</f>
        <v>0</v>
      </c>
    </row>
    <row r="12" ht="14.4" customHeight="1">
      <c r="A12" s="20"/>
      <c r="B12" t="s" s="37">
        <v>11</v>
      </c>
      <c r="C12" s="38"/>
      <c r="D12" s="27">
        <f>_xlfn.SUMIFS(#REF!,#REF!,$B12)</f>
      </c>
      <c r="E12" s="39">
        <f>_xlfn.IFERROR(D12/D$5,0)</f>
        <v>0</v>
      </c>
    </row>
    <row r="13" ht="14.4" customHeight="1">
      <c r="A13" s="20"/>
      <c r="B13" t="s" s="37">
        <v>12</v>
      </c>
      <c r="C13" s="38"/>
      <c r="D13" s="27">
        <f>_xlfn.SUMIFS(#REF!,#REF!,$B13)</f>
      </c>
      <c r="E13" s="39">
        <f>_xlfn.IFERROR(D13/D$5,0)</f>
        <v>0</v>
      </c>
    </row>
    <row r="14" ht="14.4" customHeight="1">
      <c r="A14" s="20"/>
      <c r="B14" t="s" s="37">
        <v>13</v>
      </c>
      <c r="C14" s="38"/>
      <c r="D14" s="27">
        <f>_xlfn.SUMIFS(#REF!,#REF!,$B14)</f>
      </c>
      <c r="E14" s="39">
        <f>_xlfn.IFERROR(D14/D$5,0)</f>
        <v>0</v>
      </c>
    </row>
    <row r="15" ht="14.4" customHeight="1">
      <c r="A15" s="20"/>
      <c r="B15" t="s" s="25">
        <v>14</v>
      </c>
      <c r="C15" s="36"/>
      <c r="D15" s="27">
        <f>_xlfn.SUMIFS(#REF!,#REF!,$B15)</f>
      </c>
      <c r="E15" s="28">
        <f>_xlfn.IFERROR(D15/D$5,0)</f>
        <v>0</v>
      </c>
    </row>
    <row r="16" ht="14.4" customHeight="1">
      <c r="A16" s="20"/>
      <c r="B16" t="s" s="37">
        <v>15</v>
      </c>
      <c r="C16" s="26"/>
      <c r="D16" s="27">
        <f>_xlfn.SUMIFS(#REF!,#REF!,$B16)</f>
      </c>
      <c r="E16" s="39">
        <f>_xlfn.IFERROR(D16/D$5,0)</f>
        <v>0</v>
      </c>
    </row>
    <row r="17" ht="14.4" customHeight="1">
      <c r="A17" s="20"/>
      <c r="B17" t="s" s="37">
        <v>16</v>
      </c>
      <c r="C17" s="40"/>
      <c r="D17" s="27">
        <f>_xlfn.SUMIFS(#REF!,#REF!,$B17)</f>
      </c>
      <c r="E17" s="39">
        <f>_xlfn.IFERROR(D17/D$5,0)</f>
        <v>0</v>
      </c>
    </row>
    <row r="18" ht="14.4" customHeight="1">
      <c r="A18" s="20"/>
      <c r="B18" t="s" s="37">
        <v>17</v>
      </c>
      <c r="C18" s="41"/>
      <c r="D18" s="27">
        <f>_xlfn.SUMIFS(#REF!,#REF!,$B18)</f>
      </c>
      <c r="E18" s="39">
        <f>_xlfn.IFERROR(D18/D$5,0)</f>
        <v>0</v>
      </c>
    </row>
    <row r="19" ht="14.4" customHeight="1">
      <c r="A19" s="20"/>
      <c r="B19" t="s" s="37">
        <v>18</v>
      </c>
      <c r="C19" s="41"/>
      <c r="D19" s="27">
        <f>_xlfn.SUMIFS(#REF!,#REF!,$B19)</f>
      </c>
      <c r="E19" s="39">
        <f>_xlfn.IFERROR(D19/D$5,0)</f>
        <v>0</v>
      </c>
    </row>
    <row r="20" ht="8" customHeight="1">
      <c r="A20" s="12"/>
      <c r="B20" s="42"/>
      <c r="C20" s="43"/>
      <c r="D20" s="30"/>
      <c r="E20" s="31"/>
    </row>
    <row r="21" ht="14.4" customHeight="1">
      <c r="A21" s="32"/>
      <c r="B21" t="s" s="44">
        <v>19</v>
      </c>
      <c r="C21" s="22"/>
      <c r="D21" s="34">
        <f>D5+D9</f>
      </c>
      <c r="E21" s="35">
        <f>_xlfn.IFERROR(D21/D$5,0)</f>
        <v>0</v>
      </c>
    </row>
    <row r="22" ht="8" customHeight="1">
      <c r="A22" s="12"/>
      <c r="B22" s="29"/>
      <c r="C22" s="17"/>
      <c r="D22" s="30"/>
      <c r="E22" s="31"/>
    </row>
    <row r="23" ht="14.4" customHeight="1">
      <c r="A23" s="32"/>
      <c r="B23" t="s" s="33">
        <v>20</v>
      </c>
      <c r="C23" s="22"/>
      <c r="D23" s="34">
        <f>SUM(D24,D29)</f>
      </c>
      <c r="E23" s="35">
        <f>_xlfn.IFERROR(D23/D$5,0)</f>
        <v>0</v>
      </c>
    </row>
    <row r="24" ht="14.4" customHeight="1">
      <c r="A24" s="20"/>
      <c r="B24" t="s" s="25">
        <v>21</v>
      </c>
      <c r="C24" s="26"/>
      <c r="D24" s="27">
        <f>SUM(D25:D28)</f>
      </c>
      <c r="E24" s="28">
        <f>_xlfn.IFERROR(D24/D$5,0)</f>
        <v>0</v>
      </c>
    </row>
    <row r="25" ht="14.4" customHeight="1">
      <c r="A25" s="20"/>
      <c r="B25" t="s" s="45">
        <v>22</v>
      </c>
      <c r="C25" s="46"/>
      <c r="D25" s="47">
        <f>_xlfn.SUMIFS(#REF!,#REF!,$B25)</f>
      </c>
      <c r="E25" s="48">
        <f>_xlfn.IFERROR(D25/D$5,0)</f>
        <v>0</v>
      </c>
    </row>
    <row r="26" ht="14.4" customHeight="1">
      <c r="A26" s="20"/>
      <c r="B26" t="s" s="37">
        <v>23</v>
      </c>
      <c r="C26" s="49"/>
      <c r="D26" s="27">
        <f>_xlfn.SUMIFS(#REF!,#REF!,$B26)</f>
      </c>
      <c r="E26" s="39">
        <f>_xlfn.IFERROR(D26/D$5,0)</f>
        <v>0</v>
      </c>
    </row>
    <row r="27" ht="14.4" customHeight="1">
      <c r="A27" s="20"/>
      <c r="B27" t="s" s="37">
        <v>24</v>
      </c>
      <c r="C27" s="26"/>
      <c r="D27" s="27">
        <f>_xlfn.SUMIFS(#REF!,#REF!,$B27)</f>
      </c>
      <c r="E27" s="39">
        <f>_xlfn.IFERROR(D27/D$5,0)</f>
        <v>0</v>
      </c>
    </row>
    <row r="28" ht="14.4" customHeight="1">
      <c r="A28" s="20"/>
      <c r="B28" t="s" s="37">
        <v>25</v>
      </c>
      <c r="C28" s="26"/>
      <c r="D28" s="27">
        <f>_xlfn.SUMIFS(#REF!,#REF!,$B28)</f>
      </c>
      <c r="E28" s="39">
        <f>_xlfn.IFERROR(D28/D$5,0)</f>
        <v>0</v>
      </c>
    </row>
    <row r="29" ht="14.4" customHeight="1">
      <c r="A29" s="20"/>
      <c r="B29" t="s" s="25">
        <v>26</v>
      </c>
      <c r="C29" s="49"/>
      <c r="D29" s="27">
        <f>_xlfn.SUMIFS(#REF!,#REF!,$B29)</f>
      </c>
      <c r="E29" s="28">
        <f>_xlfn.IFERROR(D29/D$5,0)</f>
        <v>0</v>
      </c>
    </row>
    <row r="30" ht="14.4" customHeight="1">
      <c r="A30" s="20"/>
      <c r="B30" t="s" s="45">
        <v>27</v>
      </c>
      <c r="C30" s="46"/>
      <c r="D30" s="47">
        <f>_xlfn.SUMIFS(#REF!,#REF!,$B30)</f>
      </c>
      <c r="E30" s="48">
        <f>_xlfn.IFERROR(D30/D$5,0)</f>
        <v>0</v>
      </c>
    </row>
    <row r="31" ht="8" customHeight="1">
      <c r="A31" s="12"/>
      <c r="B31" s="29"/>
      <c r="C31" s="17"/>
      <c r="D31" s="30"/>
      <c r="E31" s="31"/>
    </row>
    <row r="32" ht="14.4" customHeight="1">
      <c r="A32" s="32"/>
      <c r="B32" t="s" s="50">
        <v>28</v>
      </c>
      <c r="C32" s="22"/>
      <c r="D32" s="51">
        <f>SUM(D21,D23)</f>
      </c>
      <c r="E32" s="52">
        <f>_xlfn.IFERROR(D32/D$5,0)</f>
        <v>0</v>
      </c>
    </row>
    <row r="33" ht="8" customHeight="1">
      <c r="A33" s="12"/>
      <c r="B33" s="29"/>
      <c r="C33" s="17"/>
      <c r="D33" s="30"/>
      <c r="E33" s="31"/>
    </row>
    <row r="34" ht="14.4" customHeight="1">
      <c r="A34" s="32"/>
      <c r="B34" t="s" s="33">
        <v>29</v>
      </c>
      <c r="C34" s="22"/>
      <c r="D34" s="34">
        <f>SUM(D35)</f>
      </c>
      <c r="E34" s="35">
        <f>_xlfn.IFERROR(D34/D$5,0)</f>
        <v>0</v>
      </c>
    </row>
    <row r="35" ht="14.4" customHeight="1">
      <c r="A35" s="20"/>
      <c r="B35" t="s" s="25">
        <v>30</v>
      </c>
      <c r="C35" s="26"/>
      <c r="D35" s="27">
        <f>SUM(D36:D39)</f>
      </c>
      <c r="E35" s="28">
        <f>_xlfn.IFERROR(D35/D$5,0)</f>
        <v>0</v>
      </c>
    </row>
    <row r="36" ht="14.4" customHeight="1">
      <c r="A36" s="20"/>
      <c r="B36" t="s" s="37">
        <v>31</v>
      </c>
      <c r="C36" s="26"/>
      <c r="D36" s="27">
        <f>_xlfn.SUMIFS(#REF!,#REF!,$B36)</f>
      </c>
      <c r="E36" s="39">
        <f>_xlfn.IFERROR(D36/D$5,0)</f>
        <v>0</v>
      </c>
    </row>
    <row r="37" ht="14.4" customHeight="1">
      <c r="A37" s="20"/>
      <c r="B37" t="s" s="37">
        <v>32</v>
      </c>
      <c r="C37" s="26"/>
      <c r="D37" s="27">
        <f>_xlfn.SUMIFS(#REF!,#REF!,$B37)</f>
      </c>
      <c r="E37" s="39">
        <f>_xlfn.IFERROR(D37/D$5,0)</f>
        <v>0</v>
      </c>
    </row>
    <row r="38" ht="14.4" customHeight="1">
      <c r="A38" s="20"/>
      <c r="B38" t="s" s="37">
        <v>33</v>
      </c>
      <c r="C38" s="26"/>
      <c r="D38" s="27">
        <f>_xlfn.SUMIFS(#REF!,#REF!,$B38)</f>
      </c>
      <c r="E38" s="39">
        <f>_xlfn.IFERROR(D38/D$5,0)</f>
        <v>0</v>
      </c>
    </row>
    <row r="39" ht="14.4" customHeight="1">
      <c r="A39" s="20"/>
      <c r="B39" t="s" s="37">
        <v>34</v>
      </c>
      <c r="C39" s="26"/>
      <c r="D39" s="27">
        <f>_xlfn.SUMIFS(#REF!,#REF!,$B39)</f>
      </c>
      <c r="E39" s="39">
        <f>_xlfn.IFERROR(D39/D$5,0)</f>
        <v>0</v>
      </c>
    </row>
    <row r="40" ht="14.4" customHeight="1">
      <c r="A40" s="20"/>
      <c r="B40" s="53"/>
      <c r="C40" s="49"/>
      <c r="D40" s="54"/>
      <c r="E40" s="39"/>
    </row>
    <row r="41" ht="8" customHeight="1">
      <c r="A41" s="12"/>
      <c r="B41" s="29"/>
      <c r="C41" s="17"/>
      <c r="D41" s="30"/>
      <c r="E41" s="31"/>
    </row>
    <row r="42" ht="14.4" customHeight="1">
      <c r="A42" s="32"/>
      <c r="B42" t="s" s="50">
        <v>35</v>
      </c>
      <c r="C42" s="22"/>
      <c r="D42" s="51">
        <f>SUM(D32,D34)</f>
      </c>
      <c r="E42" s="52">
        <f>_xlfn.IFERROR(D42/D$5,0)</f>
        <v>0</v>
      </c>
    </row>
    <row r="43" ht="8" customHeight="1">
      <c r="A43" s="12"/>
      <c r="B43" s="29"/>
      <c r="C43" s="17"/>
      <c r="D43" s="30"/>
      <c r="E43" s="31"/>
    </row>
    <row r="44" ht="14.4" customHeight="1">
      <c r="A44" s="32"/>
      <c r="B44" t="s" s="33">
        <v>36</v>
      </c>
      <c r="C44" s="22"/>
      <c r="D44" s="34">
        <f>SUM(D45,D70,D85,D89)</f>
      </c>
      <c r="E44" s="35">
        <f>_xlfn.IFERROR(D44/D$5,0)</f>
        <v>0</v>
      </c>
    </row>
    <row r="45" ht="14.4" customHeight="1">
      <c r="A45" s="20"/>
      <c r="B45" t="s" s="25">
        <v>37</v>
      </c>
      <c r="C45" s="26"/>
      <c r="D45" s="27">
        <f>SUM(D46:D69)</f>
      </c>
      <c r="E45" s="28">
        <f>_xlfn.IFERROR(D45/D$5,0)</f>
        <v>0</v>
      </c>
    </row>
    <row r="46" ht="15.75" customHeight="1">
      <c r="A46" s="20"/>
      <c r="B46" t="s" s="37">
        <v>38</v>
      </c>
      <c r="C46" s="26"/>
      <c r="D46" s="27">
        <f>_xlfn.SUMIFS(#REF!,#REF!,$B46)</f>
      </c>
      <c r="E46" s="39">
        <f>_xlfn.IFERROR(D46/D$45,0)</f>
        <v>0</v>
      </c>
    </row>
    <row r="47" ht="15.75" customHeight="1">
      <c r="A47" s="20"/>
      <c r="B47" t="s" s="37">
        <v>39</v>
      </c>
      <c r="C47" s="26"/>
      <c r="D47" s="27">
        <f>_xlfn.SUMIFS(#REF!,#REF!,$B47)</f>
      </c>
      <c r="E47" s="39">
        <f>_xlfn.IFERROR(D47/D$45,0)</f>
        <v>0</v>
      </c>
    </row>
    <row r="48" ht="15.75" customHeight="1">
      <c r="A48" s="20"/>
      <c r="B48" t="s" s="37">
        <v>40</v>
      </c>
      <c r="C48" s="26"/>
      <c r="D48" s="27">
        <f>_xlfn.SUMIFS(#REF!,#REF!,$B48)</f>
      </c>
      <c r="E48" s="39">
        <f>_xlfn.IFERROR(D48/D$45,0)</f>
        <v>0</v>
      </c>
    </row>
    <row r="49" ht="15.75" customHeight="1">
      <c r="A49" s="20"/>
      <c r="B49" t="s" s="37">
        <v>41</v>
      </c>
      <c r="C49" s="26"/>
      <c r="D49" s="27">
        <f>_xlfn.SUMIFS(#REF!,#REF!,$B49)</f>
      </c>
      <c r="E49" s="39">
        <f>_xlfn.IFERROR(D49/D$45,0)</f>
        <v>0</v>
      </c>
    </row>
    <row r="50" ht="15.75" customHeight="1">
      <c r="A50" s="20"/>
      <c r="B50" t="s" s="37">
        <v>42</v>
      </c>
      <c r="C50" s="26"/>
      <c r="D50" s="27">
        <f>_xlfn.SUMIFS(#REF!,#REF!,$B50)</f>
      </c>
      <c r="E50" s="39">
        <f>_xlfn.IFERROR(D50/D$45,0)</f>
        <v>0</v>
      </c>
    </row>
    <row r="51" ht="15.75" customHeight="1">
      <c r="A51" s="20"/>
      <c r="B51" t="s" s="45">
        <v>43</v>
      </c>
      <c r="C51" s="55"/>
      <c r="D51" s="47">
        <f>_xlfn.SUMIFS(#REF!,#REF!,$B51)</f>
      </c>
      <c r="E51" s="48">
        <f>_xlfn.IFERROR(D51/D$45,0)</f>
        <v>0</v>
      </c>
    </row>
    <row r="52" ht="14.4" customHeight="1">
      <c r="A52" s="20"/>
      <c r="B52" t="s" s="37">
        <v>44</v>
      </c>
      <c r="C52" s="26"/>
      <c r="D52" s="27">
        <f>_xlfn.SUMIFS(#REF!,#REF!,$B52)</f>
      </c>
      <c r="E52" s="39">
        <f>_xlfn.IFERROR(D52/D$45,0)</f>
        <v>0</v>
      </c>
    </row>
    <row r="53" ht="15.75" customHeight="1">
      <c r="A53" s="20"/>
      <c r="B53" t="s" s="37">
        <v>45</v>
      </c>
      <c r="C53" s="26"/>
      <c r="D53" s="27">
        <f>_xlfn.SUMIFS(#REF!,#REF!,$B53)</f>
      </c>
      <c r="E53" s="39">
        <f>_xlfn.IFERROR(D53/D$45,0)</f>
        <v>0</v>
      </c>
    </row>
    <row r="54" ht="15.75" customHeight="1">
      <c r="A54" s="20"/>
      <c r="B54" t="s" s="37">
        <v>46</v>
      </c>
      <c r="C54" s="26"/>
      <c r="D54" s="27">
        <f>_xlfn.SUMIFS(#REF!,#REF!,$B54)</f>
      </c>
      <c r="E54" s="39">
        <f>_xlfn.IFERROR(D54/D$45,0)</f>
        <v>0</v>
      </c>
    </row>
    <row r="55" ht="14.4" customHeight="1">
      <c r="A55" s="20"/>
      <c r="B55" t="s" s="37">
        <v>47</v>
      </c>
      <c r="C55" s="26"/>
      <c r="D55" s="27">
        <f>_xlfn.SUMIFS(#REF!,#REF!,$B55)</f>
      </c>
      <c r="E55" s="39">
        <f>_xlfn.IFERROR(D55/D$45,0)</f>
        <v>0</v>
      </c>
    </row>
    <row r="56" ht="15.75" customHeight="1">
      <c r="A56" s="20"/>
      <c r="B56" t="s" s="37">
        <v>48</v>
      </c>
      <c r="C56" s="26"/>
      <c r="D56" s="27">
        <f>_xlfn.SUMIFS(#REF!,#REF!,$B56)</f>
      </c>
      <c r="E56" s="39">
        <f>_xlfn.IFERROR(D56/D$45,0)</f>
        <v>0</v>
      </c>
    </row>
    <row r="57" ht="15.75" customHeight="1">
      <c r="A57" s="20"/>
      <c r="B57" t="s" s="37">
        <v>49</v>
      </c>
      <c r="C57" s="26"/>
      <c r="D57" s="27">
        <f>_xlfn.SUMIFS(#REF!,#REF!,$B57)</f>
      </c>
      <c r="E57" s="39">
        <f>_xlfn.IFERROR(D57/D$45,0)</f>
        <v>0</v>
      </c>
    </row>
    <row r="58" ht="15.75" customHeight="1">
      <c r="A58" s="20"/>
      <c r="B58" t="s" s="37">
        <v>50</v>
      </c>
      <c r="C58" s="26"/>
      <c r="D58" s="27">
        <f>_xlfn.SUMIFS(#REF!,#REF!,$B58)</f>
      </c>
      <c r="E58" s="39">
        <f>_xlfn.IFERROR(D58/D$45,0)</f>
        <v>0</v>
      </c>
    </row>
    <row r="59" ht="15.75" customHeight="1">
      <c r="A59" s="20"/>
      <c r="B59" t="s" s="37">
        <v>51</v>
      </c>
      <c r="C59" s="26"/>
      <c r="D59" s="27">
        <f>_xlfn.SUMIFS(#REF!,#REF!,$B59)</f>
      </c>
      <c r="E59" s="39">
        <f>_xlfn.IFERROR(D59/D$45,0)</f>
        <v>0</v>
      </c>
    </row>
    <row r="60" ht="15.75" customHeight="1">
      <c r="A60" s="20"/>
      <c r="B60" t="s" s="37">
        <v>52</v>
      </c>
      <c r="C60" s="26"/>
      <c r="D60" s="27">
        <f>_xlfn.SUMIFS(#REF!,#REF!,$B60)</f>
      </c>
      <c r="E60" s="39">
        <f>_xlfn.IFERROR(D60/D$45,0)</f>
        <v>0</v>
      </c>
    </row>
    <row r="61" ht="15.75" customHeight="1">
      <c r="A61" s="20"/>
      <c r="B61" t="s" s="45">
        <v>53</v>
      </c>
      <c r="C61" s="55"/>
      <c r="D61" s="47">
        <f>_xlfn.SUMIFS(#REF!,#REF!,$B61)</f>
      </c>
      <c r="E61" s="48">
        <f>_xlfn.IFERROR(D61/D$45,0)</f>
        <v>0</v>
      </c>
    </row>
    <row r="62" ht="15.75" customHeight="1">
      <c r="A62" s="20"/>
      <c r="B62" t="s" s="37">
        <v>54</v>
      </c>
      <c r="C62" s="26"/>
      <c r="D62" s="27">
        <f>_xlfn.SUMIFS(#REF!,#REF!,$B62)</f>
      </c>
      <c r="E62" s="39">
        <f>_xlfn.IFERROR(D62/D$45,0)</f>
        <v>0</v>
      </c>
    </row>
    <row r="63" ht="15.75" customHeight="1">
      <c r="A63" s="20"/>
      <c r="B63" t="s" s="37">
        <v>55</v>
      </c>
      <c r="C63" s="26"/>
      <c r="D63" s="27">
        <f>_xlfn.SUMIFS(#REF!,#REF!,$B63)</f>
      </c>
      <c r="E63" s="39">
        <f>_xlfn.IFERROR(D63/D$45,0)</f>
        <v>0</v>
      </c>
    </row>
    <row r="64" ht="15.75" customHeight="1">
      <c r="A64" s="20"/>
      <c r="B64" t="s" s="37">
        <v>56</v>
      </c>
      <c r="C64" s="26"/>
      <c r="D64" s="27">
        <f>_xlfn.SUMIFS(#REF!,#REF!,$B64)</f>
      </c>
      <c r="E64" s="39">
        <f>_xlfn.IFERROR(D64/D$45,0)</f>
        <v>0</v>
      </c>
    </row>
    <row r="65" ht="15.75" customHeight="1">
      <c r="A65" s="20"/>
      <c r="B65" t="s" s="37">
        <v>57</v>
      </c>
      <c r="C65" s="26"/>
      <c r="D65" s="27">
        <f>_xlfn.SUMIFS(#REF!,#REF!,$B65)</f>
      </c>
      <c r="E65" s="39">
        <f>_xlfn.IFERROR(D65/D$45,0)</f>
        <v>0</v>
      </c>
    </row>
    <row r="66" ht="15.75" customHeight="1">
      <c r="A66" s="20"/>
      <c r="B66" t="s" s="37">
        <v>58</v>
      </c>
      <c r="C66" s="26"/>
      <c r="D66" s="27">
        <f>_xlfn.SUMIFS(#REF!,#REF!,$B66)</f>
      </c>
      <c r="E66" s="39">
        <f>_xlfn.IFERROR(D66/D$45,0)</f>
        <v>0</v>
      </c>
    </row>
    <row r="67" ht="15.75" customHeight="1">
      <c r="A67" s="20"/>
      <c r="B67" t="s" s="37">
        <v>59</v>
      </c>
      <c r="C67" s="26"/>
      <c r="D67" s="27">
        <f>_xlfn.SUMIFS(#REF!,#REF!,$B67)</f>
      </c>
      <c r="E67" s="39">
        <f>_xlfn.IFERROR(D67/D$45,0)</f>
        <v>0</v>
      </c>
    </row>
    <row r="68" ht="15.75" customHeight="1">
      <c r="A68" s="20"/>
      <c r="B68" t="s" s="37">
        <v>60</v>
      </c>
      <c r="C68" s="26"/>
      <c r="D68" s="27">
        <f>_xlfn.SUMIFS(#REF!,#REF!,$B68)</f>
      </c>
      <c r="E68" s="39">
        <f>_xlfn.IFERROR(D68/D$45,0)</f>
        <v>0</v>
      </c>
    </row>
    <row r="69" ht="15.75" customHeight="1">
      <c r="A69" s="20"/>
      <c r="B69" t="s" s="37">
        <v>61</v>
      </c>
      <c r="C69" s="26"/>
      <c r="D69" s="27">
        <f>_xlfn.SUMIFS(#REF!,#REF!,$B69)</f>
      </c>
      <c r="E69" s="39">
        <f>_xlfn.IFERROR(D69/D$45,0)</f>
        <v>0</v>
      </c>
    </row>
    <row r="70" ht="14.4" customHeight="1">
      <c r="A70" s="20"/>
      <c r="B70" t="s" s="25">
        <v>62</v>
      </c>
      <c r="C70" s="26"/>
      <c r="D70" s="27">
        <f>SUM(D71:D84)</f>
      </c>
      <c r="E70" s="28">
        <f>_xlfn.IFERROR(D70/D$5,0)</f>
        <v>0</v>
      </c>
    </row>
    <row r="71" ht="14.4" customHeight="1">
      <c r="A71" s="20"/>
      <c r="B71" t="s" s="37">
        <v>63</v>
      </c>
      <c r="C71" s="26"/>
      <c r="D71" s="27">
        <f>_xlfn.SUMIFS(#REF!,#REF!,$B71)</f>
      </c>
      <c r="E71" s="39">
        <f>_xlfn.IFERROR(D71/D$5,0)</f>
        <v>0</v>
      </c>
    </row>
    <row r="72" ht="14.4" customHeight="1">
      <c r="A72" s="20"/>
      <c r="B72" t="s" s="37">
        <v>64</v>
      </c>
      <c r="C72" s="26"/>
      <c r="D72" s="27">
        <f>_xlfn.SUMIFS(#REF!,#REF!,$B72)</f>
      </c>
      <c r="E72" s="39">
        <f>_xlfn.IFERROR(D72/D$5,0)</f>
        <v>0</v>
      </c>
    </row>
    <row r="73" ht="14.4" customHeight="1">
      <c r="A73" s="20"/>
      <c r="B73" t="s" s="37">
        <v>65</v>
      </c>
      <c r="C73" s="26"/>
      <c r="D73" s="27">
        <f>_xlfn.SUMIFS(#REF!,#REF!,$B73)</f>
      </c>
      <c r="E73" s="39">
        <f>_xlfn.IFERROR(D73/D$5,0)</f>
        <v>0</v>
      </c>
    </row>
    <row r="74" ht="14.4" customHeight="1">
      <c r="A74" s="20"/>
      <c r="B74" t="s" s="37">
        <v>66</v>
      </c>
      <c r="C74" s="26"/>
      <c r="D74" s="27">
        <f>_xlfn.SUMIFS(#REF!,#REF!,$B74)</f>
      </c>
      <c r="E74" s="39">
        <f>_xlfn.IFERROR(D74/D$5,0)</f>
        <v>0</v>
      </c>
    </row>
    <row r="75" ht="14.4" customHeight="1">
      <c r="A75" s="20"/>
      <c r="B75" t="s" s="37">
        <v>67</v>
      </c>
      <c r="C75" s="26"/>
      <c r="D75" s="27">
        <f>_xlfn.SUMIFS(#REF!,#REF!,$B75)</f>
      </c>
      <c r="E75" s="39">
        <f>_xlfn.IFERROR(D75/D$5,0)</f>
        <v>0</v>
      </c>
    </row>
    <row r="76" ht="14.4" customHeight="1">
      <c r="A76" s="20"/>
      <c r="B76" t="s" s="37">
        <v>68</v>
      </c>
      <c r="C76" s="26"/>
      <c r="D76" s="27">
        <f>_xlfn.SUMIFS(#REF!,#REF!,$B76)</f>
      </c>
      <c r="E76" s="39">
        <f>_xlfn.IFERROR(D76/D$5,0)</f>
        <v>0</v>
      </c>
    </row>
    <row r="77" ht="14.4" customHeight="1">
      <c r="A77" s="20"/>
      <c r="B77" t="s" s="37">
        <v>69</v>
      </c>
      <c r="C77" s="26"/>
      <c r="D77" s="27">
        <f>_xlfn.SUMIFS(#REF!,#REF!,$B77)</f>
      </c>
      <c r="E77" s="39">
        <f>_xlfn.IFERROR(D77/D$5,0)</f>
        <v>0</v>
      </c>
    </row>
    <row r="78" ht="14.4" customHeight="1">
      <c r="A78" s="20"/>
      <c r="B78" t="s" s="37">
        <v>70</v>
      </c>
      <c r="C78" s="26"/>
      <c r="D78" s="27">
        <f>_xlfn.SUMIFS(#REF!,#REF!,$B78)</f>
      </c>
      <c r="E78" s="39">
        <f>_xlfn.IFERROR(D78/D$5,0)</f>
        <v>0</v>
      </c>
    </row>
    <row r="79" ht="14.4" customHeight="1">
      <c r="A79" s="20"/>
      <c r="B79" t="s" s="37">
        <v>71</v>
      </c>
      <c r="C79" s="26"/>
      <c r="D79" s="27">
        <f>_xlfn.SUMIFS(#REF!,#REF!,$B79)</f>
      </c>
      <c r="E79" s="39">
        <f>_xlfn.IFERROR(D79/D$5,0)</f>
        <v>0</v>
      </c>
    </row>
    <row r="80" ht="14.4" customHeight="1">
      <c r="A80" s="20"/>
      <c r="B80" t="s" s="37">
        <v>72</v>
      </c>
      <c r="C80" s="26"/>
      <c r="D80" s="27">
        <f>_xlfn.SUMIFS(#REF!,#REF!,$B80)</f>
      </c>
      <c r="E80" s="39">
        <f>_xlfn.IFERROR(D80/D$5,0)</f>
        <v>0</v>
      </c>
    </row>
    <row r="81" ht="14.4" customHeight="1">
      <c r="A81" s="20"/>
      <c r="B81" t="s" s="37">
        <v>73</v>
      </c>
      <c r="C81" s="26"/>
      <c r="D81" s="27">
        <f>_xlfn.SUMIFS(#REF!,#REF!,$B81)</f>
      </c>
      <c r="E81" s="39">
        <f>_xlfn.IFERROR(D81/D$5,0)</f>
        <v>0</v>
      </c>
    </row>
    <row r="82" ht="14.4" customHeight="1">
      <c r="A82" s="20"/>
      <c r="B82" t="s" s="37">
        <v>74</v>
      </c>
      <c r="C82" s="26"/>
      <c r="D82" s="27">
        <f>_xlfn.SUMIFS(#REF!,#REF!,$B82)</f>
      </c>
      <c r="E82" s="39">
        <f>_xlfn.IFERROR(D82/D$5,0)</f>
        <v>0</v>
      </c>
    </row>
    <row r="83" ht="14.4" customHeight="1">
      <c r="A83" s="20"/>
      <c r="B83" t="s" s="37">
        <v>75</v>
      </c>
      <c r="C83" s="26"/>
      <c r="D83" s="27">
        <f>_xlfn.SUMIFS(#REF!,#REF!,$B83)</f>
      </c>
      <c r="E83" s="39">
        <f>_xlfn.IFERROR(D83/D$5,0)</f>
        <v>0</v>
      </c>
    </row>
    <row r="84" ht="14.4" customHeight="1">
      <c r="A84" s="20"/>
      <c r="B84" t="s" s="37">
        <v>76</v>
      </c>
      <c r="C84" s="26"/>
      <c r="D84" s="27">
        <f>_xlfn.SUMIFS(#REF!,#REF!,$B84)</f>
      </c>
      <c r="E84" s="39">
        <f>_xlfn.IFERROR(D84/D$5,0)</f>
        <v>0</v>
      </c>
    </row>
    <row r="85" ht="14.4" customHeight="1">
      <c r="A85" s="20"/>
      <c r="B85" t="s" s="25">
        <v>77</v>
      </c>
      <c r="C85" s="49"/>
      <c r="D85" s="27">
        <f>SUM(D86:D88)</f>
      </c>
      <c r="E85" s="28">
        <f>_xlfn.IFERROR(D85/D$5,0)</f>
        <v>0</v>
      </c>
    </row>
    <row r="86" ht="14.4" customHeight="1">
      <c r="A86" s="20"/>
      <c r="B86" t="s" s="37">
        <v>78</v>
      </c>
      <c r="C86" s="49"/>
      <c r="D86" s="27">
        <f>_xlfn.SUMIFS(#REF!,#REF!,$B86)</f>
      </c>
      <c r="E86" s="39">
        <f>_xlfn.IFERROR(D86/D$5,0)</f>
        <v>0</v>
      </c>
    </row>
    <row r="87" ht="14.4" customHeight="1">
      <c r="A87" s="20"/>
      <c r="B87" t="s" s="45">
        <v>79</v>
      </c>
      <c r="C87" s="46"/>
      <c r="D87" s="47">
        <f>_xlfn.SUMIFS(#REF!,#REF!,$B87)</f>
      </c>
      <c r="E87" s="48">
        <f>_xlfn.IFERROR(D87/D$5,0)</f>
        <v>0</v>
      </c>
    </row>
    <row r="88" ht="14.4" customHeight="1">
      <c r="A88" s="20"/>
      <c r="B88" t="s" s="37">
        <v>80</v>
      </c>
      <c r="C88" s="49"/>
      <c r="D88" s="27">
        <f>_xlfn.SUMIFS(#REF!,#REF!,$B88)</f>
      </c>
      <c r="E88" s="39">
        <f>_xlfn.IFERROR(D88/D$5,0)</f>
        <v>0</v>
      </c>
    </row>
    <row r="89" ht="14.4" customHeight="1">
      <c r="A89" s="20"/>
      <c r="B89" t="s" s="25">
        <v>81</v>
      </c>
      <c r="C89" s="26"/>
      <c r="D89" s="27">
        <f>SUM(D90:D102)</f>
      </c>
      <c r="E89" s="28">
        <f>_xlfn.IFERROR(D89/D$5,0)</f>
        <v>0</v>
      </c>
    </row>
    <row r="90" ht="14.4" customHeight="1">
      <c r="A90" s="20"/>
      <c r="B90" t="s" s="37">
        <v>82</v>
      </c>
      <c r="C90" s="26"/>
      <c r="D90" s="27">
        <f>_xlfn.SUMIFS(#REF!,#REF!,$B90)</f>
      </c>
      <c r="E90" s="39">
        <f>_xlfn.IFERROR(D90/D$5,0)</f>
        <v>0</v>
      </c>
    </row>
    <row r="91" ht="14.4" customHeight="1">
      <c r="A91" s="20"/>
      <c r="B91" t="s" s="37">
        <v>83</v>
      </c>
      <c r="C91" s="26"/>
      <c r="D91" s="27">
        <f>_xlfn.SUMIFS(#REF!,#REF!,$B91)</f>
      </c>
      <c r="E91" s="39">
        <f>_xlfn.IFERROR(D91/D$5,0)</f>
        <v>0</v>
      </c>
    </row>
    <row r="92" ht="14.4" customHeight="1">
      <c r="A92" s="20"/>
      <c r="B92" t="s" s="37">
        <v>84</v>
      </c>
      <c r="C92" s="26"/>
      <c r="D92" s="27">
        <f>_xlfn.SUMIFS(#REF!,#REF!,$B92)</f>
      </c>
      <c r="E92" s="39">
        <f>_xlfn.IFERROR(D92/D$5,0)</f>
        <v>0</v>
      </c>
    </row>
    <row r="93" ht="14.4" customHeight="1">
      <c r="A93" s="20"/>
      <c r="B93" t="s" s="37">
        <v>85</v>
      </c>
      <c r="C93" s="26"/>
      <c r="D93" s="27">
        <f>_xlfn.SUMIFS(#REF!,#REF!,$B93)</f>
      </c>
      <c r="E93" s="39">
        <f>_xlfn.IFERROR(D93/D$5,0)</f>
        <v>0</v>
      </c>
    </row>
    <row r="94" ht="14.4" customHeight="1">
      <c r="A94" s="20"/>
      <c r="B94" t="s" s="37">
        <v>86</v>
      </c>
      <c r="C94" s="26"/>
      <c r="D94" s="27">
        <f>_xlfn.SUMIFS(#REF!,#REF!,$B94)</f>
      </c>
      <c r="E94" s="39">
        <f>_xlfn.IFERROR(D94/D$5,0)</f>
        <v>0</v>
      </c>
    </row>
    <row r="95" ht="14.4" customHeight="1">
      <c r="A95" s="20"/>
      <c r="B95" t="s" s="37">
        <v>87</v>
      </c>
      <c r="C95" s="26"/>
      <c r="D95" s="27">
        <f>_xlfn.SUMIFS(#REF!,#REF!,$B95)</f>
      </c>
      <c r="E95" s="39">
        <f>_xlfn.IFERROR(D95/D$5,0)</f>
        <v>0</v>
      </c>
    </row>
    <row r="96" ht="14.4" customHeight="1">
      <c r="A96" s="20"/>
      <c r="B96" t="s" s="37">
        <v>88</v>
      </c>
      <c r="C96" s="26"/>
      <c r="D96" s="27">
        <f>_xlfn.SUMIFS(#REF!,#REF!,$B96)</f>
      </c>
      <c r="E96" s="39">
        <f>_xlfn.IFERROR(D96/D$5,0)</f>
        <v>0</v>
      </c>
    </row>
    <row r="97" ht="14.4" customHeight="1">
      <c r="A97" s="20"/>
      <c r="B97" t="s" s="25">
        <v>89</v>
      </c>
      <c r="C97" s="26"/>
      <c r="D97" s="27">
        <f>SUM(D98:D102)</f>
      </c>
      <c r="E97" s="28">
        <f>_xlfn.IFERROR(D97/D$5,0)</f>
        <v>0</v>
      </c>
    </row>
    <row r="98" ht="14.4" customHeight="1">
      <c r="A98" s="20"/>
      <c r="B98" t="s" s="37">
        <v>90</v>
      </c>
      <c r="C98" s="26"/>
      <c r="D98" s="27">
        <f>_xlfn.SUMIFS(#REF!,#REF!,$B98)</f>
      </c>
      <c r="E98" s="39">
        <f>_xlfn.IFERROR(D98/D$5,0)</f>
        <v>0</v>
      </c>
    </row>
    <row r="99" ht="14.4" customHeight="1">
      <c r="A99" s="20"/>
      <c r="B99" t="s" s="37">
        <v>91</v>
      </c>
      <c r="C99" s="26"/>
      <c r="D99" s="27">
        <f>_xlfn.SUMIFS(#REF!,#REF!,$B99)</f>
      </c>
      <c r="E99" s="39">
        <f>_xlfn.IFERROR(D99/D$5,0)</f>
        <v>0</v>
      </c>
    </row>
    <row r="100" ht="14.4" customHeight="1">
      <c r="A100" s="20"/>
      <c r="B100" t="s" s="37">
        <v>92</v>
      </c>
      <c r="C100" s="26"/>
      <c r="D100" s="27">
        <f>_xlfn.SUMIFS(#REF!,#REF!,$B100)</f>
      </c>
      <c r="E100" s="39">
        <f>_xlfn.IFERROR(D100/D$5,0)</f>
        <v>0</v>
      </c>
    </row>
    <row r="101" ht="14.4" customHeight="1">
      <c r="A101" s="20"/>
      <c r="B101" t="s" s="37">
        <v>93</v>
      </c>
      <c r="C101" s="26"/>
      <c r="D101" s="27">
        <f>_xlfn.SUMIFS(#REF!,#REF!,$B101)</f>
      </c>
      <c r="E101" s="39">
        <f>_xlfn.IFERROR(D101/D$5,0)</f>
        <v>0</v>
      </c>
    </row>
    <row r="102" ht="14.4" customHeight="1">
      <c r="A102" s="20"/>
      <c r="B102" t="s" s="45">
        <v>94</v>
      </c>
      <c r="C102" s="55"/>
      <c r="D102" s="47">
        <f>_xlfn.SUMIFS(#REF!,#REF!,$B102)</f>
      </c>
      <c r="E102" s="48">
        <f>_xlfn.IFERROR(D102/D$5,0)</f>
        <v>0</v>
      </c>
    </row>
    <row r="103" ht="8" customHeight="1">
      <c r="A103" s="12"/>
      <c r="B103" s="29"/>
      <c r="C103" s="17"/>
      <c r="D103" s="30"/>
      <c r="E103" s="31"/>
    </row>
    <row r="104" ht="14.4" customHeight="1">
      <c r="A104" s="32"/>
      <c r="B104" t="s" s="50">
        <v>95</v>
      </c>
      <c r="C104" s="22"/>
      <c r="D104" s="51">
        <f>D42+D44</f>
      </c>
      <c r="E104" s="52">
        <f>_xlfn.IFERROR(D104/D$5,0)</f>
        <v>0</v>
      </c>
    </row>
    <row r="105" ht="8" customHeight="1">
      <c r="A105" s="12"/>
      <c r="B105" s="29"/>
      <c r="C105" s="17"/>
      <c r="D105" s="30"/>
      <c r="E105" s="31"/>
    </row>
    <row r="106" ht="14.4" customHeight="1" hidden="1">
      <c r="A106" s="32"/>
      <c r="B106" t="s" s="33">
        <v>96</v>
      </c>
      <c r="C106" s="22"/>
      <c r="D106" s="34">
        <f>D107+D110</f>
      </c>
      <c r="E106" s="35">
        <f>_xlfn.IFERROR(D106/D$5,0)</f>
        <v>0</v>
      </c>
    </row>
    <row r="107" ht="14.4" customHeight="1" hidden="1">
      <c r="A107" s="20"/>
      <c r="B107" t="s" s="25">
        <v>89</v>
      </c>
      <c r="C107" s="26"/>
      <c r="D107" s="27">
        <f>SUM(D108:D109)</f>
      </c>
      <c r="E107" s="28">
        <f>_xlfn.IFERROR(D107/D$5,0)</f>
        <v>0</v>
      </c>
    </row>
    <row r="108" ht="14.4" customHeight="1">
      <c r="A108" s="20"/>
      <c r="B108" t="s" s="37">
        <v>97</v>
      </c>
      <c r="C108" s="26"/>
      <c r="D108" s="27">
        <f>_xlfn.SUMIFS(#REF!,#REF!,$B108)</f>
      </c>
      <c r="E108" s="39">
        <f>_xlfn.IFERROR(D108/D$5,0)</f>
        <v>0</v>
      </c>
    </row>
    <row r="109" ht="14.4" customHeight="1">
      <c r="A109" s="20"/>
      <c r="B109" t="s" s="37">
        <v>98</v>
      </c>
      <c r="C109" s="26"/>
      <c r="D109" s="27">
        <f>_xlfn.SUMIFS(#REF!,#REF!,$B109)</f>
      </c>
      <c r="E109" s="39">
        <f>_xlfn.IFERROR(D109/D$5,0)</f>
        <v>0</v>
      </c>
    </row>
    <row r="110" ht="14.4" customHeight="1" hidden="1">
      <c r="A110" s="20"/>
      <c r="B110" t="s" s="25">
        <v>99</v>
      </c>
      <c r="C110" s="26"/>
      <c r="D110" s="27">
        <f>_xlfn.SUMIFS(#REF!,#REF!,$B110)</f>
      </c>
      <c r="E110" s="28">
        <f>_xlfn.IFERROR(D110/D$5,0)</f>
        <v>0</v>
      </c>
    </row>
    <row r="111" ht="14.4" customHeight="1">
      <c r="A111" s="20"/>
      <c r="B111" t="s" s="37">
        <v>100</v>
      </c>
      <c r="C111" s="26"/>
      <c r="D111" s="27">
        <f>_xlfn.SUMIFS(#REF!,#REF!,$B111)</f>
      </c>
      <c r="E111" s="39">
        <f>_xlfn.IFERROR(D111/D$5,0)</f>
        <v>0</v>
      </c>
    </row>
    <row r="112" ht="14.4" customHeight="1">
      <c r="A112" s="20"/>
      <c r="B112" t="s" s="37">
        <v>101</v>
      </c>
      <c r="C112" s="26"/>
      <c r="D112" s="27">
        <f>_xlfn.SUMIFS(#REF!,#REF!,$B112)</f>
      </c>
      <c r="E112" s="39">
        <f>_xlfn.IFERROR(D112/D$5,0)</f>
        <v>0</v>
      </c>
    </row>
    <row r="113" ht="14.4" customHeight="1">
      <c r="A113" s="20"/>
      <c r="B113" t="s" s="37">
        <v>102</v>
      </c>
      <c r="C113" s="26"/>
      <c r="D113" s="27">
        <f>_xlfn.SUMIFS(#REF!,#REF!,$B113)</f>
      </c>
      <c r="E113" s="39">
        <f>_xlfn.IFERROR(D113/D$5,0)</f>
        <v>0</v>
      </c>
    </row>
    <row r="114" ht="8" customHeight="1" hidden="1">
      <c r="A114" s="12"/>
      <c r="B114" s="29"/>
      <c r="C114" s="17"/>
      <c r="D114" s="30"/>
      <c r="E114" s="31"/>
    </row>
    <row r="115" ht="14.25" customHeight="1" hidden="1">
      <c r="A115" s="32"/>
      <c r="B115" t="s" s="50">
        <v>103</v>
      </c>
      <c r="C115" s="22"/>
      <c r="D115" s="51">
        <f>D104+D106</f>
      </c>
      <c r="E115" s="52">
        <f>_xlfn.IFERROR(D115/D$5,0)</f>
        <v>0</v>
      </c>
    </row>
    <row r="116" ht="14.25" customHeight="1">
      <c r="A116" s="12"/>
      <c r="B116" s="29"/>
      <c r="C116" s="17"/>
      <c r="D116" s="30"/>
      <c r="E116" s="31"/>
    </row>
    <row r="117" ht="14.25" customHeight="1">
      <c r="A117" s="32"/>
      <c r="B117" t="s" s="56">
        <v>104</v>
      </c>
      <c r="C117" s="22"/>
      <c r="D117" s="57">
        <f>SUM(D118:D128)</f>
      </c>
      <c r="E117" s="58">
        <f>_xlfn.IFERROR(D117/D$5,0)</f>
        <v>0</v>
      </c>
    </row>
    <row r="118" ht="14.4" customHeight="1">
      <c r="A118" s="20"/>
      <c r="B118" t="s" s="37">
        <v>105</v>
      </c>
      <c r="C118" s="26"/>
      <c r="D118" s="27">
        <f>_xlfn.SUMIFS(#REF!,#REF!,$B118)</f>
      </c>
      <c r="E118" s="39">
        <f>_xlfn.IFERROR(D118/D$5,0)</f>
        <v>0</v>
      </c>
    </row>
    <row r="119" ht="14.4" customHeight="1">
      <c r="A119" s="20"/>
      <c r="B119" t="s" s="37">
        <v>106</v>
      </c>
      <c r="C119" s="26"/>
      <c r="D119" s="27">
        <f>_xlfn.SUMIFS(#REF!,#REF!,$B119)</f>
      </c>
      <c r="E119" s="39">
        <f>_xlfn.IFERROR(D119/D$5,0)</f>
        <v>0</v>
      </c>
    </row>
    <row r="120" ht="14.4" customHeight="1">
      <c r="A120" s="20"/>
      <c r="B120" t="s" s="37">
        <v>107</v>
      </c>
      <c r="C120" s="26"/>
      <c r="D120" s="27">
        <f>_xlfn.SUMIFS(#REF!,#REF!,$B120)</f>
      </c>
      <c r="E120" s="39">
        <f>_xlfn.IFERROR(D120/D$5,0)</f>
        <v>0</v>
      </c>
    </row>
    <row r="121" ht="14.4" customHeight="1">
      <c r="A121" s="20"/>
      <c r="B121" t="s" s="37">
        <v>108</v>
      </c>
      <c r="C121" s="26"/>
      <c r="D121" s="27">
        <f>_xlfn.SUMIFS(#REF!,#REF!,$B121)</f>
      </c>
      <c r="E121" s="39">
        <f>_xlfn.IFERROR(D121/D$5,0)</f>
        <v>0</v>
      </c>
    </row>
    <row r="122" ht="14.4" customHeight="1">
      <c r="A122" s="20"/>
      <c r="B122" t="s" s="37">
        <v>109</v>
      </c>
      <c r="C122" s="26"/>
      <c r="D122" s="27">
        <f>_xlfn.SUMIFS(#REF!,#REF!,$B122)</f>
      </c>
      <c r="E122" s="39">
        <f>_xlfn.IFERROR(D122/D$5,0)</f>
        <v>0</v>
      </c>
    </row>
    <row r="123" ht="14.4" customHeight="1">
      <c r="A123" s="20"/>
      <c r="B123" t="s" s="37">
        <v>110</v>
      </c>
      <c r="C123" s="26"/>
      <c r="D123" s="27">
        <f>_xlfn.SUMIFS(#REF!,#REF!,$B123)</f>
      </c>
      <c r="E123" s="39">
        <f>_xlfn.IFERROR(D123/D$5,0)</f>
        <v>0</v>
      </c>
    </row>
    <row r="124" ht="14.4" customHeight="1">
      <c r="A124" s="20"/>
      <c r="B124" t="s" s="37">
        <v>111</v>
      </c>
      <c r="C124" s="26"/>
      <c r="D124" s="27">
        <f>_xlfn.SUMIFS(#REF!,#REF!,$B124)</f>
      </c>
      <c r="E124" s="39">
        <f>_xlfn.IFERROR(D124/D$5,0)</f>
        <v>0</v>
      </c>
    </row>
    <row r="125" ht="15.75" customHeight="1">
      <c r="A125" s="20"/>
      <c r="B125" t="s" s="37">
        <v>112</v>
      </c>
      <c r="C125" s="26"/>
      <c r="D125" s="27">
        <f>_xlfn.SUMIFS(#REF!,#REF!,$B125)</f>
      </c>
      <c r="E125" s="39">
        <f>_xlfn.IFERROR(D125/D$5,0)</f>
        <v>0</v>
      </c>
    </row>
    <row r="126" ht="15.75" customHeight="1">
      <c r="A126" s="20"/>
      <c r="B126" t="s" s="37">
        <v>113</v>
      </c>
      <c r="C126" s="26"/>
      <c r="D126" s="27">
        <f>_xlfn.SUMIFS(#REF!,#REF!,$B126)</f>
      </c>
      <c r="E126" s="39">
        <f>_xlfn.IFERROR(D126/D$5,0)</f>
        <v>0</v>
      </c>
    </row>
    <row r="127" ht="14.4" customHeight="1">
      <c r="A127" s="20"/>
      <c r="B127" t="s" s="37">
        <v>114</v>
      </c>
      <c r="C127" s="26"/>
      <c r="D127" s="27">
        <f>_xlfn.SUMIFS(#REF!,#REF!,$B127)</f>
      </c>
      <c r="E127" s="39">
        <f>_xlfn.IFERROR(D127/D$5,0)</f>
        <v>0</v>
      </c>
    </row>
    <row r="128" ht="14.4" customHeight="1">
      <c r="A128" s="20"/>
      <c r="B128" t="s" s="37">
        <v>115</v>
      </c>
      <c r="C128" s="26"/>
      <c r="D128" s="27">
        <f>_xlfn.SUMIFS(#REF!,#REF!,$B128)</f>
      </c>
      <c r="E128" s="39">
        <f>_xlfn.IFERROR(D128/D$5,0)</f>
        <v>0</v>
      </c>
    </row>
    <row r="129" ht="9" customHeight="1">
      <c r="A129" s="12"/>
      <c r="B129" s="29"/>
      <c r="C129" s="17"/>
      <c r="D129" s="30"/>
      <c r="E129" s="31"/>
    </row>
    <row r="130" ht="14.4" customHeight="1" hidden="1">
      <c r="A130" s="32"/>
      <c r="B130" t="s" s="50">
        <v>116</v>
      </c>
      <c r="C130" s="22"/>
      <c r="D130" s="51">
        <f>D115+D117</f>
      </c>
      <c r="E130" s="52">
        <f>_xlfn.IFERROR(D130/D$5,0)</f>
        <v>0</v>
      </c>
    </row>
    <row r="131" ht="14.4" customHeight="1" hidden="1">
      <c r="A131" s="20"/>
      <c r="B131" t="s" s="59">
        <v>117</v>
      </c>
      <c r="C131" s="9"/>
      <c r="D131" s="60"/>
      <c r="E131" s="61"/>
    </row>
    <row r="132" ht="14.4" customHeight="1" hidden="1">
      <c r="A132" s="20"/>
      <c r="B132" t="s" s="59">
        <v>118</v>
      </c>
      <c r="C132" s="9"/>
      <c r="D132" s="60"/>
      <c r="E132" s="61"/>
    </row>
    <row r="133" ht="14.05" customHeight="1">
      <c r="A133" s="62"/>
      <c r="B133" s="63"/>
      <c r="C133" s="64"/>
      <c r="D133" s="63"/>
      <c r="E133" s="65"/>
    </row>
  </sheetData>
  <mergeCells count="3">
    <mergeCell ref="D4:E4"/>
    <mergeCell ref="D1:E1"/>
    <mergeCell ref="D2:E2"/>
  </mergeCells>
  <conditionalFormatting sqref="B32:E32 B42:E42 B104:E104 B106:E106 B115:E115 B117:E117 B130:E130">
    <cfRule type="cellIs" dxfId="0" priority="1" operator="lessThan" stopIfTrue="1">
      <formula>0</formula>
    </cfRule>
  </conditionalFormatting>
  <pageMargins left="0.25" right="0.25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dimension ref="A1:Q133"/>
  <sheetViews>
    <sheetView workbookViewId="0" showGridLines="0" defaultGridColor="1"/>
  </sheetViews>
  <sheetFormatPr defaultColWidth="8.83333" defaultRowHeight="14.4" customHeight="1" outlineLevelRow="0" outlineLevelCol="0"/>
  <cols>
    <col min="1" max="1" width="66" style="66" customWidth="1"/>
    <col min="2" max="4" width="8.85156" style="66" customWidth="1"/>
    <col min="5" max="5" width="15.1719" style="66" customWidth="1"/>
    <col min="6" max="6" width="8.85156" style="66" customWidth="1"/>
    <col min="7" max="7" width="11.5" style="66" customWidth="1"/>
    <col min="8" max="16" width="8.85156" style="66" customWidth="1"/>
    <col min="17" max="17" width="10.1719" style="66" customWidth="1"/>
    <col min="18" max="16384" width="8.85156" style="66" customWidth="1"/>
  </cols>
  <sheetData>
    <row r="1" ht="21" customHeight="1">
      <c r="A1" s="67"/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8"/>
      <c r="O1" s="68"/>
      <c r="P1" s="68"/>
      <c r="Q1" s="68"/>
    </row>
    <row r="2" ht="18.6" customHeight="1">
      <c r="A2" t="s" s="69">
        <v>5</v>
      </c>
      <c r="B2" s="70"/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</row>
    <row r="3" ht="15" customHeight="1">
      <c r="A3" t="s" s="71">
        <v>119</v>
      </c>
      <c r="B3" s="70"/>
      <c r="C3" s="68"/>
      <c r="D3" s="68"/>
      <c r="E3" s="68"/>
      <c r="F3" s="68"/>
      <c r="G3" s="68"/>
      <c r="H3" s="68"/>
      <c r="I3" s="68"/>
      <c r="J3" s="68"/>
      <c r="K3" s="68"/>
      <c r="L3" s="68"/>
      <c r="M3" s="68"/>
      <c r="N3" s="68"/>
      <c r="O3" s="68"/>
      <c r="P3" s="68"/>
      <c r="Q3" s="68"/>
    </row>
    <row r="4" ht="15" customHeight="1">
      <c r="A4" t="s" s="71">
        <v>120</v>
      </c>
      <c r="B4" s="70"/>
      <c r="C4" s="68"/>
      <c r="D4" s="68"/>
      <c r="E4" s="68"/>
      <c r="F4" s="68"/>
      <c r="G4" s="68"/>
      <c r="H4" s="68"/>
      <c r="I4" s="68"/>
      <c r="J4" s="68"/>
      <c r="K4" s="68"/>
      <c r="L4" s="68"/>
      <c r="M4" s="68"/>
      <c r="N4" s="68"/>
      <c r="O4" s="68"/>
      <c r="P4" s="68"/>
      <c r="Q4" s="68"/>
    </row>
    <row r="5" ht="15" customHeight="1">
      <c r="A5" t="s" s="71">
        <v>7</v>
      </c>
      <c r="B5" s="70"/>
      <c r="C5" s="68"/>
      <c r="D5" s="68"/>
      <c r="E5" s="68"/>
      <c r="F5" s="68"/>
      <c r="G5" s="68"/>
      <c r="H5" s="68"/>
      <c r="I5" s="68"/>
      <c r="J5" s="68"/>
      <c r="K5" s="68"/>
      <c r="L5" s="68"/>
      <c r="M5" s="68"/>
      <c r="N5" s="68"/>
      <c r="O5" s="68"/>
      <c r="P5" s="68"/>
      <c r="Q5" s="68"/>
    </row>
    <row r="6" ht="15" customHeight="1">
      <c r="A6" t="s" s="71">
        <v>6</v>
      </c>
      <c r="B6" s="70"/>
      <c r="C6" s="68"/>
      <c r="D6" s="68"/>
      <c r="E6" s="68"/>
      <c r="F6" s="68"/>
      <c r="G6" s="68"/>
      <c r="H6" s="68"/>
      <c r="I6" s="68"/>
      <c r="J6" s="68"/>
      <c r="K6" s="68"/>
      <c r="L6" s="68"/>
      <c r="M6" s="68"/>
      <c r="N6" s="68"/>
      <c r="O6" s="68"/>
      <c r="P6" s="68"/>
      <c r="Q6" s="68"/>
    </row>
    <row r="7" ht="9.75" customHeight="1">
      <c r="A7" s="72"/>
      <c r="B7" s="68"/>
      <c r="C7" s="68"/>
      <c r="D7" s="68"/>
      <c r="E7" s="68"/>
      <c r="F7" s="68"/>
      <c r="G7" s="68"/>
      <c r="H7" s="68"/>
      <c r="I7" s="68"/>
      <c r="J7" s="68"/>
      <c r="K7" s="68"/>
      <c r="L7" s="68"/>
      <c r="M7" s="68"/>
      <c r="N7" s="68"/>
      <c r="O7" s="68"/>
      <c r="P7" s="68"/>
      <c r="Q7" s="68"/>
    </row>
    <row r="8" ht="18.6" customHeight="1">
      <c r="A8" t="s" s="73">
        <v>8</v>
      </c>
      <c r="B8" s="70"/>
      <c r="C8" s="68"/>
      <c r="D8" s="68"/>
      <c r="E8" s="68"/>
      <c r="F8" s="68"/>
      <c r="G8" s="68"/>
      <c r="H8" s="68"/>
      <c r="I8" s="68"/>
      <c r="J8" s="68"/>
      <c r="K8" s="68"/>
      <c r="L8" s="68"/>
      <c r="M8" s="68"/>
      <c r="N8" s="68"/>
      <c r="O8" s="68"/>
      <c r="P8" s="68"/>
      <c r="Q8" s="74"/>
    </row>
    <row r="9" ht="15" customHeight="1">
      <c r="A9" t="s" s="75">
        <v>9</v>
      </c>
      <c r="B9" s="68"/>
      <c r="C9" s="68"/>
      <c r="D9" s="68"/>
      <c r="E9" s="68"/>
      <c r="F9" s="68"/>
      <c r="G9" s="68"/>
      <c r="H9" s="68"/>
      <c r="I9" s="68"/>
      <c r="J9" s="68"/>
      <c r="K9" s="68"/>
      <c r="L9" s="68"/>
      <c r="M9" s="68"/>
      <c r="N9" s="68"/>
      <c r="O9" s="68"/>
      <c r="P9" s="68"/>
      <c r="Q9" s="68"/>
    </row>
    <row r="10" ht="15" customHeight="1">
      <c r="A10" t="s" s="76">
        <v>10</v>
      </c>
      <c r="B10" s="68"/>
      <c r="C10" s="68"/>
      <c r="D10" s="68"/>
      <c r="E10" s="68"/>
      <c r="F10" s="68"/>
      <c r="G10" s="77"/>
      <c r="H10" s="68"/>
      <c r="I10" s="77"/>
      <c r="J10" s="68"/>
      <c r="K10" s="77"/>
      <c r="L10" s="68"/>
      <c r="M10" s="68"/>
      <c r="N10" s="68"/>
      <c r="O10" s="68"/>
      <c r="P10" s="68"/>
      <c r="Q10" s="68"/>
    </row>
    <row r="11" ht="15" customHeight="1">
      <c r="A11" t="s" s="76">
        <v>11</v>
      </c>
      <c r="B11" s="68"/>
      <c r="C11" s="68"/>
      <c r="D11" s="68"/>
      <c r="E11" s="68"/>
      <c r="F11" s="68"/>
      <c r="G11" s="77"/>
      <c r="H11" s="68"/>
      <c r="I11" s="77"/>
      <c r="J11" s="68"/>
      <c r="K11" s="77"/>
      <c r="L11" s="68"/>
      <c r="M11" s="68"/>
      <c r="N11" s="68"/>
      <c r="O11" s="68"/>
      <c r="P11" s="68"/>
      <c r="Q11" s="68"/>
    </row>
    <row r="12" ht="15" customHeight="1">
      <c r="A12" t="s" s="76">
        <v>12</v>
      </c>
      <c r="B12" s="68"/>
      <c r="C12" s="68"/>
      <c r="D12" s="68"/>
      <c r="E12" s="68"/>
      <c r="F12" s="68"/>
      <c r="G12" s="77"/>
      <c r="H12" s="68"/>
      <c r="I12" s="77"/>
      <c r="J12" s="68"/>
      <c r="K12" s="77"/>
      <c r="L12" s="68"/>
      <c r="M12" s="68"/>
      <c r="N12" s="68"/>
      <c r="O12" s="68"/>
      <c r="P12" s="68"/>
      <c r="Q12" s="68"/>
    </row>
    <row r="13" ht="15" customHeight="1">
      <c r="A13" t="s" s="76">
        <v>13</v>
      </c>
      <c r="B13" s="68"/>
      <c r="C13" s="68"/>
      <c r="D13" s="68"/>
      <c r="E13" s="68"/>
      <c r="F13" s="68"/>
      <c r="G13" s="77"/>
      <c r="H13" s="68"/>
      <c r="I13" s="77"/>
      <c r="J13" s="68"/>
      <c r="K13" s="77"/>
      <c r="L13" s="68"/>
      <c r="M13" s="68"/>
      <c r="N13" s="68"/>
      <c r="O13" s="68"/>
      <c r="P13" s="68"/>
      <c r="Q13" s="68"/>
    </row>
    <row r="14" ht="15" customHeight="1">
      <c r="A14" t="s" s="75">
        <v>14</v>
      </c>
      <c r="B14" s="68"/>
      <c r="C14" s="68"/>
      <c r="D14" s="68"/>
      <c r="E14" s="68"/>
      <c r="F14" s="68"/>
      <c r="G14" s="77"/>
      <c r="H14" s="68"/>
      <c r="I14" s="77"/>
      <c r="J14" s="68"/>
      <c r="K14" s="77"/>
      <c r="L14" s="68"/>
      <c r="M14" s="68"/>
      <c r="N14" s="68"/>
      <c r="O14" s="68"/>
      <c r="P14" s="68"/>
      <c r="Q14" s="68"/>
    </row>
    <row r="15" ht="15" customHeight="1">
      <c r="A15" t="s" s="76">
        <v>15</v>
      </c>
      <c r="B15" s="68"/>
      <c r="C15" s="68"/>
      <c r="D15" s="68"/>
      <c r="E15" s="68"/>
      <c r="F15" s="68"/>
      <c r="G15" s="77"/>
      <c r="H15" s="68"/>
      <c r="I15" s="77"/>
      <c r="J15" s="68"/>
      <c r="K15" s="77"/>
      <c r="L15" s="68"/>
      <c r="M15" s="68"/>
      <c r="N15" s="68"/>
      <c r="O15" s="68"/>
      <c r="P15" s="68"/>
      <c r="Q15" s="68"/>
    </row>
    <row r="16" ht="15" customHeight="1">
      <c r="A16" t="s" s="76">
        <v>16</v>
      </c>
      <c r="B16" s="68"/>
      <c r="C16" s="68"/>
      <c r="D16" s="68"/>
      <c r="E16" s="68"/>
      <c r="F16" s="68"/>
      <c r="G16" s="77"/>
      <c r="H16" s="68"/>
      <c r="I16" s="77"/>
      <c r="J16" s="68"/>
      <c r="K16" s="77"/>
      <c r="L16" s="68"/>
      <c r="M16" s="68"/>
      <c r="N16" s="68"/>
      <c r="O16" s="68"/>
      <c r="P16" s="68"/>
      <c r="Q16" s="68"/>
    </row>
    <row r="17" ht="15" customHeight="1">
      <c r="A17" t="s" s="76">
        <v>17</v>
      </c>
      <c r="B17" s="68"/>
      <c r="C17" s="68"/>
      <c r="D17" s="68"/>
      <c r="E17" s="68"/>
      <c r="F17" s="68"/>
      <c r="G17" s="77"/>
      <c r="H17" s="68"/>
      <c r="I17" s="77"/>
      <c r="J17" s="68"/>
      <c r="K17" s="77"/>
      <c r="L17" s="68"/>
      <c r="M17" s="68"/>
      <c r="N17" s="68"/>
      <c r="O17" s="68"/>
      <c r="P17" s="68"/>
      <c r="Q17" s="68"/>
    </row>
    <row r="18" ht="15" customHeight="1">
      <c r="A18" t="s" s="76">
        <v>18</v>
      </c>
      <c r="B18" s="68"/>
      <c r="C18" s="68"/>
      <c r="D18" s="68"/>
      <c r="E18" s="68"/>
      <c r="F18" s="68"/>
      <c r="G18" s="77"/>
      <c r="H18" s="68"/>
      <c r="I18" s="77"/>
      <c r="J18" s="68"/>
      <c r="K18" s="77"/>
      <c r="L18" s="68"/>
      <c r="M18" s="68"/>
      <c r="N18" s="68"/>
      <c r="O18" s="68"/>
      <c r="P18" s="68"/>
      <c r="Q18" s="68"/>
    </row>
    <row r="19" ht="8" customHeight="1">
      <c r="A19" s="72"/>
      <c r="B19" s="68"/>
      <c r="C19" s="68"/>
      <c r="D19" s="68"/>
      <c r="E19" s="68"/>
      <c r="F19" s="68"/>
      <c r="G19" s="77"/>
      <c r="H19" s="68"/>
      <c r="I19" s="77"/>
      <c r="J19" s="68"/>
      <c r="K19" s="77"/>
      <c r="L19" s="68"/>
      <c r="M19" s="68"/>
      <c r="N19" s="68"/>
      <c r="O19" s="68"/>
      <c r="P19" s="68"/>
      <c r="Q19" s="68"/>
    </row>
    <row r="20" ht="18.6" customHeight="1">
      <c r="A20" t="s" s="73">
        <v>20</v>
      </c>
      <c r="B20" s="70"/>
      <c r="C20" s="68"/>
      <c r="D20" s="68"/>
      <c r="E20" s="68"/>
      <c r="F20" s="68"/>
      <c r="G20" s="77"/>
      <c r="H20" s="68"/>
      <c r="I20" s="77"/>
      <c r="J20" s="68"/>
      <c r="K20" s="77"/>
      <c r="L20" s="68"/>
      <c r="M20" s="68"/>
      <c r="N20" s="68"/>
      <c r="O20" s="68"/>
      <c r="P20" s="68"/>
      <c r="Q20" s="68"/>
    </row>
    <row r="21" ht="15" customHeight="1">
      <c r="A21" t="s" s="75">
        <v>21</v>
      </c>
      <c r="B21" s="68"/>
      <c r="C21" s="68"/>
      <c r="D21" s="68"/>
      <c r="E21" s="68"/>
      <c r="F21" s="68"/>
      <c r="G21" s="77"/>
      <c r="H21" s="68"/>
      <c r="I21" s="77"/>
      <c r="J21" s="68"/>
      <c r="K21" s="77"/>
      <c r="L21" s="68"/>
      <c r="M21" s="68"/>
      <c r="N21" s="68"/>
      <c r="O21" s="68"/>
      <c r="P21" s="68"/>
      <c r="Q21" s="68"/>
    </row>
    <row r="22" ht="15" customHeight="1">
      <c r="A22" t="s" s="76">
        <v>22</v>
      </c>
      <c r="B22" s="68"/>
      <c r="C22" s="68"/>
      <c r="D22" s="68"/>
      <c r="E22" s="68"/>
      <c r="F22" s="68"/>
      <c r="G22" s="68"/>
      <c r="H22" s="68"/>
      <c r="I22" s="68"/>
      <c r="J22" s="68"/>
      <c r="K22" s="68"/>
      <c r="L22" s="68"/>
      <c r="M22" s="68"/>
      <c r="N22" s="68"/>
      <c r="O22" s="68"/>
      <c r="P22" s="68"/>
      <c r="Q22" s="68"/>
    </row>
    <row r="23" ht="15" customHeight="1">
      <c r="A23" t="s" s="76">
        <v>23</v>
      </c>
      <c r="B23" s="68"/>
      <c r="C23" s="68"/>
      <c r="D23" s="68"/>
      <c r="E23" s="68"/>
      <c r="F23" s="68"/>
      <c r="G23" s="68"/>
      <c r="H23" s="68"/>
      <c r="I23" s="68"/>
      <c r="J23" s="68"/>
      <c r="K23" s="68"/>
      <c r="L23" s="68"/>
      <c r="M23" s="68"/>
      <c r="N23" s="68"/>
      <c r="O23" s="68"/>
      <c r="P23" s="68"/>
      <c r="Q23" s="68"/>
    </row>
    <row r="24" ht="15" customHeight="1">
      <c r="A24" t="s" s="76">
        <v>24</v>
      </c>
      <c r="B24" s="68"/>
      <c r="C24" s="68"/>
      <c r="D24" s="68"/>
      <c r="E24" s="68"/>
      <c r="F24" s="68"/>
      <c r="G24" s="68"/>
      <c r="H24" s="68"/>
      <c r="I24" s="68"/>
      <c r="J24" s="68"/>
      <c r="K24" s="68"/>
      <c r="L24" s="68"/>
      <c r="M24" s="68"/>
      <c r="N24" s="68"/>
      <c r="O24" s="68"/>
      <c r="P24" s="68"/>
      <c r="Q24" s="68"/>
    </row>
    <row r="25" ht="15" customHeight="1">
      <c r="A25" t="s" s="76">
        <v>25</v>
      </c>
      <c r="B25" s="68"/>
      <c r="C25" s="68"/>
      <c r="D25" s="68"/>
      <c r="E25" s="68"/>
      <c r="F25" s="68"/>
      <c r="G25" s="68"/>
      <c r="H25" s="68"/>
      <c r="I25" s="68"/>
      <c r="J25" s="68"/>
      <c r="K25" s="68"/>
      <c r="L25" s="68"/>
      <c r="M25" s="68"/>
      <c r="N25" s="68"/>
      <c r="O25" s="68"/>
      <c r="P25" s="68"/>
      <c r="Q25" s="68"/>
    </row>
    <row r="26" ht="15" customHeight="1">
      <c r="A26" t="s" s="75">
        <v>26</v>
      </c>
      <c r="B26" s="68"/>
      <c r="C26" s="68"/>
      <c r="D26" s="68"/>
      <c r="E26" s="68"/>
      <c r="F26" s="68"/>
      <c r="G26" s="68"/>
      <c r="H26" s="68"/>
      <c r="I26" s="68"/>
      <c r="J26" s="68"/>
      <c r="K26" s="68"/>
      <c r="L26" s="68"/>
      <c r="M26" s="68"/>
      <c r="N26" s="68"/>
      <c r="O26" s="68"/>
      <c r="P26" s="68"/>
      <c r="Q26" s="68"/>
    </row>
    <row r="27" ht="15" customHeight="1">
      <c r="A27" t="s" s="76">
        <v>121</v>
      </c>
      <c r="B27" s="68"/>
      <c r="C27" s="68"/>
      <c r="D27" s="68"/>
      <c r="E27" s="68"/>
      <c r="F27" s="68"/>
      <c r="G27" s="68"/>
      <c r="H27" s="68"/>
      <c r="I27" s="68"/>
      <c r="J27" s="68"/>
      <c r="K27" s="68"/>
      <c r="L27" s="68"/>
      <c r="M27" s="68"/>
      <c r="N27" s="68"/>
      <c r="O27" s="68"/>
      <c r="P27" s="68"/>
      <c r="Q27" s="68"/>
    </row>
    <row r="28" ht="15" customHeight="1">
      <c r="A28" t="s" s="76">
        <v>27</v>
      </c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</row>
    <row r="29" ht="8" customHeight="1">
      <c r="A29" s="72"/>
      <c r="B29" s="68"/>
      <c r="C29" s="68"/>
      <c r="D29" s="68"/>
      <c r="E29" s="68"/>
      <c r="F29" s="68"/>
      <c r="G29" s="68"/>
      <c r="H29" s="68"/>
      <c r="I29" s="68"/>
      <c r="J29" s="68"/>
      <c r="K29" s="68"/>
      <c r="L29" s="68"/>
      <c r="M29" s="68"/>
      <c r="N29" s="68"/>
      <c r="O29" s="68"/>
      <c r="P29" s="68"/>
      <c r="Q29" s="68"/>
    </row>
    <row r="30" ht="18.6" customHeight="1">
      <c r="A30" t="s" s="73">
        <v>29</v>
      </c>
      <c r="B30" s="70"/>
      <c r="C30" s="68"/>
      <c r="D30" s="68"/>
      <c r="E30" s="68"/>
      <c r="F30" s="68"/>
      <c r="G30" s="68"/>
      <c r="H30" s="68"/>
      <c r="I30" s="68"/>
      <c r="J30" s="68"/>
      <c r="K30" s="68"/>
      <c r="L30" s="68"/>
      <c r="M30" s="68"/>
      <c r="N30" s="68"/>
      <c r="O30" s="68"/>
      <c r="P30" s="68"/>
      <c r="Q30" s="68"/>
    </row>
    <row r="31" ht="15" customHeight="1">
      <c r="A31" t="s" s="75">
        <v>30</v>
      </c>
      <c r="B31" s="68"/>
      <c r="C31" s="68"/>
      <c r="D31" s="68"/>
      <c r="E31" s="68"/>
      <c r="F31" s="68"/>
      <c r="G31" s="68"/>
      <c r="H31" s="68"/>
      <c r="I31" s="68"/>
      <c r="J31" s="68"/>
      <c r="K31" s="68"/>
      <c r="L31" s="68"/>
      <c r="M31" s="68"/>
      <c r="N31" s="68"/>
      <c r="O31" s="68"/>
      <c r="P31" s="68"/>
      <c r="Q31" s="68"/>
    </row>
    <row r="32" ht="15" customHeight="1">
      <c r="A32" t="s" s="76">
        <v>122</v>
      </c>
      <c r="B32" s="68"/>
      <c r="C32" s="68"/>
      <c r="D32" s="68"/>
      <c r="E32" s="68"/>
      <c r="F32" s="68"/>
      <c r="G32" s="68"/>
      <c r="H32" s="68"/>
      <c r="I32" s="68"/>
      <c r="J32" s="68"/>
      <c r="K32" s="68"/>
      <c r="L32" s="68"/>
      <c r="M32" s="68"/>
      <c r="N32" s="68"/>
      <c r="O32" s="68"/>
      <c r="P32" s="68"/>
      <c r="Q32" s="68"/>
    </row>
    <row r="33" ht="15" customHeight="1">
      <c r="A33" t="s" s="76">
        <v>31</v>
      </c>
      <c r="B33" s="68"/>
      <c r="C33" s="68"/>
      <c r="D33" s="68"/>
      <c r="E33" s="68"/>
      <c r="F33" s="68"/>
      <c r="G33" s="68"/>
      <c r="H33" s="68"/>
      <c r="I33" s="68"/>
      <c r="J33" s="68"/>
      <c r="K33" s="68"/>
      <c r="L33" s="68"/>
      <c r="M33" s="68"/>
      <c r="N33" s="68"/>
      <c r="O33" s="68"/>
      <c r="P33" s="68"/>
      <c r="Q33" s="68"/>
    </row>
    <row r="34" ht="15" customHeight="1">
      <c r="A34" t="s" s="76">
        <v>32</v>
      </c>
      <c r="B34" s="68"/>
      <c r="C34" s="68"/>
      <c r="D34" s="68"/>
      <c r="E34" s="68"/>
      <c r="F34" s="68"/>
      <c r="G34" s="68"/>
      <c r="H34" s="68"/>
      <c r="I34" s="68"/>
      <c r="J34" s="68"/>
      <c r="K34" s="68"/>
      <c r="L34" s="68"/>
      <c r="M34" s="68"/>
      <c r="N34" s="68"/>
      <c r="O34" s="68"/>
      <c r="P34" s="68"/>
      <c r="Q34" s="68"/>
    </row>
    <row r="35" ht="15" customHeight="1">
      <c r="A35" t="s" s="76">
        <v>33</v>
      </c>
      <c r="B35" s="68"/>
      <c r="C35" s="68"/>
      <c r="D35" s="68"/>
      <c r="E35" s="68"/>
      <c r="F35" s="68"/>
      <c r="G35" s="68"/>
      <c r="H35" s="68"/>
      <c r="I35" s="68"/>
      <c r="J35" s="68"/>
      <c r="K35" s="68"/>
      <c r="L35" s="68"/>
      <c r="M35" s="68"/>
      <c r="N35" s="68"/>
      <c r="O35" s="68"/>
      <c r="P35" s="68"/>
      <c r="Q35" s="68"/>
    </row>
    <row r="36" ht="15" customHeight="1">
      <c r="A36" t="s" s="76">
        <v>34</v>
      </c>
      <c r="B36" s="68"/>
      <c r="C36" s="68"/>
      <c r="D36" s="68"/>
      <c r="E36" s="68"/>
      <c r="F36" s="68"/>
      <c r="G36" s="68"/>
      <c r="H36" s="68"/>
      <c r="I36" s="68"/>
      <c r="J36" s="68"/>
      <c r="K36" s="68"/>
      <c r="L36" s="68"/>
      <c r="M36" s="68"/>
      <c r="N36" s="68"/>
      <c r="O36" s="68"/>
      <c r="P36" s="68"/>
      <c r="Q36" s="68"/>
    </row>
    <row r="37" ht="9" customHeight="1">
      <c r="A37" s="72"/>
      <c r="B37" s="68"/>
      <c r="C37" s="68"/>
      <c r="D37" s="68"/>
      <c r="E37" s="68"/>
      <c r="F37" s="68"/>
      <c r="G37" s="68"/>
      <c r="H37" s="68"/>
      <c r="I37" s="68"/>
      <c r="J37" s="68"/>
      <c r="K37" s="68"/>
      <c r="L37" s="68"/>
      <c r="M37" s="68"/>
      <c r="N37" s="68"/>
      <c r="O37" s="68"/>
      <c r="P37" s="68"/>
      <c r="Q37" s="68"/>
    </row>
    <row r="38" ht="18.6" customHeight="1">
      <c r="A38" t="s" s="73">
        <v>36</v>
      </c>
      <c r="B38" s="70"/>
      <c r="C38" s="68"/>
      <c r="D38" s="68"/>
      <c r="E38" s="68"/>
      <c r="F38" s="68"/>
      <c r="G38" s="68"/>
      <c r="H38" s="68"/>
      <c r="I38" s="68"/>
      <c r="J38" s="68"/>
      <c r="K38" s="68"/>
      <c r="L38" s="68"/>
      <c r="M38" s="68"/>
      <c r="N38" s="68"/>
      <c r="O38" s="68"/>
      <c r="P38" s="68"/>
      <c r="Q38" s="68"/>
    </row>
    <row r="39" ht="15" customHeight="1">
      <c r="A39" t="s" s="75">
        <v>37</v>
      </c>
      <c r="B39" s="68"/>
      <c r="C39" s="68"/>
      <c r="D39" s="68"/>
      <c r="E39" s="68"/>
      <c r="F39" s="68"/>
      <c r="G39" s="68"/>
      <c r="H39" s="68"/>
      <c r="I39" s="68"/>
      <c r="J39" s="68"/>
      <c r="K39" s="68"/>
      <c r="L39" s="68"/>
      <c r="M39" s="68"/>
      <c r="N39" s="68"/>
      <c r="O39" s="68"/>
      <c r="P39" s="68"/>
      <c r="Q39" s="68"/>
    </row>
    <row r="40" ht="15" customHeight="1">
      <c r="A40" t="s" s="76">
        <v>38</v>
      </c>
      <c r="B40" s="68"/>
      <c r="C40" s="68"/>
      <c r="D40" s="68"/>
      <c r="E40" s="68"/>
      <c r="F40" s="68"/>
      <c r="G40" s="68"/>
      <c r="H40" s="68"/>
      <c r="I40" s="68"/>
      <c r="J40" s="68"/>
      <c r="K40" s="68"/>
      <c r="L40" s="68"/>
      <c r="M40" s="68"/>
      <c r="N40" s="68"/>
      <c r="O40" s="68"/>
      <c r="P40" s="68"/>
      <c r="Q40" s="68"/>
    </row>
    <row r="41" ht="15" customHeight="1">
      <c r="A41" t="s" s="76">
        <v>39</v>
      </c>
      <c r="B41" s="68"/>
      <c r="C41" s="68"/>
      <c r="D41" s="68"/>
      <c r="E41" s="68"/>
      <c r="F41" s="68"/>
      <c r="G41" s="68"/>
      <c r="H41" s="68"/>
      <c r="I41" s="68"/>
      <c r="J41" s="68"/>
      <c r="K41" s="68"/>
      <c r="L41" s="68"/>
      <c r="M41" s="68"/>
      <c r="N41" s="68"/>
      <c r="O41" s="68"/>
      <c r="P41" s="68"/>
      <c r="Q41" s="68"/>
    </row>
    <row r="42" ht="15" customHeight="1">
      <c r="A42" t="s" s="76">
        <v>40</v>
      </c>
      <c r="B42" s="68"/>
      <c r="C42" s="68"/>
      <c r="D42" s="68"/>
      <c r="E42" s="68"/>
      <c r="F42" s="68"/>
      <c r="G42" s="68"/>
      <c r="H42" s="68"/>
      <c r="I42" s="68"/>
      <c r="J42" s="68"/>
      <c r="K42" s="68"/>
      <c r="L42" s="68"/>
      <c r="M42" s="68"/>
      <c r="N42" s="68"/>
      <c r="O42" s="68"/>
      <c r="P42" s="68"/>
      <c r="Q42" s="68"/>
    </row>
    <row r="43" ht="15" customHeight="1">
      <c r="A43" t="s" s="76">
        <v>123</v>
      </c>
      <c r="B43" s="68"/>
      <c r="C43" s="68"/>
      <c r="D43" s="68"/>
      <c r="E43" s="68"/>
      <c r="F43" s="68"/>
      <c r="G43" s="68"/>
      <c r="H43" s="68"/>
      <c r="I43" s="68"/>
      <c r="J43" s="68"/>
      <c r="K43" s="68"/>
      <c r="L43" s="68"/>
      <c r="M43" s="68"/>
      <c r="N43" s="68"/>
      <c r="O43" s="68"/>
      <c r="P43" s="68"/>
      <c r="Q43" s="68"/>
    </row>
    <row r="44" ht="15" customHeight="1">
      <c r="A44" t="s" s="76">
        <v>124</v>
      </c>
      <c r="B44" s="68"/>
      <c r="C44" s="68"/>
      <c r="D44" s="68"/>
      <c r="E44" s="68"/>
      <c r="F44" s="68"/>
      <c r="G44" s="68"/>
      <c r="H44" s="68"/>
      <c r="I44" s="68"/>
      <c r="J44" s="68"/>
      <c r="K44" s="68"/>
      <c r="L44" s="68"/>
      <c r="M44" s="68"/>
      <c r="N44" s="68"/>
      <c r="O44" s="68"/>
      <c r="P44" s="68"/>
      <c r="Q44" s="68"/>
    </row>
    <row r="45" ht="15" customHeight="1">
      <c r="A45" t="s" s="76">
        <v>41</v>
      </c>
      <c r="B45" s="68"/>
      <c r="C45" s="68"/>
      <c r="D45" s="68"/>
      <c r="E45" s="68"/>
      <c r="F45" s="68"/>
      <c r="G45" s="68"/>
      <c r="H45" s="68"/>
      <c r="I45" s="68"/>
      <c r="J45" s="68"/>
      <c r="K45" s="68"/>
      <c r="L45" s="68"/>
      <c r="M45" s="68"/>
      <c r="N45" s="68"/>
      <c r="O45" s="68"/>
      <c r="P45" s="68"/>
      <c r="Q45" s="68"/>
    </row>
    <row r="46" ht="15" customHeight="1">
      <c r="A46" t="s" s="76">
        <v>42</v>
      </c>
      <c r="B46" s="68"/>
      <c r="C46" s="68"/>
      <c r="D46" s="68"/>
      <c r="E46" s="68"/>
      <c r="F46" s="68"/>
      <c r="G46" s="68"/>
      <c r="H46" s="68"/>
      <c r="I46" s="68"/>
      <c r="J46" s="68"/>
      <c r="K46" s="68"/>
      <c r="L46" s="68"/>
      <c r="M46" s="68"/>
      <c r="N46" s="68"/>
      <c r="O46" s="68"/>
      <c r="P46" s="68"/>
      <c r="Q46" s="68"/>
    </row>
    <row r="47" ht="15" customHeight="1">
      <c r="A47" t="s" s="76">
        <v>43</v>
      </c>
      <c r="B47" s="68"/>
      <c r="C47" s="68"/>
      <c r="D47" s="68"/>
      <c r="E47" s="68"/>
      <c r="F47" s="68"/>
      <c r="G47" s="68"/>
      <c r="H47" s="68"/>
      <c r="I47" s="68"/>
      <c r="J47" s="68"/>
      <c r="K47" s="68"/>
      <c r="L47" s="68"/>
      <c r="M47" s="68"/>
      <c r="N47" s="68"/>
      <c r="O47" s="68"/>
      <c r="P47" s="68"/>
      <c r="Q47" s="68"/>
    </row>
    <row r="48" ht="15" customHeight="1">
      <c r="A48" t="s" s="76">
        <v>125</v>
      </c>
      <c r="B48" s="68"/>
      <c r="C48" s="68"/>
      <c r="D48" s="68"/>
      <c r="E48" s="68"/>
      <c r="F48" s="68"/>
      <c r="G48" s="68"/>
      <c r="H48" s="68"/>
      <c r="I48" s="68"/>
      <c r="J48" s="68"/>
      <c r="K48" s="68"/>
      <c r="L48" s="68"/>
      <c r="M48" s="68"/>
      <c r="N48" s="68"/>
      <c r="O48" s="68"/>
      <c r="P48" s="68"/>
      <c r="Q48" s="68"/>
    </row>
    <row r="49" ht="15" customHeight="1">
      <c r="A49" t="s" s="76">
        <v>44</v>
      </c>
      <c r="B49" s="68"/>
      <c r="C49" s="68"/>
      <c r="D49" s="68"/>
      <c r="E49" s="68"/>
      <c r="F49" s="68"/>
      <c r="G49" s="68"/>
      <c r="H49" s="68"/>
      <c r="I49" s="68"/>
      <c r="J49" s="68"/>
      <c r="K49" s="68"/>
      <c r="L49" s="68"/>
      <c r="M49" s="68"/>
      <c r="N49" s="68"/>
      <c r="O49" s="68"/>
      <c r="P49" s="68"/>
      <c r="Q49" s="68"/>
    </row>
    <row r="50" ht="15" customHeight="1">
      <c r="A50" t="s" s="76">
        <v>45</v>
      </c>
      <c r="B50" s="68"/>
      <c r="C50" s="68"/>
      <c r="D50" s="68"/>
      <c r="E50" s="68"/>
      <c r="F50" s="68"/>
      <c r="G50" s="68"/>
      <c r="H50" s="68"/>
      <c r="I50" s="68"/>
      <c r="J50" s="68"/>
      <c r="K50" s="68"/>
      <c r="L50" s="68"/>
      <c r="M50" s="68"/>
      <c r="N50" s="68"/>
      <c r="O50" s="68"/>
      <c r="P50" s="68"/>
      <c r="Q50" s="68"/>
    </row>
    <row r="51" ht="15" customHeight="1">
      <c r="A51" t="s" s="76">
        <v>126</v>
      </c>
      <c r="B51" s="68"/>
      <c r="C51" s="68"/>
      <c r="D51" s="68"/>
      <c r="E51" s="68"/>
      <c r="F51" s="68"/>
      <c r="G51" s="68"/>
      <c r="H51" s="68"/>
      <c r="I51" s="68"/>
      <c r="J51" s="68"/>
      <c r="K51" s="68"/>
      <c r="L51" s="68"/>
      <c r="M51" s="68"/>
      <c r="N51" s="68"/>
      <c r="O51" s="68"/>
      <c r="P51" s="68"/>
      <c r="Q51" s="68"/>
    </row>
    <row r="52" ht="15" customHeight="1">
      <c r="A52" t="s" s="76">
        <v>46</v>
      </c>
      <c r="B52" s="68"/>
      <c r="C52" s="68"/>
      <c r="D52" s="68"/>
      <c r="E52" s="68"/>
      <c r="F52" s="68"/>
      <c r="G52" s="68"/>
      <c r="H52" s="68"/>
      <c r="I52" s="68"/>
      <c r="J52" s="68"/>
      <c r="K52" s="68"/>
      <c r="L52" s="68"/>
      <c r="M52" s="68"/>
      <c r="N52" s="68"/>
      <c r="O52" s="68"/>
      <c r="P52" s="68"/>
      <c r="Q52" s="68"/>
    </row>
    <row r="53" ht="15" customHeight="1">
      <c r="A53" t="s" s="76">
        <v>47</v>
      </c>
      <c r="B53" s="68"/>
      <c r="C53" s="68"/>
      <c r="D53" s="68"/>
      <c r="E53" s="68"/>
      <c r="F53" s="68"/>
      <c r="G53" s="68"/>
      <c r="H53" s="68"/>
      <c r="I53" s="68"/>
      <c r="J53" s="68"/>
      <c r="K53" s="68"/>
      <c r="L53" s="68"/>
      <c r="M53" s="68"/>
      <c r="N53" s="68"/>
      <c r="O53" s="68"/>
      <c r="P53" s="68"/>
      <c r="Q53" s="68"/>
    </row>
    <row r="54" ht="15" customHeight="1">
      <c r="A54" t="s" s="76">
        <v>48</v>
      </c>
      <c r="B54" s="68"/>
      <c r="C54" s="68"/>
      <c r="D54" s="68"/>
      <c r="E54" s="68"/>
      <c r="F54" s="68"/>
      <c r="G54" s="68"/>
      <c r="H54" s="68"/>
      <c r="I54" s="68"/>
      <c r="J54" s="68"/>
      <c r="K54" s="68"/>
      <c r="L54" s="68"/>
      <c r="M54" s="68"/>
      <c r="N54" s="68"/>
      <c r="O54" s="68"/>
      <c r="P54" s="68"/>
      <c r="Q54" s="68"/>
    </row>
    <row r="55" ht="15" customHeight="1">
      <c r="A55" t="s" s="76">
        <v>127</v>
      </c>
      <c r="B55" s="68"/>
      <c r="C55" s="68"/>
      <c r="D55" s="68"/>
      <c r="E55" s="68"/>
      <c r="F55" s="68"/>
      <c r="G55" s="68"/>
      <c r="H55" s="68"/>
      <c r="I55" s="68"/>
      <c r="J55" s="68"/>
      <c r="K55" s="68"/>
      <c r="L55" s="68"/>
      <c r="M55" s="68"/>
      <c r="N55" s="68"/>
      <c r="O55" s="68"/>
      <c r="P55" s="68"/>
      <c r="Q55" s="68"/>
    </row>
    <row r="56" ht="15" customHeight="1">
      <c r="A56" t="s" s="76">
        <v>49</v>
      </c>
      <c r="B56" s="68"/>
      <c r="C56" s="68"/>
      <c r="D56" s="68"/>
      <c r="E56" s="68"/>
      <c r="F56" s="68"/>
      <c r="G56" s="68"/>
      <c r="H56" s="68"/>
      <c r="I56" s="68"/>
      <c r="J56" s="68"/>
      <c r="K56" s="68"/>
      <c r="L56" s="68"/>
      <c r="M56" s="68"/>
      <c r="N56" s="68"/>
      <c r="O56" s="68"/>
      <c r="P56" s="68"/>
      <c r="Q56" s="68"/>
    </row>
    <row r="57" ht="15" customHeight="1">
      <c r="A57" t="s" s="76">
        <v>80</v>
      </c>
      <c r="B57" s="68"/>
      <c r="C57" s="68"/>
      <c r="D57" s="68"/>
      <c r="E57" s="68"/>
      <c r="F57" s="68"/>
      <c r="G57" s="68"/>
      <c r="H57" s="68"/>
      <c r="I57" s="68"/>
      <c r="J57" s="68"/>
      <c r="K57" s="68"/>
      <c r="L57" s="68"/>
      <c r="M57" s="68"/>
      <c r="N57" s="68"/>
      <c r="O57" s="68"/>
      <c r="P57" s="68"/>
      <c r="Q57" s="68"/>
    </row>
    <row r="58" ht="15" customHeight="1">
      <c r="A58" t="s" s="76">
        <v>50</v>
      </c>
      <c r="B58" s="68"/>
      <c r="C58" s="68"/>
      <c r="D58" s="68"/>
      <c r="E58" s="68"/>
      <c r="F58" s="68"/>
      <c r="G58" s="68"/>
      <c r="H58" s="68"/>
      <c r="I58" s="68"/>
      <c r="J58" s="68"/>
      <c r="K58" s="68"/>
      <c r="L58" s="68"/>
      <c r="M58" s="68"/>
      <c r="N58" s="68"/>
      <c r="O58" s="68"/>
      <c r="P58" s="68"/>
      <c r="Q58" s="68"/>
    </row>
    <row r="59" ht="15" customHeight="1">
      <c r="A59" t="s" s="76">
        <v>51</v>
      </c>
      <c r="B59" s="68"/>
      <c r="C59" s="68"/>
      <c r="D59" s="68"/>
      <c r="E59" s="68"/>
      <c r="F59" s="68"/>
      <c r="G59" s="68"/>
      <c r="H59" s="68"/>
      <c r="I59" s="68"/>
      <c r="J59" s="68"/>
      <c r="K59" s="68"/>
      <c r="L59" s="68"/>
      <c r="M59" s="68"/>
      <c r="N59" s="68"/>
      <c r="O59" s="68"/>
      <c r="P59" s="68"/>
      <c r="Q59" s="68"/>
    </row>
    <row r="60" ht="15" customHeight="1">
      <c r="A60" t="s" s="76">
        <v>52</v>
      </c>
      <c r="B60" s="68"/>
      <c r="C60" s="68"/>
      <c r="D60" s="68"/>
      <c r="E60" s="68"/>
      <c r="F60" s="68"/>
      <c r="G60" s="68"/>
      <c r="H60" s="68"/>
      <c r="I60" s="68"/>
      <c r="J60" s="68"/>
      <c r="K60" s="68"/>
      <c r="L60" s="68"/>
      <c r="M60" s="68"/>
      <c r="N60" s="68"/>
      <c r="O60" s="68"/>
      <c r="P60" s="68"/>
      <c r="Q60" s="68"/>
    </row>
    <row r="61" ht="15" customHeight="1">
      <c r="A61" t="s" s="76">
        <v>53</v>
      </c>
      <c r="B61" s="68"/>
      <c r="C61" s="68"/>
      <c r="D61" s="68"/>
      <c r="E61" s="68"/>
      <c r="F61" s="68"/>
      <c r="G61" s="68"/>
      <c r="H61" s="68"/>
      <c r="I61" s="68"/>
      <c r="J61" s="68"/>
      <c r="K61" s="68"/>
      <c r="L61" s="68"/>
      <c r="M61" s="68"/>
      <c r="N61" s="68"/>
      <c r="O61" s="68"/>
      <c r="P61" s="68"/>
      <c r="Q61" s="68"/>
    </row>
    <row r="62" ht="15" customHeight="1">
      <c r="A62" t="s" s="76">
        <v>54</v>
      </c>
      <c r="B62" s="68"/>
      <c r="C62" s="68"/>
      <c r="D62" s="68"/>
      <c r="E62" s="68"/>
      <c r="F62" s="68"/>
      <c r="G62" s="68"/>
      <c r="H62" s="68"/>
      <c r="I62" s="68"/>
      <c r="J62" s="68"/>
      <c r="K62" s="68"/>
      <c r="L62" s="68"/>
      <c r="M62" s="68"/>
      <c r="N62" s="68"/>
      <c r="O62" s="68"/>
      <c r="P62" s="68"/>
      <c r="Q62" s="68"/>
    </row>
    <row r="63" ht="15" customHeight="1">
      <c r="A63" t="s" s="76">
        <v>55</v>
      </c>
      <c r="B63" s="68"/>
      <c r="C63" s="68"/>
      <c r="D63" s="68"/>
      <c r="E63" s="68"/>
      <c r="F63" s="68"/>
      <c r="G63" s="68"/>
      <c r="H63" s="68"/>
      <c r="I63" s="68"/>
      <c r="J63" s="68"/>
      <c r="K63" s="68"/>
      <c r="L63" s="68"/>
      <c r="M63" s="68"/>
      <c r="N63" s="68"/>
      <c r="O63" s="68"/>
      <c r="P63" s="68"/>
      <c r="Q63" s="68"/>
    </row>
    <row r="64" ht="15" customHeight="1">
      <c r="A64" t="s" s="76">
        <v>56</v>
      </c>
      <c r="B64" s="68"/>
      <c r="C64" s="68"/>
      <c r="D64" s="68"/>
      <c r="E64" s="68"/>
      <c r="F64" s="68"/>
      <c r="G64" s="68"/>
      <c r="H64" s="68"/>
      <c r="I64" s="68"/>
      <c r="J64" s="68"/>
      <c r="K64" s="68"/>
      <c r="L64" s="68"/>
      <c r="M64" s="68"/>
      <c r="N64" s="68"/>
      <c r="O64" s="68"/>
      <c r="P64" s="68"/>
      <c r="Q64" s="68"/>
    </row>
    <row r="65" ht="15" customHeight="1">
      <c r="A65" t="s" s="76">
        <v>57</v>
      </c>
      <c r="B65" s="68"/>
      <c r="C65" s="68"/>
      <c r="D65" s="68"/>
      <c r="E65" s="68"/>
      <c r="F65" s="68"/>
      <c r="G65" s="68"/>
      <c r="H65" s="68"/>
      <c r="I65" s="68"/>
      <c r="J65" s="68"/>
      <c r="K65" s="68"/>
      <c r="L65" s="68"/>
      <c r="M65" s="68"/>
      <c r="N65" s="68"/>
      <c r="O65" s="68"/>
      <c r="P65" s="68"/>
      <c r="Q65" s="68"/>
    </row>
    <row r="66" ht="15" customHeight="1">
      <c r="A66" t="s" s="76">
        <v>58</v>
      </c>
      <c r="B66" s="68"/>
      <c r="C66" s="68"/>
      <c r="D66" s="68"/>
      <c r="E66" s="68"/>
      <c r="F66" s="68"/>
      <c r="G66" s="68"/>
      <c r="H66" s="68"/>
      <c r="I66" s="68"/>
      <c r="J66" s="68"/>
      <c r="K66" s="68"/>
      <c r="L66" s="68"/>
      <c r="M66" s="68"/>
      <c r="N66" s="68"/>
      <c r="O66" s="68"/>
      <c r="P66" s="68"/>
      <c r="Q66" s="68"/>
    </row>
    <row r="67" ht="15" customHeight="1">
      <c r="A67" t="s" s="76">
        <v>59</v>
      </c>
      <c r="B67" s="68"/>
      <c r="C67" s="68"/>
      <c r="D67" s="68"/>
      <c r="E67" s="68"/>
      <c r="F67" s="68"/>
      <c r="G67" s="68"/>
      <c r="H67" s="68"/>
      <c r="I67" s="68"/>
      <c r="J67" s="68"/>
      <c r="K67" s="68"/>
      <c r="L67" s="68"/>
      <c r="M67" s="68"/>
      <c r="N67" s="68"/>
      <c r="O67" s="68"/>
      <c r="P67" s="68"/>
      <c r="Q67" s="68"/>
    </row>
    <row r="68" ht="15" customHeight="1">
      <c r="A68" t="s" s="76">
        <v>60</v>
      </c>
      <c r="B68" s="68"/>
      <c r="C68" s="68"/>
      <c r="D68" s="68"/>
      <c r="E68" s="68"/>
      <c r="F68" s="68"/>
      <c r="G68" s="68"/>
      <c r="H68" s="68"/>
      <c r="I68" s="68"/>
      <c r="J68" s="68"/>
      <c r="K68" s="68"/>
      <c r="L68" s="68"/>
      <c r="M68" s="68"/>
      <c r="N68" s="68"/>
      <c r="O68" s="68"/>
      <c r="P68" s="68"/>
      <c r="Q68" s="68"/>
    </row>
    <row r="69" ht="15" customHeight="1">
      <c r="A69" t="s" s="76">
        <v>61</v>
      </c>
      <c r="B69" s="68"/>
      <c r="C69" s="68"/>
      <c r="D69" s="68"/>
      <c r="E69" s="68"/>
      <c r="F69" s="68"/>
      <c r="G69" s="68"/>
      <c r="H69" s="68"/>
      <c r="I69" s="68"/>
      <c r="J69" s="68"/>
      <c r="K69" s="68"/>
      <c r="L69" s="68"/>
      <c r="M69" s="68"/>
      <c r="N69" s="68"/>
      <c r="O69" s="68"/>
      <c r="P69" s="68"/>
      <c r="Q69" s="68"/>
    </row>
    <row r="70" ht="15" customHeight="1">
      <c r="A70" t="s" s="75">
        <v>62</v>
      </c>
      <c r="B70" s="68"/>
      <c r="C70" s="68"/>
      <c r="D70" s="68"/>
      <c r="E70" s="68"/>
      <c r="F70" s="68"/>
      <c r="G70" s="68"/>
      <c r="H70" s="68"/>
      <c r="I70" s="68"/>
      <c r="J70" s="68"/>
      <c r="K70" s="68"/>
      <c r="L70" s="68"/>
      <c r="M70" s="68"/>
      <c r="N70" s="68"/>
      <c r="O70" s="68"/>
      <c r="P70" s="68"/>
      <c r="Q70" s="68"/>
    </row>
    <row r="71" ht="15" customHeight="1">
      <c r="A71" t="s" s="76">
        <v>63</v>
      </c>
      <c r="B71" s="68"/>
      <c r="C71" s="68"/>
      <c r="D71" s="68"/>
      <c r="E71" s="68"/>
      <c r="F71" s="68"/>
      <c r="G71" s="68"/>
      <c r="H71" s="68"/>
      <c r="I71" s="68"/>
      <c r="J71" s="68"/>
      <c r="K71" s="68"/>
      <c r="L71" s="68"/>
      <c r="M71" s="68"/>
      <c r="N71" s="68"/>
      <c r="O71" s="68"/>
      <c r="P71" s="68"/>
      <c r="Q71" s="68"/>
    </row>
    <row r="72" ht="15" customHeight="1">
      <c r="A72" t="s" s="76">
        <v>64</v>
      </c>
      <c r="B72" s="68"/>
      <c r="C72" s="68"/>
      <c r="D72" s="68"/>
      <c r="E72" s="68"/>
      <c r="F72" s="68"/>
      <c r="G72" s="68"/>
      <c r="H72" s="68"/>
      <c r="I72" s="68"/>
      <c r="J72" s="68"/>
      <c r="K72" s="68"/>
      <c r="L72" s="68"/>
      <c r="M72" s="68"/>
      <c r="N72" s="68"/>
      <c r="O72" s="68"/>
      <c r="P72" s="68"/>
      <c r="Q72" s="68"/>
    </row>
    <row r="73" ht="15" customHeight="1">
      <c r="A73" t="s" s="76">
        <v>65</v>
      </c>
      <c r="B73" s="68"/>
      <c r="C73" s="68"/>
      <c r="D73" s="68"/>
      <c r="E73" s="68"/>
      <c r="F73" s="68"/>
      <c r="G73" s="68"/>
      <c r="H73" s="68"/>
      <c r="I73" s="68"/>
      <c r="J73" s="68"/>
      <c r="K73" s="68"/>
      <c r="L73" s="68"/>
      <c r="M73" s="68"/>
      <c r="N73" s="68"/>
      <c r="O73" s="68"/>
      <c r="P73" s="68"/>
      <c r="Q73" s="68"/>
    </row>
    <row r="74" ht="15" customHeight="1">
      <c r="A74" t="s" s="76">
        <v>128</v>
      </c>
      <c r="B74" s="68"/>
      <c r="C74" s="68"/>
      <c r="D74" s="68"/>
      <c r="E74" s="68"/>
      <c r="F74" s="68"/>
      <c r="G74" s="68"/>
      <c r="H74" s="68"/>
      <c r="I74" s="68"/>
      <c r="J74" s="68"/>
      <c r="K74" s="68"/>
      <c r="L74" s="68"/>
      <c r="M74" s="68"/>
      <c r="N74" s="68"/>
      <c r="O74" s="68"/>
      <c r="P74" s="68"/>
      <c r="Q74" s="68"/>
    </row>
    <row r="75" ht="15" customHeight="1">
      <c r="A75" t="s" s="76">
        <v>66</v>
      </c>
      <c r="B75" s="68"/>
      <c r="C75" s="68"/>
      <c r="D75" s="68"/>
      <c r="E75" s="68"/>
      <c r="F75" s="68"/>
      <c r="G75" s="68"/>
      <c r="H75" s="68"/>
      <c r="I75" s="68"/>
      <c r="J75" s="68"/>
      <c r="K75" s="68"/>
      <c r="L75" s="68"/>
      <c r="M75" s="68"/>
      <c r="N75" s="68"/>
      <c r="O75" s="68"/>
      <c r="P75" s="68"/>
      <c r="Q75" s="68"/>
    </row>
    <row r="76" ht="15" customHeight="1">
      <c r="A76" t="s" s="76">
        <v>67</v>
      </c>
      <c r="B76" s="68"/>
      <c r="C76" s="68"/>
      <c r="D76" s="68"/>
      <c r="E76" s="68"/>
      <c r="F76" s="68"/>
      <c r="G76" s="68"/>
      <c r="H76" s="68"/>
      <c r="I76" s="68"/>
      <c r="J76" s="68"/>
      <c r="K76" s="68"/>
      <c r="L76" s="68"/>
      <c r="M76" s="68"/>
      <c r="N76" s="68"/>
      <c r="O76" s="68"/>
      <c r="P76" s="68"/>
      <c r="Q76" s="68"/>
    </row>
    <row r="77" ht="15" customHeight="1">
      <c r="A77" t="s" s="76">
        <v>129</v>
      </c>
      <c r="B77" s="68"/>
      <c r="C77" s="68"/>
      <c r="D77" s="68"/>
      <c r="E77" s="68"/>
      <c r="F77" s="68"/>
      <c r="G77" s="68"/>
      <c r="H77" s="68"/>
      <c r="I77" s="68"/>
      <c r="J77" s="68"/>
      <c r="K77" s="68"/>
      <c r="L77" s="68"/>
      <c r="M77" s="68"/>
      <c r="N77" s="68"/>
      <c r="O77" s="68"/>
      <c r="P77" s="68"/>
      <c r="Q77" s="68"/>
    </row>
    <row r="78" ht="15" customHeight="1">
      <c r="A78" t="s" s="76">
        <v>68</v>
      </c>
      <c r="B78" s="68"/>
      <c r="C78" s="68"/>
      <c r="D78" s="68"/>
      <c r="E78" s="68"/>
      <c r="F78" s="68"/>
      <c r="G78" s="68"/>
      <c r="H78" s="68"/>
      <c r="I78" s="68"/>
      <c r="J78" s="68"/>
      <c r="K78" s="68"/>
      <c r="L78" s="68"/>
      <c r="M78" s="68"/>
      <c r="N78" s="68"/>
      <c r="O78" s="68"/>
      <c r="P78" s="68"/>
      <c r="Q78" s="68"/>
    </row>
    <row r="79" ht="15" customHeight="1">
      <c r="A79" t="s" s="76">
        <v>69</v>
      </c>
      <c r="B79" s="68"/>
      <c r="C79" s="68"/>
      <c r="D79" s="68"/>
      <c r="E79" s="68"/>
      <c r="F79" s="68"/>
      <c r="G79" s="68"/>
      <c r="H79" s="68"/>
      <c r="I79" s="68"/>
      <c r="J79" s="68"/>
      <c r="K79" s="68"/>
      <c r="L79" s="68"/>
      <c r="M79" s="68"/>
      <c r="N79" s="68"/>
      <c r="O79" s="68"/>
      <c r="P79" s="68"/>
      <c r="Q79" s="68"/>
    </row>
    <row r="80" ht="15" customHeight="1">
      <c r="A80" t="s" s="76">
        <v>70</v>
      </c>
      <c r="B80" s="68"/>
      <c r="C80" s="68"/>
      <c r="D80" s="68"/>
      <c r="E80" s="68"/>
      <c r="F80" s="68"/>
      <c r="G80" s="68"/>
      <c r="H80" s="68"/>
      <c r="I80" s="68"/>
      <c r="J80" s="68"/>
      <c r="K80" s="68"/>
      <c r="L80" s="68"/>
      <c r="M80" s="68"/>
      <c r="N80" s="68"/>
      <c r="O80" s="68"/>
      <c r="P80" s="68"/>
      <c r="Q80" s="68"/>
    </row>
    <row r="81" ht="15" customHeight="1">
      <c r="A81" t="s" s="76">
        <v>71</v>
      </c>
      <c r="B81" s="68"/>
      <c r="C81" s="68"/>
      <c r="D81" s="68"/>
      <c r="E81" s="68"/>
      <c r="F81" s="68"/>
      <c r="G81" s="68"/>
      <c r="H81" s="68"/>
      <c r="I81" s="68"/>
      <c r="J81" s="68"/>
      <c r="K81" s="68"/>
      <c r="L81" s="68"/>
      <c r="M81" s="68"/>
      <c r="N81" s="68"/>
      <c r="O81" s="68"/>
      <c r="P81" s="68"/>
      <c r="Q81" s="68"/>
    </row>
    <row r="82" ht="15" customHeight="1">
      <c r="A82" t="s" s="76">
        <v>72</v>
      </c>
      <c r="B82" s="68"/>
      <c r="C82" s="68"/>
      <c r="D82" s="68"/>
      <c r="E82" s="68"/>
      <c r="F82" s="68"/>
      <c r="G82" s="68"/>
      <c r="H82" s="68"/>
      <c r="I82" s="68"/>
      <c r="J82" s="68"/>
      <c r="K82" s="68"/>
      <c r="L82" s="68"/>
      <c r="M82" s="68"/>
      <c r="N82" s="68"/>
      <c r="O82" s="68"/>
      <c r="P82" s="68"/>
      <c r="Q82" s="68"/>
    </row>
    <row r="83" ht="15" customHeight="1">
      <c r="A83" t="s" s="76">
        <v>73</v>
      </c>
      <c r="B83" s="68"/>
      <c r="C83" s="68"/>
      <c r="D83" s="68"/>
      <c r="E83" s="68"/>
      <c r="F83" s="68"/>
      <c r="G83" s="68"/>
      <c r="H83" s="68"/>
      <c r="I83" s="68"/>
      <c r="J83" s="68"/>
      <c r="K83" s="68"/>
      <c r="L83" s="68"/>
      <c r="M83" s="68"/>
      <c r="N83" s="68"/>
      <c r="O83" s="68"/>
      <c r="P83" s="68"/>
      <c r="Q83" s="68"/>
    </row>
    <row r="84" ht="15" customHeight="1">
      <c r="A84" t="s" s="76">
        <v>130</v>
      </c>
      <c r="B84" s="68"/>
      <c r="C84" s="68"/>
      <c r="D84" s="68"/>
      <c r="E84" s="68"/>
      <c r="F84" s="68"/>
      <c r="G84" s="68"/>
      <c r="H84" s="68"/>
      <c r="I84" s="68"/>
      <c r="J84" s="68"/>
      <c r="K84" s="68"/>
      <c r="L84" s="68"/>
      <c r="M84" s="68"/>
      <c r="N84" s="68"/>
      <c r="O84" s="68"/>
      <c r="P84" s="68"/>
      <c r="Q84" s="68"/>
    </row>
    <row r="85" ht="15" customHeight="1">
      <c r="A85" t="s" s="76">
        <v>74</v>
      </c>
      <c r="B85" s="68"/>
      <c r="C85" s="68"/>
      <c r="D85" s="68"/>
      <c r="E85" s="68"/>
      <c r="F85" s="68"/>
      <c r="G85" s="68"/>
      <c r="H85" s="68"/>
      <c r="I85" s="68"/>
      <c r="J85" s="68"/>
      <c r="K85" s="68"/>
      <c r="L85" s="68"/>
      <c r="M85" s="68"/>
      <c r="N85" s="68"/>
      <c r="O85" s="68"/>
      <c r="P85" s="68"/>
      <c r="Q85" s="68"/>
    </row>
    <row r="86" ht="15" customHeight="1">
      <c r="A86" t="s" s="76">
        <v>75</v>
      </c>
      <c r="B86" s="68"/>
      <c r="C86" s="68"/>
      <c r="D86" s="68"/>
      <c r="E86" s="68"/>
      <c r="F86" s="68"/>
      <c r="G86" s="68"/>
      <c r="H86" s="68"/>
      <c r="I86" s="68"/>
      <c r="J86" s="68"/>
      <c r="K86" s="68"/>
      <c r="L86" s="68"/>
      <c r="M86" s="68"/>
      <c r="N86" s="68"/>
      <c r="O86" s="68"/>
      <c r="P86" s="68"/>
      <c r="Q86" s="68"/>
    </row>
    <row r="87" ht="15" customHeight="1">
      <c r="A87" t="s" s="76">
        <v>76</v>
      </c>
      <c r="B87" s="68"/>
      <c r="C87" s="68"/>
      <c r="D87" s="68"/>
      <c r="E87" s="68"/>
      <c r="F87" s="68"/>
      <c r="G87" s="68"/>
      <c r="H87" s="68"/>
      <c r="I87" s="68"/>
      <c r="J87" s="68"/>
      <c r="K87" s="68"/>
      <c r="L87" s="68"/>
      <c r="M87" s="68"/>
      <c r="N87" s="68"/>
      <c r="O87" s="68"/>
      <c r="P87" s="68"/>
      <c r="Q87" s="68"/>
    </row>
    <row r="88" ht="15" customHeight="1">
      <c r="A88" t="s" s="75">
        <v>77</v>
      </c>
      <c r="B88" s="68"/>
      <c r="C88" s="68"/>
      <c r="D88" s="68"/>
      <c r="E88" s="68"/>
      <c r="F88" s="68"/>
      <c r="G88" s="68"/>
      <c r="H88" s="68"/>
      <c r="I88" s="68"/>
      <c r="J88" s="68"/>
      <c r="K88" s="68"/>
      <c r="L88" s="68"/>
      <c r="M88" s="68"/>
      <c r="N88" s="68"/>
      <c r="O88" s="68"/>
      <c r="P88" s="68"/>
      <c r="Q88" s="68"/>
    </row>
    <row r="89" ht="15" customHeight="1">
      <c r="A89" t="s" s="76">
        <v>78</v>
      </c>
      <c r="B89" s="68"/>
      <c r="C89" s="68"/>
      <c r="D89" s="68"/>
      <c r="E89" s="68"/>
      <c r="F89" s="68"/>
      <c r="G89" s="68"/>
      <c r="H89" s="68"/>
      <c r="I89" s="68"/>
      <c r="J89" s="68"/>
      <c r="K89" s="68"/>
      <c r="L89" s="68"/>
      <c r="M89" s="68"/>
      <c r="N89" s="68"/>
      <c r="O89" s="68"/>
      <c r="P89" s="68"/>
      <c r="Q89" s="68"/>
    </row>
    <row r="90" ht="15" customHeight="1">
      <c r="A90" t="s" s="76">
        <v>131</v>
      </c>
      <c r="B90" s="68"/>
      <c r="C90" s="68"/>
      <c r="D90" s="68"/>
      <c r="E90" s="68"/>
      <c r="F90" s="68"/>
      <c r="G90" s="68"/>
      <c r="H90" s="68"/>
      <c r="I90" s="68"/>
      <c r="J90" s="68"/>
      <c r="K90" s="68"/>
      <c r="L90" s="68"/>
      <c r="M90" s="68"/>
      <c r="N90" s="68"/>
      <c r="O90" s="68"/>
      <c r="P90" s="68"/>
      <c r="Q90" s="68"/>
    </row>
    <row r="91" ht="15" customHeight="1">
      <c r="A91" t="s" s="76">
        <v>79</v>
      </c>
      <c r="B91" s="68"/>
      <c r="C91" s="68"/>
      <c r="D91" s="68"/>
      <c r="E91" s="68"/>
      <c r="F91" s="68"/>
      <c r="G91" s="68"/>
      <c r="H91" s="68"/>
      <c r="I91" s="68"/>
      <c r="J91" s="68"/>
      <c r="K91" s="68"/>
      <c r="L91" s="68"/>
      <c r="M91" s="68"/>
      <c r="N91" s="68"/>
      <c r="O91" s="68"/>
      <c r="P91" s="68"/>
      <c r="Q91" s="68"/>
    </row>
    <row r="92" ht="15" customHeight="1">
      <c r="A92" t="s" s="76">
        <v>132</v>
      </c>
      <c r="B92" s="68"/>
      <c r="C92" s="68"/>
      <c r="D92" s="68"/>
      <c r="E92" s="68"/>
      <c r="F92" s="68"/>
      <c r="G92" s="68"/>
      <c r="H92" s="68"/>
      <c r="I92" s="68"/>
      <c r="J92" s="68"/>
      <c r="K92" s="68"/>
      <c r="L92" s="68"/>
      <c r="M92" s="68"/>
      <c r="N92" s="68"/>
      <c r="O92" s="68"/>
      <c r="P92" s="68"/>
      <c r="Q92" s="68"/>
    </row>
    <row r="93" ht="15" customHeight="1">
      <c r="A93" t="s" s="75">
        <v>81</v>
      </c>
      <c r="B93" s="68"/>
      <c r="C93" s="68"/>
      <c r="D93" s="68"/>
      <c r="E93" s="68"/>
      <c r="F93" s="68"/>
      <c r="G93" s="68"/>
      <c r="H93" s="68"/>
      <c r="I93" s="68"/>
      <c r="J93" s="68"/>
      <c r="K93" s="68"/>
      <c r="L93" s="68"/>
      <c r="M93" s="68"/>
      <c r="N93" s="68"/>
      <c r="O93" s="68"/>
      <c r="P93" s="68"/>
      <c r="Q93" s="68"/>
    </row>
    <row r="94" ht="15" customHeight="1">
      <c r="A94" t="s" s="76">
        <v>82</v>
      </c>
      <c r="B94" s="68"/>
      <c r="C94" s="68"/>
      <c r="D94" s="68"/>
      <c r="E94" s="68"/>
      <c r="F94" s="68"/>
      <c r="G94" s="68"/>
      <c r="H94" s="68"/>
      <c r="I94" s="68"/>
      <c r="J94" s="68"/>
      <c r="K94" s="68"/>
      <c r="L94" s="68"/>
      <c r="M94" s="68"/>
      <c r="N94" s="68"/>
      <c r="O94" s="68"/>
      <c r="P94" s="68"/>
      <c r="Q94" s="68"/>
    </row>
    <row r="95" ht="15" customHeight="1">
      <c r="A95" t="s" s="76">
        <v>83</v>
      </c>
      <c r="B95" s="68"/>
      <c r="C95" s="68"/>
      <c r="D95" s="68"/>
      <c r="E95" s="68"/>
      <c r="F95" s="68"/>
      <c r="G95" s="68"/>
      <c r="H95" s="68"/>
      <c r="I95" s="68"/>
      <c r="J95" s="68"/>
      <c r="K95" s="68"/>
      <c r="L95" s="68"/>
      <c r="M95" s="68"/>
      <c r="N95" s="68"/>
      <c r="O95" s="68"/>
      <c r="P95" s="68"/>
      <c r="Q95" s="68"/>
    </row>
    <row r="96" ht="15" customHeight="1">
      <c r="A96" t="s" s="76">
        <v>84</v>
      </c>
      <c r="B96" s="68"/>
      <c r="C96" s="68"/>
      <c r="D96" s="68"/>
      <c r="E96" s="68"/>
      <c r="F96" s="68"/>
      <c r="G96" s="68"/>
      <c r="H96" s="68"/>
      <c r="I96" s="68"/>
      <c r="J96" s="68"/>
      <c r="K96" s="68"/>
      <c r="L96" s="68"/>
      <c r="M96" s="68"/>
      <c r="N96" s="68"/>
      <c r="O96" s="68"/>
      <c r="P96" s="68"/>
      <c r="Q96" s="68"/>
    </row>
    <row r="97" ht="15" customHeight="1">
      <c r="A97" t="s" s="76">
        <v>85</v>
      </c>
      <c r="B97" s="68"/>
      <c r="C97" s="68"/>
      <c r="D97" s="68"/>
      <c r="E97" s="68"/>
      <c r="F97" s="68"/>
      <c r="G97" s="68"/>
      <c r="H97" s="68"/>
      <c r="I97" s="68"/>
      <c r="J97" s="68"/>
      <c r="K97" s="68"/>
      <c r="L97" s="68"/>
      <c r="M97" s="68"/>
      <c r="N97" s="68"/>
      <c r="O97" s="68"/>
      <c r="P97" s="68"/>
      <c r="Q97" s="68"/>
    </row>
    <row r="98" ht="15" customHeight="1">
      <c r="A98" t="s" s="76">
        <v>86</v>
      </c>
      <c r="B98" s="68"/>
      <c r="C98" s="68"/>
      <c r="D98" s="68"/>
      <c r="E98" s="68"/>
      <c r="F98" s="68"/>
      <c r="G98" s="68"/>
      <c r="H98" s="68"/>
      <c r="I98" s="68"/>
      <c r="J98" s="68"/>
      <c r="K98" s="68"/>
      <c r="L98" s="68"/>
      <c r="M98" s="68"/>
      <c r="N98" s="68"/>
      <c r="O98" s="68"/>
      <c r="P98" s="68"/>
      <c r="Q98" s="68"/>
    </row>
    <row r="99" ht="15" customHeight="1">
      <c r="A99" t="s" s="76">
        <v>87</v>
      </c>
      <c r="B99" s="68"/>
      <c r="C99" s="68"/>
      <c r="D99" s="68"/>
      <c r="E99" s="68"/>
      <c r="F99" s="68"/>
      <c r="G99" s="68"/>
      <c r="H99" s="68"/>
      <c r="I99" s="68"/>
      <c r="J99" s="68"/>
      <c r="K99" s="68"/>
      <c r="L99" s="68"/>
      <c r="M99" s="68"/>
      <c r="N99" s="68"/>
      <c r="O99" s="68"/>
      <c r="P99" s="68"/>
      <c r="Q99" s="68"/>
    </row>
    <row r="100" ht="15" customHeight="1">
      <c r="A100" t="s" s="76">
        <v>88</v>
      </c>
      <c r="B100" s="68"/>
      <c r="C100" s="68"/>
      <c r="D100" s="68"/>
      <c r="E100" s="68"/>
      <c r="F100" s="68"/>
      <c r="G100" s="68"/>
      <c r="H100" s="68"/>
      <c r="I100" s="68"/>
      <c r="J100" s="68"/>
      <c r="K100" s="68"/>
      <c r="L100" s="68"/>
      <c r="M100" s="68"/>
      <c r="N100" s="68"/>
      <c r="O100" s="68"/>
      <c r="P100" s="68"/>
      <c r="Q100" s="68"/>
    </row>
    <row r="101" ht="15" customHeight="1">
      <c r="A101" t="s" s="76">
        <v>133</v>
      </c>
      <c r="B101" s="68"/>
      <c r="C101" s="68"/>
      <c r="D101" s="68"/>
      <c r="E101" s="68"/>
      <c r="F101" s="68"/>
      <c r="G101" s="68"/>
      <c r="H101" s="68"/>
      <c r="I101" s="68"/>
      <c r="J101" s="68"/>
      <c r="K101" s="68"/>
      <c r="L101" s="68"/>
      <c r="M101" s="68"/>
      <c r="N101" s="68"/>
      <c r="O101" s="68"/>
      <c r="P101" s="68"/>
      <c r="Q101" s="68"/>
    </row>
    <row r="102" ht="9" customHeight="1">
      <c r="A102" s="72"/>
      <c r="B102" s="68"/>
      <c r="C102" s="68"/>
      <c r="D102" s="68"/>
      <c r="E102" s="68"/>
      <c r="F102" s="68"/>
      <c r="G102" s="68"/>
      <c r="H102" s="68"/>
      <c r="I102" s="68"/>
      <c r="J102" s="68"/>
      <c r="K102" s="68"/>
      <c r="L102" s="68"/>
      <c r="M102" s="68"/>
      <c r="N102" s="68"/>
      <c r="O102" s="68"/>
      <c r="P102" s="68"/>
      <c r="Q102" s="68"/>
    </row>
    <row r="103" ht="18.6" customHeight="1">
      <c r="A103" t="s" s="73">
        <v>96</v>
      </c>
      <c r="B103" s="70"/>
      <c r="C103" s="68"/>
      <c r="D103" s="68"/>
      <c r="E103" s="68"/>
      <c r="F103" s="68"/>
      <c r="G103" s="68"/>
      <c r="H103" s="68"/>
      <c r="I103" s="68"/>
      <c r="J103" s="68"/>
      <c r="K103" s="68"/>
      <c r="L103" s="68"/>
      <c r="M103" s="68"/>
      <c r="N103" s="68"/>
      <c r="O103" s="68"/>
      <c r="P103" s="68"/>
      <c r="Q103" s="68"/>
    </row>
    <row r="104" ht="15" customHeight="1">
      <c r="A104" t="s" s="75">
        <v>89</v>
      </c>
      <c r="B104" s="68"/>
      <c r="C104" s="68"/>
      <c r="D104" s="68"/>
      <c r="E104" s="68"/>
      <c r="F104" s="68"/>
      <c r="G104" s="68"/>
      <c r="H104" s="68"/>
      <c r="I104" s="68"/>
      <c r="J104" s="68"/>
      <c r="K104" s="68"/>
      <c r="L104" s="68"/>
      <c r="M104" s="68"/>
      <c r="N104" s="68"/>
      <c r="O104" s="68"/>
      <c r="P104" s="68"/>
      <c r="Q104" s="68"/>
    </row>
    <row r="105" ht="15" customHeight="1">
      <c r="A105" t="s" s="76">
        <v>90</v>
      </c>
      <c r="B105" s="68"/>
      <c r="C105" s="68"/>
      <c r="D105" s="68"/>
      <c r="E105" s="68"/>
      <c r="F105" s="68"/>
      <c r="G105" s="68"/>
      <c r="H105" s="68"/>
      <c r="I105" s="68"/>
      <c r="J105" s="68"/>
      <c r="K105" s="68"/>
      <c r="L105" s="68"/>
      <c r="M105" s="68"/>
      <c r="N105" s="68"/>
      <c r="O105" s="68"/>
      <c r="P105" s="68"/>
      <c r="Q105" s="68"/>
    </row>
    <row r="106" ht="15" customHeight="1">
      <c r="A106" t="s" s="76">
        <v>97</v>
      </c>
      <c r="B106" s="68"/>
      <c r="C106" s="68"/>
      <c r="D106" s="68"/>
      <c r="E106" s="68"/>
      <c r="F106" s="68"/>
      <c r="G106" s="68"/>
      <c r="H106" s="68"/>
      <c r="I106" s="68"/>
      <c r="J106" s="68"/>
      <c r="K106" s="68"/>
      <c r="L106" s="68"/>
      <c r="M106" s="68"/>
      <c r="N106" s="68"/>
      <c r="O106" s="68"/>
      <c r="P106" s="68"/>
      <c r="Q106" s="68"/>
    </row>
    <row r="107" ht="15" customHeight="1">
      <c r="A107" t="s" s="76">
        <v>91</v>
      </c>
      <c r="B107" s="68"/>
      <c r="C107" s="68"/>
      <c r="D107" s="68"/>
      <c r="E107" s="68"/>
      <c r="F107" s="68"/>
      <c r="G107" s="68"/>
      <c r="H107" s="68"/>
      <c r="I107" s="68"/>
      <c r="J107" s="68"/>
      <c r="K107" s="68"/>
      <c r="L107" s="68"/>
      <c r="M107" s="68"/>
      <c r="N107" s="68"/>
      <c r="O107" s="68"/>
      <c r="P107" s="68"/>
      <c r="Q107" s="68"/>
    </row>
    <row r="108" ht="15" customHeight="1">
      <c r="A108" t="s" s="76">
        <v>92</v>
      </c>
      <c r="B108" s="68"/>
      <c r="C108" s="68"/>
      <c r="D108" s="68"/>
      <c r="E108" s="68"/>
      <c r="F108" s="68"/>
      <c r="G108" s="68"/>
      <c r="H108" s="68"/>
      <c r="I108" s="68"/>
      <c r="J108" s="68"/>
      <c r="K108" s="68"/>
      <c r="L108" s="68"/>
      <c r="M108" s="68"/>
      <c r="N108" s="68"/>
      <c r="O108" s="68"/>
      <c r="P108" s="68"/>
      <c r="Q108" s="68"/>
    </row>
    <row r="109" ht="15" customHeight="1">
      <c r="A109" t="s" s="76">
        <v>93</v>
      </c>
      <c r="B109" s="68"/>
      <c r="C109" s="68"/>
      <c r="D109" s="68"/>
      <c r="E109" s="68"/>
      <c r="F109" s="68"/>
      <c r="G109" s="68"/>
      <c r="H109" s="68"/>
      <c r="I109" s="68"/>
      <c r="J109" s="68"/>
      <c r="K109" s="68"/>
      <c r="L109" s="68"/>
      <c r="M109" s="68"/>
      <c r="N109" s="68"/>
      <c r="O109" s="68"/>
      <c r="P109" s="68"/>
      <c r="Q109" s="68"/>
    </row>
    <row r="110" ht="15" customHeight="1">
      <c r="A110" t="s" s="76">
        <v>98</v>
      </c>
      <c r="B110" s="68"/>
      <c r="C110" s="68"/>
      <c r="D110" s="68"/>
      <c r="E110" s="68"/>
      <c r="F110" s="68"/>
      <c r="G110" s="68"/>
      <c r="H110" s="68"/>
      <c r="I110" s="68"/>
      <c r="J110" s="68"/>
      <c r="K110" s="68"/>
      <c r="L110" s="68"/>
      <c r="M110" s="68"/>
      <c r="N110" s="68"/>
      <c r="O110" s="68"/>
      <c r="P110" s="68"/>
      <c r="Q110" s="68"/>
    </row>
    <row r="111" ht="15" customHeight="1">
      <c r="A111" t="s" s="76">
        <v>94</v>
      </c>
      <c r="B111" s="68"/>
      <c r="C111" s="68"/>
      <c r="D111" s="68"/>
      <c r="E111" s="68"/>
      <c r="F111" s="68"/>
      <c r="G111" s="68"/>
      <c r="H111" s="68"/>
      <c r="I111" s="68"/>
      <c r="J111" s="68"/>
      <c r="K111" s="68"/>
      <c r="L111" s="68"/>
      <c r="M111" s="68"/>
      <c r="N111" s="68"/>
      <c r="O111" s="68"/>
      <c r="P111" s="68"/>
      <c r="Q111" s="68"/>
    </row>
    <row r="112" ht="15" customHeight="1">
      <c r="A112" t="s" s="75">
        <v>99</v>
      </c>
      <c r="B112" s="68"/>
      <c r="C112" s="68"/>
      <c r="D112" s="68"/>
      <c r="E112" s="68"/>
      <c r="F112" s="68"/>
      <c r="G112" s="68"/>
      <c r="H112" s="68"/>
      <c r="I112" s="68"/>
      <c r="J112" s="68"/>
      <c r="K112" s="68"/>
      <c r="L112" s="68"/>
      <c r="M112" s="68"/>
      <c r="N112" s="68"/>
      <c r="O112" s="68"/>
      <c r="P112" s="68"/>
      <c r="Q112" s="68"/>
    </row>
    <row r="113" ht="15" customHeight="1">
      <c r="A113" t="s" s="76">
        <v>100</v>
      </c>
      <c r="B113" s="68"/>
      <c r="C113" s="68"/>
      <c r="D113" s="68"/>
      <c r="E113" s="68"/>
      <c r="F113" s="68"/>
      <c r="G113" s="68"/>
      <c r="H113" s="68"/>
      <c r="I113" s="68"/>
      <c r="J113" s="68"/>
      <c r="K113" s="68"/>
      <c r="L113" s="68"/>
      <c r="M113" s="68"/>
      <c r="N113" s="68"/>
      <c r="O113" s="68"/>
      <c r="P113" s="68"/>
      <c r="Q113" s="68"/>
    </row>
    <row r="114" ht="15" customHeight="1">
      <c r="A114" t="s" s="76">
        <v>101</v>
      </c>
      <c r="B114" s="68"/>
      <c r="C114" s="68"/>
      <c r="D114" s="68"/>
      <c r="E114" s="68"/>
      <c r="F114" s="68"/>
      <c r="G114" s="68"/>
      <c r="H114" s="68"/>
      <c r="I114" s="68"/>
      <c r="J114" s="68"/>
      <c r="K114" s="68"/>
      <c r="L114" s="68"/>
      <c r="M114" s="68"/>
      <c r="N114" s="68"/>
      <c r="O114" s="68"/>
      <c r="P114" s="68"/>
      <c r="Q114" s="68"/>
    </row>
    <row r="115" ht="15" customHeight="1">
      <c r="A115" t="s" s="76">
        <v>102</v>
      </c>
      <c r="B115" s="68"/>
      <c r="C115" s="68"/>
      <c r="D115" s="68"/>
      <c r="E115" s="68"/>
      <c r="F115" s="68"/>
      <c r="G115" s="68"/>
      <c r="H115" s="68"/>
      <c r="I115" s="68"/>
      <c r="J115" s="68"/>
      <c r="K115" s="68"/>
      <c r="L115" s="68"/>
      <c r="M115" s="68"/>
      <c r="N115" s="68"/>
      <c r="O115" s="68"/>
      <c r="P115" s="68"/>
      <c r="Q115" s="68"/>
    </row>
    <row r="116" ht="8" customHeight="1">
      <c r="A116" s="72"/>
      <c r="B116" s="68"/>
      <c r="C116" s="68"/>
      <c r="D116" s="68"/>
      <c r="E116" s="68"/>
      <c r="F116" s="68"/>
      <c r="G116" s="68"/>
      <c r="H116" s="68"/>
      <c r="I116" s="68"/>
      <c r="J116" s="68"/>
      <c r="K116" s="68"/>
      <c r="L116" s="68"/>
      <c r="M116" s="68"/>
      <c r="N116" s="68"/>
      <c r="O116" s="68"/>
      <c r="P116" s="68"/>
      <c r="Q116" s="68"/>
    </row>
    <row r="117" ht="18.6" customHeight="1">
      <c r="A117" t="s" s="78">
        <v>104</v>
      </c>
      <c r="B117" s="70"/>
      <c r="C117" s="68"/>
      <c r="D117" s="68"/>
      <c r="E117" s="68"/>
      <c r="F117" s="68"/>
      <c r="G117" s="68"/>
      <c r="H117" s="68"/>
      <c r="I117" s="68"/>
      <c r="J117" s="68"/>
      <c r="K117" s="68"/>
      <c r="L117" s="68"/>
      <c r="M117" s="68"/>
      <c r="N117" s="68"/>
      <c r="O117" s="68"/>
      <c r="P117" s="68"/>
      <c r="Q117" s="68"/>
    </row>
    <row r="118" ht="15" customHeight="1">
      <c r="A118" t="s" s="76">
        <v>105</v>
      </c>
      <c r="B118" s="68"/>
      <c r="C118" s="68"/>
      <c r="D118" s="68"/>
      <c r="E118" s="68"/>
      <c r="F118" s="68"/>
      <c r="G118" s="68"/>
      <c r="H118" s="68"/>
      <c r="I118" s="68"/>
      <c r="J118" s="68"/>
      <c r="K118" s="68"/>
      <c r="L118" s="68"/>
      <c r="M118" s="68"/>
      <c r="N118" s="68"/>
      <c r="O118" s="68"/>
      <c r="P118" s="68"/>
      <c r="Q118" s="68"/>
    </row>
    <row r="119" ht="15" customHeight="1">
      <c r="A119" t="s" s="76">
        <v>106</v>
      </c>
      <c r="B119" s="68"/>
      <c r="C119" s="68"/>
      <c r="D119" s="68"/>
      <c r="E119" s="68"/>
      <c r="F119" s="68"/>
      <c r="G119" s="68"/>
      <c r="H119" s="68"/>
      <c r="I119" s="68"/>
      <c r="J119" s="68"/>
      <c r="K119" s="68"/>
      <c r="L119" s="68"/>
      <c r="M119" s="68"/>
      <c r="N119" s="68"/>
      <c r="O119" s="68"/>
      <c r="P119" s="68"/>
      <c r="Q119" s="68"/>
    </row>
    <row r="120" ht="15" customHeight="1">
      <c r="A120" t="s" s="76">
        <v>134</v>
      </c>
      <c r="B120" s="68"/>
      <c r="C120" s="68"/>
      <c r="D120" s="68"/>
      <c r="E120" s="68"/>
      <c r="F120" s="68"/>
      <c r="G120" s="68"/>
      <c r="H120" s="68"/>
      <c r="I120" s="68"/>
      <c r="J120" s="68"/>
      <c r="K120" s="68"/>
      <c r="L120" s="68"/>
      <c r="M120" s="68"/>
      <c r="N120" s="68"/>
      <c r="O120" s="68"/>
      <c r="P120" s="68"/>
      <c r="Q120" s="68"/>
    </row>
    <row r="121" ht="15" customHeight="1">
      <c r="A121" t="s" s="76">
        <v>135</v>
      </c>
      <c r="B121" s="68"/>
      <c r="C121" s="68"/>
      <c r="D121" s="68"/>
      <c r="E121" s="68"/>
      <c r="F121" s="68"/>
      <c r="G121" s="68"/>
      <c r="H121" s="68"/>
      <c r="I121" s="68"/>
      <c r="J121" s="68"/>
      <c r="K121" s="68"/>
      <c r="L121" s="68"/>
      <c r="M121" s="68"/>
      <c r="N121" s="68"/>
      <c r="O121" s="68"/>
      <c r="P121" s="68"/>
      <c r="Q121" s="68"/>
    </row>
    <row r="122" ht="15" customHeight="1">
      <c r="A122" t="s" s="76">
        <v>107</v>
      </c>
      <c r="B122" s="68"/>
      <c r="C122" s="68"/>
      <c r="D122" s="68"/>
      <c r="E122" s="68"/>
      <c r="F122" s="68"/>
      <c r="G122" s="68"/>
      <c r="H122" s="68"/>
      <c r="I122" s="68"/>
      <c r="J122" s="68"/>
      <c r="K122" s="68"/>
      <c r="L122" s="68"/>
      <c r="M122" s="68"/>
      <c r="N122" s="68"/>
      <c r="O122" s="68"/>
      <c r="P122" s="68"/>
      <c r="Q122" s="68"/>
    </row>
    <row r="123" ht="15" customHeight="1">
      <c r="A123" t="s" s="76">
        <v>108</v>
      </c>
      <c r="B123" s="68"/>
      <c r="C123" s="68"/>
      <c r="D123" s="68"/>
      <c r="E123" s="68"/>
      <c r="F123" s="68"/>
      <c r="G123" s="68"/>
      <c r="H123" s="68"/>
      <c r="I123" s="68"/>
      <c r="J123" s="68"/>
      <c r="K123" s="68"/>
      <c r="L123" s="68"/>
      <c r="M123" s="68"/>
      <c r="N123" s="68"/>
      <c r="O123" s="68"/>
      <c r="P123" s="68"/>
      <c r="Q123" s="68"/>
    </row>
    <row r="124" ht="15" customHeight="1">
      <c r="A124" t="s" s="76">
        <v>109</v>
      </c>
      <c r="B124" s="68"/>
      <c r="C124" s="68"/>
      <c r="D124" s="68"/>
      <c r="E124" s="68"/>
      <c r="F124" s="68"/>
      <c r="G124" s="68"/>
      <c r="H124" s="68"/>
      <c r="I124" s="68"/>
      <c r="J124" s="68"/>
      <c r="K124" s="68"/>
      <c r="L124" s="68"/>
      <c r="M124" s="68"/>
      <c r="N124" s="68"/>
      <c r="O124" s="68"/>
      <c r="P124" s="68"/>
      <c r="Q124" s="68"/>
    </row>
    <row r="125" ht="15" customHeight="1">
      <c r="A125" t="s" s="76">
        <v>136</v>
      </c>
      <c r="B125" s="68"/>
      <c r="C125" s="68"/>
      <c r="D125" s="68"/>
      <c r="E125" s="68"/>
      <c r="F125" s="68"/>
      <c r="G125" s="68"/>
      <c r="H125" s="68"/>
      <c r="I125" s="68"/>
      <c r="J125" s="68"/>
      <c r="K125" s="68"/>
      <c r="L125" s="68"/>
      <c r="M125" s="68"/>
      <c r="N125" s="68"/>
      <c r="O125" s="68"/>
      <c r="P125" s="68"/>
      <c r="Q125" s="68"/>
    </row>
    <row r="126" ht="15" customHeight="1">
      <c r="A126" t="s" s="76">
        <v>110</v>
      </c>
      <c r="B126" s="68"/>
      <c r="C126" s="68"/>
      <c r="D126" s="68"/>
      <c r="E126" s="68"/>
      <c r="F126" s="68"/>
      <c r="G126" s="68"/>
      <c r="H126" s="68"/>
      <c r="I126" s="68"/>
      <c r="J126" s="68"/>
      <c r="K126" s="68"/>
      <c r="L126" s="68"/>
      <c r="M126" s="68"/>
      <c r="N126" s="68"/>
      <c r="O126" s="68"/>
      <c r="P126" s="68"/>
      <c r="Q126" s="68"/>
    </row>
    <row r="127" ht="15" customHeight="1">
      <c r="A127" t="s" s="76">
        <v>111</v>
      </c>
      <c r="B127" s="68"/>
      <c r="C127" s="68"/>
      <c r="D127" s="68"/>
      <c r="E127" s="68"/>
      <c r="F127" s="68"/>
      <c r="G127" s="68"/>
      <c r="H127" s="68"/>
      <c r="I127" s="68"/>
      <c r="J127" s="68"/>
      <c r="K127" s="68"/>
      <c r="L127" s="68"/>
      <c r="M127" s="68"/>
      <c r="N127" s="68"/>
      <c r="O127" s="68"/>
      <c r="P127" s="68"/>
      <c r="Q127" s="68"/>
    </row>
    <row r="128" ht="15" customHeight="1">
      <c r="A128" t="s" s="76">
        <v>137</v>
      </c>
      <c r="B128" s="68"/>
      <c r="C128" s="68"/>
      <c r="D128" s="68"/>
      <c r="E128" s="68"/>
      <c r="F128" s="68"/>
      <c r="G128" s="68"/>
      <c r="H128" s="68"/>
      <c r="I128" s="68"/>
      <c r="J128" s="68"/>
      <c r="K128" s="68"/>
      <c r="L128" s="68"/>
      <c r="M128" s="68"/>
      <c r="N128" s="68"/>
      <c r="O128" s="68"/>
      <c r="P128" s="68"/>
      <c r="Q128" s="68"/>
    </row>
    <row r="129" ht="15" customHeight="1">
      <c r="A129" t="s" s="76">
        <v>138</v>
      </c>
      <c r="B129" s="68"/>
      <c r="C129" s="68"/>
      <c r="D129" s="68"/>
      <c r="E129" s="68"/>
      <c r="F129" s="68"/>
      <c r="G129" s="68"/>
      <c r="H129" s="68"/>
      <c r="I129" s="68"/>
      <c r="J129" s="68"/>
      <c r="K129" s="68"/>
      <c r="L129" s="68"/>
      <c r="M129" s="68"/>
      <c r="N129" s="68"/>
      <c r="O129" s="68"/>
      <c r="P129" s="68"/>
      <c r="Q129" s="68"/>
    </row>
    <row r="130" ht="15" customHeight="1">
      <c r="A130" t="s" s="76">
        <v>112</v>
      </c>
      <c r="B130" s="68"/>
      <c r="C130" s="68"/>
      <c r="D130" s="68"/>
      <c r="E130" s="68"/>
      <c r="F130" s="68"/>
      <c r="G130" s="68"/>
      <c r="H130" s="68"/>
      <c r="I130" s="68"/>
      <c r="J130" s="68"/>
      <c r="K130" s="68"/>
      <c r="L130" s="68"/>
      <c r="M130" s="68"/>
      <c r="N130" s="68"/>
      <c r="O130" s="68"/>
      <c r="P130" s="68"/>
      <c r="Q130" s="68"/>
    </row>
    <row r="131" ht="15" customHeight="1">
      <c r="A131" t="s" s="76">
        <v>113</v>
      </c>
      <c r="B131" s="68"/>
      <c r="C131" s="68"/>
      <c r="D131" s="68"/>
      <c r="E131" s="68"/>
      <c r="F131" s="68"/>
      <c r="G131" s="68"/>
      <c r="H131" s="68"/>
      <c r="I131" s="68"/>
      <c r="J131" s="68"/>
      <c r="K131" s="68"/>
      <c r="L131" s="68"/>
      <c r="M131" s="68"/>
      <c r="N131" s="68"/>
      <c r="O131" s="68"/>
      <c r="P131" s="68"/>
      <c r="Q131" s="68"/>
    </row>
    <row r="132" ht="15" customHeight="1">
      <c r="A132" t="s" s="76">
        <v>114</v>
      </c>
      <c r="B132" s="68"/>
      <c r="C132" s="68"/>
      <c r="D132" s="68"/>
      <c r="E132" s="68"/>
      <c r="F132" s="68"/>
      <c r="G132" s="68"/>
      <c r="H132" s="68"/>
      <c r="I132" s="68"/>
      <c r="J132" s="68"/>
      <c r="K132" s="68"/>
      <c r="L132" s="68"/>
      <c r="M132" s="68"/>
      <c r="N132" s="68"/>
      <c r="O132" s="68"/>
      <c r="P132" s="68"/>
      <c r="Q132" s="68"/>
    </row>
    <row r="133" ht="15" customHeight="1">
      <c r="A133" t="s" s="76">
        <v>115</v>
      </c>
      <c r="B133" s="68"/>
      <c r="C133" s="68"/>
      <c r="D133" s="68"/>
      <c r="E133" s="68"/>
      <c r="F133" s="68"/>
      <c r="G133" s="68"/>
      <c r="H133" s="68"/>
      <c r="I133" s="68"/>
      <c r="J133" s="68"/>
      <c r="K133" s="68"/>
      <c r="L133" s="68"/>
      <c r="M133" s="68"/>
      <c r="N133" s="68"/>
      <c r="O133" s="68"/>
      <c r="P133" s="68"/>
      <c r="Q133" s="68"/>
    </row>
  </sheetData>
  <conditionalFormatting sqref="A103 A117">
    <cfRule type="cellIs" dxfId="1" priority="1" operator="lessThan" stopIfTrue="1">
      <formula>0</formula>
    </cfRule>
  </conditionalFormatting>
  <pageMargins left="0.511811" right="0.511811" top="0.787402" bottom="0.787402" header="0.314961" footer="0.314961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