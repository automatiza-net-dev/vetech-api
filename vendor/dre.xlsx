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9.xml" ContentType="application/vnd.openxmlformats-officedocument.spreadsheetml.externalLink+xml"/>
  <Override PartName="/xl/externalLinks/_rels/externalLink3.xml.rels" ContentType="application/vnd.openxmlformats-package.relationships+xml"/>
  <Override PartName="/xl/externalLinks/_rels/externalLink23.xml.rels" ContentType="application/vnd.openxmlformats-package.relationships+xml"/>
  <Override PartName="/xl/externalLinks/_rels/externalLink14.xml.rels" ContentType="application/vnd.openxmlformats-package.relationships+xml"/>
  <Override PartName="/xl/externalLinks/_rels/externalLink15.xml.rels" ContentType="application/vnd.openxmlformats-package.relationships+xml"/>
  <Override PartName="/xl/externalLinks/_rels/externalLink16.xml.rels" ContentType="application/vnd.openxmlformats-package.relationships+xml"/>
  <Override PartName="/xl/externalLinks/_rels/externalLink17.xml.rels" ContentType="application/vnd.openxmlformats-package.relationships+xml"/>
  <Override PartName="/xl/externalLinks/_rels/externalLink1.xml.rels" ContentType="application/vnd.openxmlformats-package.relationships+xml"/>
  <Override PartName="/xl/externalLinks/_rels/externalLink18.xml.rels" ContentType="application/vnd.openxmlformats-package.relationships+xml"/>
  <Override PartName="/xl/externalLinks/_rels/externalLink20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9.xml.rels" ContentType="application/vnd.openxmlformats-package.relationships+xml"/>
  <Override PartName="/xl/externalLinks/_rels/externalLink13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12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11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10.xml.rels" ContentType="application/vnd.openxmlformats-package.relationships+xml"/>
  <Override PartName="/xl/externalLinks/_rels/externalLink22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21.xml.rels" ContentType="application/vnd.openxmlformats-package.relationships+xml"/>
  <Override PartName="/xl/externalLinks/_rels/externalLink19.xml.rels" ContentType="application/vnd.openxmlformats-package.relationships+xml"/>
  <Override PartName="/xl/externalLinks/externalLink8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1.xml" ContentType="application/vnd.openxmlformats-officedocument.spreadsheetml.externalLink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4" activeTab="5"/>
  </bookViews>
  <sheets>
    <sheet name="Metricas" sheetId="1" state="hidden" r:id="rId3"/>
    <sheet name="DRE 2019" sheetId="2" state="hidden" r:id="rId4"/>
    <sheet name="DRE 2020" sheetId="3" state="hidden" r:id="rId5"/>
    <sheet name="DRE 2021" sheetId="4" state="hidden" r:id="rId6"/>
    <sheet name="DRE 2024" sheetId="5" state="visible" r:id="rId7"/>
    <sheet name="Dados Mov Financeira" sheetId="6" state="visible" r:id="rId8"/>
    <sheet name="Grupos de Contas" sheetId="7" state="visible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function="false" hidden="true" localSheetId="5" name="_xlnm._FilterDatabase" vbProcedure="false">'Dados Mov Financeira'!$A$1:$O$25750</definedName>
    <definedName function="false" hidden="false" localSheetId="1" name="_xlnm.Print_Area" vbProcedure="false">'DRE 2019'!$A$1:$AS$149</definedName>
    <definedName function="false" hidden="false" localSheetId="2" name="_xlnm.Print_Area" vbProcedure="false">'DRE 2020'!$A$1:$AS$149</definedName>
    <definedName function="false" hidden="false" localSheetId="3" name="_xlnm.Print_Area" vbProcedure="false">'DRE 2021'!$A$1:$AS$150</definedName>
    <definedName function="false" hidden="false" localSheetId="4" name="_xlnm.Print_Area" vbProcedure="false">'DRE 2024'!$A$1:$CG$133</definedName>
    <definedName function="false" hidden="false" localSheetId="0" name="_xlnm.Print_Area" vbProcedure="false">Metricas!$A$1:$D$70</definedName>
    <definedName function="false" hidden="false" name="A" vbProcedure="false">#REF!</definedName>
    <definedName function="false" hidden="false" name="AAA" vbProcedure="false">#N/A</definedName>
    <definedName function="false" hidden="true" name="AAAA" vbProcedure="false">{#N/A,#N/A,FALSE,"Aging Summary";#N/A,#N/A,FALSE,"Ratio Analysis";#N/A,#N/A,FALSE,"Test 120 Day Accts";#N/A,#N/A,FALSE,"Tickmarks"}</definedName>
    <definedName function="false" hidden="true" name="AAAA_1" vbProcedure="false">{#N/A,#N/A,FALSE,"Aging Summary";#N/A,#N/A,FALSE,"Ratio Analysis";#N/A,#N/A,FALSE,"Test 120 Day Accts";#N/A,#N/A,FALSE,"Tickmarks"}</definedName>
    <definedName function="false" hidden="true" name="AAA_DOCTOPS" vbProcedure="false">"AAA_SET"</definedName>
    <definedName function="false" hidden="true" name="AAA_duser" vbProcedure="false">"OFF"</definedName>
    <definedName function="false" hidden="true" name="AAB_Addin5" vbProcedure="false">"AAB_Description for addin 5,Description for addin 5,Description for addin 5,Description for addin 5,Description for addin 5,Description for addin 5"</definedName>
    <definedName function="false" hidden="true" name="AAB_GSPPG" vbProcedure="false">"AAB_Goldman Sachs PPG Chart Utilities 1.0g"</definedName>
    <definedName function="false" hidden="true" name="ad" vbProcedure="false">{#N/A,#N/A,FALSE,"Aging Summary";#N/A,#N/A,FALSE,"Ratio Analysis";#N/A,#N/A,FALSE,"Test 120 Day Accts";#N/A,#N/A,FALSE,"Tickmarks"}</definedName>
    <definedName function="false" hidden="true" name="adfvad" vbProcedure="false">{#N/A,#N/A,FALSE,"Aging Summary";#N/A,#N/A,FALSE,"Ratio Analysis";#N/A,#N/A,FALSE,"Test 120 Day Accts";#N/A,#N/A,FALSE,"Tickmarks"}</definedName>
    <definedName function="false" hidden="true" name="adfvad_1" vbProcedure="false">{#N/A,#N/A,FALSE,"Aging Summary";#N/A,#N/A,FALSE,"Ratio Analysis";#N/A,#N/A,FALSE,"Test 120 Day Accts";#N/A,#N/A,FALSE,"Tickmarks"}</definedName>
    <definedName function="false" hidden="false" name="adicional" vbProcedure="false">'[2]Percentual de Impostos'!$D$11</definedName>
    <definedName function="false" hidden="false" name="ADICIONALEFETIVO" vbProcedure="false">'[2]Percentual de Impostos'!$G$11</definedName>
    <definedName function="false" hidden="true" name="ad_1" vbProcedure="false">{#N/A,#N/A,FALSE,"Aging Summary";#N/A,#N/A,FALSE,"Ratio Analysis";#N/A,#N/A,FALSE,"Test 120 Day Accts";#N/A,#N/A,FALSE,"Tickmarks"}</definedName>
    <definedName function="false" hidden="false" name="ano_base" vbProcedure="false">[3]Parâmetros!$F$1</definedName>
    <definedName function="false" hidden="true" name="anscount" vbProcedure="false">1</definedName>
    <definedName function="false" hidden="false" name="AS" vbProcedure="false">#REF!</definedName>
    <definedName function="false" hidden="true" name="AS2DocOpenMode" vbProcedure="false">"AS2DocumentEdit"</definedName>
    <definedName function="false" hidden="true" name="AS2HasNoAutoHeaderFooter" vbProcedure="false">" "</definedName>
    <definedName function="false" hidden="true" name="AS2ReportLS" vbProcedure="false">1</definedName>
    <definedName function="false" hidden="true" name="AS2SyncStepLS" vbProcedure="false">0</definedName>
    <definedName function="false" hidden="true" name="AS2VersionLS" vbProcedure="false">300</definedName>
    <definedName function="false" hidden="true" name="Assumptios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Assumptios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name="Atendimento" vbProcedure="false">'[4]00- premissas'!#ref!</definedName>
    <definedName function="false" hidden="false" name="atendimentoano1" vbProcedure="false">'[4]00- Premissas'!$C$4</definedName>
    <definedName function="false" hidden="false" name="atendimentoano2" vbProcedure="false">'[4]00- Premissas'!$C$5</definedName>
    <definedName function="false" hidden="false" name="atendimentoano3" vbProcedure="false">'[4]00- Premissas'!$C$6</definedName>
    <definedName function="false" hidden="false" name="atendimentoano4" vbProcedure="false">'[4]00- Premissas'!$C$7</definedName>
    <definedName function="false" hidden="false" name="atendimentoano5" vbProcedure="false">'[4]00- Premissas'!$C$8</definedName>
    <definedName function="false" hidden="false" name="aumentofolha" vbProcedure="false">'[4]00- Premissas'!$C$11</definedName>
    <definedName function="false" hidden="false" name="aumentopreços" vbProcedure="false">'[4]00- premissas'!#ref!</definedName>
    <definedName function="false" hidden="false" name="Banco" vbProcedure="false">#REF!</definedName>
    <definedName function="false" hidden="false" name="Bancos" vbProcedure="false">#REF!</definedName>
    <definedName function="false" hidden="true" name="BG_Del" vbProcedure="false">15</definedName>
    <definedName function="false" hidden="true" name="BG_Ins" vbProcedure="false">4</definedName>
    <definedName function="false" hidden="true" name="BG_Mod" vbProcedure="false">6</definedName>
    <definedName function="false" hidden="true" name="BLANK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BLANK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BLANK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BLANK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BROW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BROW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name="CAIXA" vbProcedure="false">[5]BASE!$B$3:$B$7</definedName>
    <definedName function="false" hidden="false" name="CATEGORIAS" vbProcedure="false">#REF!</definedName>
    <definedName function="false" hidden="false" name="CFATAC" vbProcedure="false">'[6]Custo Financeiro'!$D$36</definedName>
    <definedName function="false" hidden="true" name="Change" vbProcedure="false">#N/A</definedName>
    <definedName function="false" hidden="true" name="Change2" vbProcedure="false">#N/A</definedName>
    <definedName function="false" hidden="true" name="Change3" vbProcedure="false">#N/A</definedName>
    <definedName function="false" hidden="true" name="Change4" vbProcedure="false">#N/A</definedName>
    <definedName function="false" hidden="true" name="ChangeRange" vbProcedure="false">#N/A</definedName>
    <definedName function="false" hidden="true" name="ChangeRange2" vbProcedure="false">#N/A</definedName>
    <definedName function="false" hidden="false" name="Choices_Wrapper" vbProcedure="false">#N/A</definedName>
    <definedName function="false" hidden="false" name="CMV" vbProcedure="false">'[2]Volume de Vendas'!$I$5</definedName>
    <definedName function="false" hidden="false" name="COFINS" vbProcedure="false">'[2]Percentual de Impostos'!$D$8</definedName>
    <definedName function="false" hidden="false" name="comatac" vbProcedure="false">'[7]Despesas Variáveis'!$E$5</definedName>
    <definedName function="false" hidden="false" name="comissoes" vbProcedure="false">#REF!</definedName>
    <definedName function="false" hidden="false" name="comissão" vbProcedure="false">[2]Comissões!$D$20</definedName>
    <definedName function="false" hidden="false" name="comissãogerente" vbProcedure="false">'[4]00- Premissas'!$C$19</definedName>
    <definedName function="false" hidden="false" name="Comissões" vbProcedure="false">'[4]00- Premissas'!$C$18</definedName>
    <definedName function="false" hidden="false" name="contaempresa" vbProcedure="false">#REF!</definedName>
    <definedName function="false" hidden="false" name="contaroberta" vbProcedure="false">#REF!</definedName>
    <definedName function="false" hidden="false" name="CONTAS" vbProcedure="false">[5]Realizado!$B$14:$B$102</definedName>
    <definedName function="false" hidden="false" name="CSEFETIVO" vbProcedure="false">'[2]Percentual de Impostos'!$G$12</definedName>
    <definedName function="false" hidden="false" name="CSLL" vbProcedure="false">'[2]Percentual de Impostos'!$D$12</definedName>
    <definedName function="false" hidden="false" name="CUSTOAPOLICE" vbProcedure="false">[9]Parâmetros!$C$13</definedName>
    <definedName function="false" hidden="false" name="CustoMP" vbProcedure="false">#REF!</definedName>
    <definedName function="false" hidden="false" name="D" vbProcedure="false">'[11]Base de Dados'!$B$18:$B$21</definedName>
    <definedName function="false" hidden="true" name="dagbladen_inc_services" vbProcedure="false">{#N/A,#N/A,FALSE,"Aging Summary";#N/A,#N/A,FALSE,"Ratio Analysis";#N/A,#N/A,FALSE,"Test 120 Day Accts";#N/A,#N/A,FALSE,"Tickmarks"}</definedName>
    <definedName function="false" hidden="true" name="dagbladen_inc_services_1" vbProcedure="false">{#N/A,#N/A,FALSE,"Aging Summary";#N/A,#N/A,FALSE,"Ratio Analysis";#N/A,#N/A,FALSE,"Test 120 Day Accts";#N/A,#N/A,FALSE,"Tickmarks"}</definedName>
    <definedName function="false" hidden="false" name="Dashboard" vbProcedure="false">'[12]Custo Financeiro'!$D$36</definedName>
    <definedName function="false" hidden="true" name="DD" vbProcedure="false">#REF!</definedName>
    <definedName function="false" hidden="true" name="ddad" vbProcedure="false">#REF!</definedName>
    <definedName function="false" hidden="false" name="ddd" vbProcedure="false">[13]BASE!$B$3:$B$8</definedName>
    <definedName function="false" hidden="true" name="dddd" vbProcedure="false">#REF!</definedName>
    <definedName function="false" hidden="false" name="dddddd" vbProcedure="false">[14]Realizado!$B$14:$B$102</definedName>
    <definedName function="false" hidden="false" name="DESPCASA" vbProcedure="false">#REF!</definedName>
    <definedName function="false" hidden="false" name="Despesas" vbProcedure="false">#REF!</definedName>
    <definedName function="false" hidden="false" name="devoluções" vbProcedure="false">'[4]00- premissas'!#ref!</definedName>
    <definedName function="false" hidden="false" name="DPVAT" vbProcedure="false">[9]Parâmetros!$C$7</definedName>
    <definedName function="false" hidden="false" name="DRE" vbProcedure="false">#REF!</definedName>
    <definedName function="false" hidden="false" name="empresas" vbProcedure="false">#REF!</definedName>
    <definedName function="false" hidden="false" name="Entrada" vbProcedure="false">#REF!</definedName>
    <definedName function="false" hidden="false" name="Entradas" vbProcedure="false">#REF!</definedName>
    <definedName function="false" hidden="true" name="erefafg" vbProcedure="false">{#N/A,#N/A,FALSE,"Aging Summary";#N/A,#N/A,FALSE,"Ratio Analysis";#N/A,#N/A,FALSE,"Test 120 Day Accts";#N/A,#N/A,FALSE,"Tickmarks"}</definedName>
    <definedName function="false" hidden="true" name="erefafg_1" vbProcedure="false">{#N/A,#N/A,FALSE,"Aging Summary";#N/A,#N/A,FALSE,"Ratio Analysis";#N/A,#N/A,FALSE,"Test 120 Day Accts";#N/A,#N/A,FALSE,"Tickmarks"}</definedName>
    <definedName function="false" hidden="true" name="erer" vbProcedure="false">{#N/A,#N/A,FALSE,"Aging Summary";#N/A,#N/A,FALSE,"Ratio Analysis";#N/A,#N/A,FALSE,"Test 120 Day Accts";#N/A,#N/A,FALSE,"Tickmarks"}</definedName>
    <definedName function="false" hidden="true" name="erer_1" vbProcedure="false">{#N/A,#N/A,FALSE,"Aging Summary";#N/A,#N/A,FALSE,"Ratio Analysis";#N/A,#N/A,FALSE,"Test 120 Day Accts";#N/A,#N/A,FALSE,"Tickmarks"}</definedName>
    <definedName function="false" hidden="true" name="esnrc14c1" vbProcedure="false">#REF!</definedName>
    <definedName function="false" hidden="true" name="esnrc14c1_values" vbProcedure="false">{"FTSE44","COMPANIES",TRUE}</definedName>
    <definedName function="false" hidden="true" name="esnrc14c1_values_1" vbProcedure="false">{"FTSE44","COMPANIES",TRUE}</definedName>
    <definedName function="false" hidden="true" name="esnrc67c1_values" vbProcedure="false">{"IND","COMPANIES",TRUE}</definedName>
    <definedName function="false" hidden="true" name="esnrc67c1_values_1" vbProcedure="false">{"IND","COMPANIES",TRUE}</definedName>
    <definedName function="false" hidden="true" name="esnrc6c1_values" vbProcedure="false">{"350FTSE44","COMPANIES",TRUE}</definedName>
    <definedName function="false" hidden="true" name="esnrc6c1_values_1" vbProcedure="false">{"350FTSE44","COMPANIES",TRUE}</definedName>
    <definedName function="false" hidden="true" name="ewcw" vbProcedure="false">{#N/A,#N/A,FALSE,"Aging Summary";#N/A,#N/A,FALSE,"Ratio Analysis";#N/A,#N/A,FALSE,"Test 120 Day Accts";#N/A,#N/A,FALSE,"Tickmarks"}</definedName>
    <definedName function="false" hidden="true" name="ewcw_1" vbProcedure="false">{#N/A,#N/A,FALSE,"Aging Summary";#N/A,#N/A,FALSE,"Ratio Analysis";#N/A,#N/A,FALSE,"Test 120 Day Accts";#N/A,#N/A,FALSE,"Tickmarks"}</definedName>
    <definedName function="false" hidden="true" name="f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name="FATCL" vbProcedure="false">#REF!</definedName>
    <definedName function="false" hidden="true" name="fdd" vbProcedure="false">#REF!</definedName>
    <definedName function="false" hidden="true" name="FDD_0_0" vbProcedure="false">"A30681"</definedName>
    <definedName function="false" hidden="true" name="FDD_0_1" vbProcedure="false">"A31047"</definedName>
    <definedName function="false" hidden="true" name="FDD_0_10" vbProcedure="false">"A34334"</definedName>
    <definedName function="false" hidden="true" name="FDD_0_11" vbProcedure="false">"A34699"</definedName>
    <definedName function="false" hidden="true" name="FDD_0_12" vbProcedure="false">"A35064"</definedName>
    <definedName function="false" hidden="true" name="FDD_0_13" vbProcedure="false">"A35430"</definedName>
    <definedName function="false" hidden="true" name="FDD_0_14" vbProcedure="false">"A35795"</definedName>
    <definedName function="false" hidden="true" name="FDD_0_2" vbProcedure="false">"A31412"</definedName>
    <definedName function="false" hidden="true" name="FDD_0_3" vbProcedure="false">"A31777"</definedName>
    <definedName function="false" hidden="true" name="FDD_0_4" vbProcedure="false">"A32142"</definedName>
    <definedName function="false" hidden="true" name="FDD_0_5" vbProcedure="false">"A32508"</definedName>
    <definedName function="false" hidden="true" name="FDD_0_6" vbProcedure="false">"A32873"</definedName>
    <definedName function="false" hidden="true" name="FDD_0_7" vbProcedure="false">"A33238"</definedName>
    <definedName function="false" hidden="true" name="FDD_0_8" vbProcedure="false">"A33603"</definedName>
    <definedName function="false" hidden="true" name="FDD_0_9" vbProcedure="false">"A33969"</definedName>
    <definedName function="false" hidden="true" name="FDD_100_0" vbProcedure="false">"A25569"</definedName>
    <definedName function="false" hidden="true" name="FDD_101_0" vbProcedure="false">"A25569"</definedName>
    <definedName function="false" hidden="true" name="FDD_102_0" vbProcedure="false">"A25569"</definedName>
    <definedName function="false" hidden="true" name="FDD_103_0" vbProcedure="false">"A25569"</definedName>
    <definedName function="false" hidden="true" name="FDD_104_0" vbProcedure="false">"A25569"</definedName>
    <definedName function="false" hidden="true" name="FDD_105_0" vbProcedure="false">"A25569"</definedName>
    <definedName function="false" hidden="true" name="FDD_106_0" vbProcedure="false">"A25569"</definedName>
    <definedName function="false" hidden="true" name="FDD_107_0" vbProcedure="false">"A25569"</definedName>
    <definedName function="false" hidden="true" name="FDD_108_0" vbProcedure="false">"A25569"</definedName>
    <definedName function="false" hidden="true" name="FDD_109_0" vbProcedure="false">"A25569"</definedName>
    <definedName function="false" hidden="true" name="FDD_10_0" vbProcedure="false">"A25569"</definedName>
    <definedName function="false" hidden="true" name="FDD_110_0" vbProcedure="false">"A25569"</definedName>
    <definedName function="false" hidden="true" name="FDD_111_0" vbProcedure="false">"A25569"</definedName>
    <definedName function="false" hidden="true" name="FDD_112_0" vbProcedure="false">"A25569"</definedName>
    <definedName function="false" hidden="true" name="FDD_113_0" vbProcedure="false">"A25569"</definedName>
    <definedName function="false" hidden="true" name="FDD_114_0" vbProcedure="false">"A25569"</definedName>
    <definedName function="false" hidden="true" name="FDD_115_0" vbProcedure="false">"A25569"</definedName>
    <definedName function="false" hidden="true" name="FDD_116_0" vbProcedure="false">"A25569"</definedName>
    <definedName function="false" hidden="true" name="FDD_117_0" vbProcedure="false">"A30681"</definedName>
    <definedName function="false" hidden="true" name="FDD_117_1" vbProcedure="false">"A31047"</definedName>
    <definedName function="false" hidden="true" name="FDD_117_10" vbProcedure="false">"A34334"</definedName>
    <definedName function="false" hidden="true" name="FDD_117_11" vbProcedure="false">"A34699"</definedName>
    <definedName function="false" hidden="true" name="FDD_117_12" vbProcedure="false">"A35064"</definedName>
    <definedName function="false" hidden="true" name="FDD_117_13" vbProcedure="false">"A35430"</definedName>
    <definedName function="false" hidden="true" name="FDD_117_14" vbProcedure="false">"A35795"</definedName>
    <definedName function="false" hidden="true" name="FDD_117_2" vbProcedure="false">"A31412"</definedName>
    <definedName function="false" hidden="true" name="FDD_117_3" vbProcedure="false">"A31777"</definedName>
    <definedName function="false" hidden="true" name="FDD_117_4" vbProcedure="false">"A32142"</definedName>
    <definedName function="false" hidden="true" name="FDD_117_5" vbProcedure="false">"A32508"</definedName>
    <definedName function="false" hidden="true" name="FDD_117_6" vbProcedure="false">"A32873"</definedName>
    <definedName function="false" hidden="true" name="FDD_117_7" vbProcedure="false">"A33238"</definedName>
    <definedName function="false" hidden="true" name="FDD_117_8" vbProcedure="false">"A33603"</definedName>
    <definedName function="false" hidden="true" name="FDD_117_9" vbProcedure="false">"A33969"</definedName>
    <definedName function="false" hidden="true" name="FDD_118_0" vbProcedure="false">"A30681"</definedName>
    <definedName function="false" hidden="true" name="FDD_118_1" vbProcedure="false">"A31047"</definedName>
    <definedName function="false" hidden="true" name="FDD_118_10" vbProcedure="false">"A34334"</definedName>
    <definedName function="false" hidden="true" name="FDD_118_11" vbProcedure="false">"A34699"</definedName>
    <definedName function="false" hidden="true" name="FDD_118_12" vbProcedure="false">"A35064"</definedName>
    <definedName function="false" hidden="true" name="FDD_118_13" vbProcedure="false">"A35430"</definedName>
    <definedName function="false" hidden="true" name="FDD_118_14" vbProcedure="false">"A35795"</definedName>
    <definedName function="false" hidden="true" name="FDD_118_2" vbProcedure="false">"A31412"</definedName>
    <definedName function="false" hidden="true" name="FDD_118_3" vbProcedure="false">"A31777"</definedName>
    <definedName function="false" hidden="true" name="FDD_118_4" vbProcedure="false">"A32142"</definedName>
    <definedName function="false" hidden="true" name="FDD_118_5" vbProcedure="false">"A32508"</definedName>
    <definedName function="false" hidden="true" name="FDD_118_6" vbProcedure="false">"A32873"</definedName>
    <definedName function="false" hidden="true" name="FDD_118_7" vbProcedure="false">"A33238"</definedName>
    <definedName function="false" hidden="true" name="FDD_118_8" vbProcedure="false">"A33603"</definedName>
    <definedName function="false" hidden="true" name="FDD_118_9" vbProcedure="false">"A33969"</definedName>
    <definedName function="false" hidden="true" name="FDD_119_0" vbProcedure="false">"A30681"</definedName>
    <definedName function="false" hidden="true" name="FDD_119_1" vbProcedure="false">"A31047"</definedName>
    <definedName function="false" hidden="true" name="FDD_119_10" vbProcedure="false">"A34334"</definedName>
    <definedName function="false" hidden="true" name="FDD_119_11" vbProcedure="false">"A34699"</definedName>
    <definedName function="false" hidden="true" name="FDD_119_12" vbProcedure="false">"A35064"</definedName>
    <definedName function="false" hidden="true" name="FDD_119_13" vbProcedure="false">"A35430"</definedName>
    <definedName function="false" hidden="true" name="FDD_119_14" vbProcedure="false">"A35795"</definedName>
    <definedName function="false" hidden="true" name="FDD_119_2" vbProcedure="false">"A31412"</definedName>
    <definedName function="false" hidden="true" name="FDD_119_3" vbProcedure="false">"A31777"</definedName>
    <definedName function="false" hidden="true" name="FDD_119_4" vbProcedure="false">"A32142"</definedName>
    <definedName function="false" hidden="true" name="FDD_119_5" vbProcedure="false">"A32508"</definedName>
    <definedName function="false" hidden="true" name="FDD_119_6" vbProcedure="false">"A32873"</definedName>
    <definedName function="false" hidden="true" name="FDD_119_7" vbProcedure="false">"A33238"</definedName>
    <definedName function="false" hidden="true" name="FDD_119_8" vbProcedure="false">"A33603"</definedName>
    <definedName function="false" hidden="true" name="FDD_119_9" vbProcedure="false">"A33969"</definedName>
    <definedName function="false" hidden="true" name="FDD_11_0" vbProcedure="false">"A25569"</definedName>
    <definedName function="false" hidden="true" name="FDD_120_0" vbProcedure="false">"A30681"</definedName>
    <definedName function="false" hidden="true" name="FDD_120_1" vbProcedure="false">"A31047"</definedName>
    <definedName function="false" hidden="true" name="FDD_120_10" vbProcedure="false">"A34334"</definedName>
    <definedName function="false" hidden="true" name="FDD_120_11" vbProcedure="false">"A34699"</definedName>
    <definedName function="false" hidden="true" name="FDD_120_12" vbProcedure="false">"A35064"</definedName>
    <definedName function="false" hidden="true" name="FDD_120_13" vbProcedure="false">"A35430"</definedName>
    <definedName function="false" hidden="true" name="FDD_120_14" vbProcedure="false">"A35795"</definedName>
    <definedName function="false" hidden="true" name="FDD_120_2" vbProcedure="false">"A31412"</definedName>
    <definedName function="false" hidden="true" name="FDD_120_3" vbProcedure="false">"A31777"</definedName>
    <definedName function="false" hidden="true" name="FDD_120_4" vbProcedure="false">"A32142"</definedName>
    <definedName function="false" hidden="true" name="FDD_120_5" vbProcedure="false">"A32508"</definedName>
    <definedName function="false" hidden="true" name="FDD_120_6" vbProcedure="false">"A32873"</definedName>
    <definedName function="false" hidden="true" name="FDD_120_7" vbProcedure="false">"A33238"</definedName>
    <definedName function="false" hidden="true" name="FDD_120_8" vbProcedure="false">"A33603"</definedName>
    <definedName function="false" hidden="true" name="FDD_120_9" vbProcedure="false">"A33969"</definedName>
    <definedName function="false" hidden="true" name="FDD_121_0" vbProcedure="false">"A30681"</definedName>
    <definedName function="false" hidden="true" name="FDD_121_1" vbProcedure="false">"A31047"</definedName>
    <definedName function="false" hidden="true" name="FDD_121_10" vbProcedure="false">"A34334"</definedName>
    <definedName function="false" hidden="true" name="FDD_121_11" vbProcedure="false">"A34699"</definedName>
    <definedName function="false" hidden="true" name="FDD_121_12" vbProcedure="false">"A35064"</definedName>
    <definedName function="false" hidden="true" name="FDD_121_13" vbProcedure="false">"A35430"</definedName>
    <definedName function="false" hidden="true" name="FDD_121_14" vbProcedure="false">"A35795"</definedName>
    <definedName function="false" hidden="true" name="FDD_121_2" vbProcedure="false">"A31412"</definedName>
    <definedName function="false" hidden="true" name="FDD_121_3" vbProcedure="false">"A31777"</definedName>
    <definedName function="false" hidden="true" name="FDD_121_4" vbProcedure="false">"A32142"</definedName>
    <definedName function="false" hidden="true" name="FDD_121_5" vbProcedure="false">"A32508"</definedName>
    <definedName function="false" hidden="true" name="FDD_121_6" vbProcedure="false">"A32873"</definedName>
    <definedName function="false" hidden="true" name="FDD_121_7" vbProcedure="false">"A33238"</definedName>
    <definedName function="false" hidden="true" name="FDD_121_8" vbProcedure="false">"A33603"</definedName>
    <definedName function="false" hidden="true" name="FDD_121_9" vbProcedure="false">"A33969"</definedName>
    <definedName function="false" hidden="true" name="FDD_122_0" vbProcedure="false">"A30681"</definedName>
    <definedName function="false" hidden="true" name="FDD_122_1" vbProcedure="false">"A31047"</definedName>
    <definedName function="false" hidden="true" name="FDD_122_10" vbProcedure="false">"A34334"</definedName>
    <definedName function="false" hidden="true" name="FDD_122_11" vbProcedure="false">"A34699"</definedName>
    <definedName function="false" hidden="true" name="FDD_122_12" vbProcedure="false">"A35064"</definedName>
    <definedName function="false" hidden="true" name="FDD_122_13" vbProcedure="false">"A35430"</definedName>
    <definedName function="false" hidden="true" name="FDD_122_14" vbProcedure="false">"A35795"</definedName>
    <definedName function="false" hidden="true" name="FDD_122_2" vbProcedure="false">"A31412"</definedName>
    <definedName function="false" hidden="true" name="FDD_122_3" vbProcedure="false">"A31777"</definedName>
    <definedName function="false" hidden="true" name="FDD_122_4" vbProcedure="false">"A32142"</definedName>
    <definedName function="false" hidden="true" name="FDD_122_5" vbProcedure="false">"A32508"</definedName>
    <definedName function="false" hidden="true" name="FDD_122_6" vbProcedure="false">"A32873"</definedName>
    <definedName function="false" hidden="true" name="FDD_122_7" vbProcedure="false">"A33238"</definedName>
    <definedName function="false" hidden="true" name="FDD_122_8" vbProcedure="false">"A33603"</definedName>
    <definedName function="false" hidden="true" name="FDD_122_9" vbProcedure="false">"A33969"</definedName>
    <definedName function="false" hidden="true" name="FDD_123_0" vbProcedure="false">"A30681"</definedName>
    <definedName function="false" hidden="true" name="FDD_123_1" vbProcedure="false">"A31047"</definedName>
    <definedName function="false" hidden="true" name="FDD_123_10" vbProcedure="false">"A34334"</definedName>
    <definedName function="false" hidden="true" name="FDD_123_11" vbProcedure="false">"A34699"</definedName>
    <definedName function="false" hidden="true" name="FDD_123_12" vbProcedure="false">"A35064"</definedName>
    <definedName function="false" hidden="true" name="FDD_123_13" vbProcedure="false">"A35430"</definedName>
    <definedName function="false" hidden="true" name="FDD_123_14" vbProcedure="false">"A35795"</definedName>
    <definedName function="false" hidden="true" name="FDD_123_2" vbProcedure="false">"A31412"</definedName>
    <definedName function="false" hidden="true" name="FDD_123_3" vbProcedure="false">"A31777"</definedName>
    <definedName function="false" hidden="true" name="FDD_123_4" vbProcedure="false">"A32142"</definedName>
    <definedName function="false" hidden="true" name="FDD_123_5" vbProcedure="false">"A32508"</definedName>
    <definedName function="false" hidden="true" name="FDD_123_6" vbProcedure="false">"A32873"</definedName>
    <definedName function="false" hidden="true" name="FDD_123_7" vbProcedure="false">"A33238"</definedName>
    <definedName function="false" hidden="true" name="FDD_123_8" vbProcedure="false">"A33603"</definedName>
    <definedName function="false" hidden="true" name="FDD_123_9" vbProcedure="false">"A33969"</definedName>
    <definedName function="false" hidden="true" name="FDD_124_0" vbProcedure="false">"A30681"</definedName>
    <definedName function="false" hidden="true" name="FDD_124_1" vbProcedure="false">"A31047"</definedName>
    <definedName function="false" hidden="true" name="FDD_124_10" vbProcedure="false">"A34334"</definedName>
    <definedName function="false" hidden="true" name="FDD_124_11" vbProcedure="false">"A34699"</definedName>
    <definedName function="false" hidden="true" name="FDD_124_12" vbProcedure="false">"A35064"</definedName>
    <definedName function="false" hidden="true" name="FDD_124_13" vbProcedure="false">"A35430"</definedName>
    <definedName function="false" hidden="true" name="FDD_124_14" vbProcedure="false">"A35795"</definedName>
    <definedName function="false" hidden="true" name="FDD_124_2" vbProcedure="false">"A31412"</definedName>
    <definedName function="false" hidden="true" name="FDD_124_3" vbProcedure="false">"A31777"</definedName>
    <definedName function="false" hidden="true" name="FDD_124_4" vbProcedure="false">"A32142"</definedName>
    <definedName function="false" hidden="true" name="FDD_124_5" vbProcedure="false">"A32508"</definedName>
    <definedName function="false" hidden="true" name="FDD_124_6" vbProcedure="false">"A32873"</definedName>
    <definedName function="false" hidden="true" name="FDD_124_7" vbProcedure="false">"A33238"</definedName>
    <definedName function="false" hidden="true" name="FDD_124_8" vbProcedure="false">"A33603"</definedName>
    <definedName function="false" hidden="true" name="FDD_124_9" vbProcedure="false">"A33969"</definedName>
    <definedName function="false" hidden="true" name="FDD_125_0" vbProcedure="false">"A30681"</definedName>
    <definedName function="false" hidden="true" name="FDD_125_1" vbProcedure="false">"A31047"</definedName>
    <definedName function="false" hidden="true" name="FDD_125_10" vbProcedure="false">"A34334"</definedName>
    <definedName function="false" hidden="true" name="FDD_125_11" vbProcedure="false">"A34699"</definedName>
    <definedName function="false" hidden="true" name="FDD_125_12" vbProcedure="false">"A35064"</definedName>
    <definedName function="false" hidden="true" name="FDD_125_13" vbProcedure="false">"A35430"</definedName>
    <definedName function="false" hidden="true" name="FDD_125_14" vbProcedure="false">"A35795"</definedName>
    <definedName function="false" hidden="true" name="FDD_125_2" vbProcedure="false">"A31412"</definedName>
    <definedName function="false" hidden="true" name="FDD_125_3" vbProcedure="false">"A31777"</definedName>
    <definedName function="false" hidden="true" name="FDD_125_4" vbProcedure="false">"A32142"</definedName>
    <definedName function="false" hidden="true" name="FDD_125_5" vbProcedure="false">"A32508"</definedName>
    <definedName function="false" hidden="true" name="FDD_125_6" vbProcedure="false">"A32873"</definedName>
    <definedName function="false" hidden="true" name="FDD_125_7" vbProcedure="false">"A33238"</definedName>
    <definedName function="false" hidden="true" name="FDD_125_8" vbProcedure="false">"A33603"</definedName>
    <definedName function="false" hidden="true" name="FDD_125_9" vbProcedure="false">"A33969"</definedName>
    <definedName function="false" hidden="true" name="FDD_126_0" vbProcedure="false">"A30681"</definedName>
    <definedName function="false" hidden="true" name="FDD_126_1" vbProcedure="false">"A31047"</definedName>
    <definedName function="false" hidden="true" name="FDD_126_10" vbProcedure="false">"A34334"</definedName>
    <definedName function="false" hidden="true" name="FDD_126_11" vbProcedure="false">"A34699"</definedName>
    <definedName function="false" hidden="true" name="FDD_126_12" vbProcedure="false">"A35064"</definedName>
    <definedName function="false" hidden="true" name="FDD_126_13" vbProcedure="false">"A35430"</definedName>
    <definedName function="false" hidden="true" name="FDD_126_14" vbProcedure="false">"A35795"</definedName>
    <definedName function="false" hidden="true" name="FDD_126_2" vbProcedure="false">"A31412"</definedName>
    <definedName function="false" hidden="true" name="FDD_126_3" vbProcedure="false">"A31777"</definedName>
    <definedName function="false" hidden="true" name="FDD_126_4" vbProcedure="false">"A32142"</definedName>
    <definedName function="false" hidden="true" name="FDD_126_5" vbProcedure="false">"A32508"</definedName>
    <definedName function="false" hidden="true" name="FDD_126_6" vbProcedure="false">"A32873"</definedName>
    <definedName function="false" hidden="true" name="FDD_126_7" vbProcedure="false">"A33238"</definedName>
    <definedName function="false" hidden="true" name="FDD_126_8" vbProcedure="false">"A33603"</definedName>
    <definedName function="false" hidden="true" name="FDD_126_9" vbProcedure="false">"A33969"</definedName>
    <definedName function="false" hidden="true" name="FDD_127_0" vbProcedure="false">"A30681"</definedName>
    <definedName function="false" hidden="true" name="FDD_127_1" vbProcedure="false">"A31047"</definedName>
    <definedName function="false" hidden="true" name="FDD_127_10" vbProcedure="false">"A34334"</definedName>
    <definedName function="false" hidden="true" name="FDD_127_11" vbProcedure="false">"A34699"</definedName>
    <definedName function="false" hidden="true" name="FDD_127_12" vbProcedure="false">"A35064"</definedName>
    <definedName function="false" hidden="true" name="FDD_127_13" vbProcedure="false">"A35430"</definedName>
    <definedName function="false" hidden="true" name="FDD_127_14" vbProcedure="false">"A35795"</definedName>
    <definedName function="false" hidden="true" name="FDD_127_2" vbProcedure="false">"A31412"</definedName>
    <definedName function="false" hidden="true" name="FDD_127_3" vbProcedure="false">"A31777"</definedName>
    <definedName function="false" hidden="true" name="FDD_127_4" vbProcedure="false">"A32142"</definedName>
    <definedName function="false" hidden="true" name="FDD_127_5" vbProcedure="false">"A32508"</definedName>
    <definedName function="false" hidden="true" name="FDD_127_6" vbProcedure="false">"A32873"</definedName>
    <definedName function="false" hidden="true" name="FDD_127_7" vbProcedure="false">"A33238"</definedName>
    <definedName function="false" hidden="true" name="FDD_127_8" vbProcedure="false">"A33603"</definedName>
    <definedName function="false" hidden="true" name="FDD_127_9" vbProcedure="false">"A33969"</definedName>
    <definedName function="false" hidden="true" name="FDD_128_0" vbProcedure="false">"A30681"</definedName>
    <definedName function="false" hidden="true" name="FDD_128_1" vbProcedure="false">"A31047"</definedName>
    <definedName function="false" hidden="true" name="FDD_128_10" vbProcedure="false">"A34334"</definedName>
    <definedName function="false" hidden="true" name="FDD_128_11" vbProcedure="false">"A34699"</definedName>
    <definedName function="false" hidden="true" name="FDD_128_12" vbProcedure="false">"A35064"</definedName>
    <definedName function="false" hidden="true" name="FDD_128_13" vbProcedure="false">"A35430"</definedName>
    <definedName function="false" hidden="true" name="FDD_128_14" vbProcedure="false">"A35795"</definedName>
    <definedName function="false" hidden="true" name="FDD_128_2" vbProcedure="false">"A31412"</definedName>
    <definedName function="false" hidden="true" name="FDD_128_3" vbProcedure="false">"A31777"</definedName>
    <definedName function="false" hidden="true" name="FDD_128_4" vbProcedure="false">"A32142"</definedName>
    <definedName function="false" hidden="true" name="FDD_128_5" vbProcedure="false">"A32508"</definedName>
    <definedName function="false" hidden="true" name="FDD_128_6" vbProcedure="false">"A32873"</definedName>
    <definedName function="false" hidden="true" name="FDD_128_7" vbProcedure="false">"A33238"</definedName>
    <definedName function="false" hidden="true" name="FDD_128_8" vbProcedure="false">"A33603"</definedName>
    <definedName function="false" hidden="true" name="FDD_128_9" vbProcedure="false">"A33969"</definedName>
    <definedName function="false" hidden="true" name="FDD_129_0" vbProcedure="false">"A30681"</definedName>
    <definedName function="false" hidden="true" name="FDD_129_1" vbProcedure="false">"A31047"</definedName>
    <definedName function="false" hidden="true" name="FDD_129_10" vbProcedure="false">"A34334"</definedName>
    <definedName function="false" hidden="true" name="FDD_129_11" vbProcedure="false">"A34699"</definedName>
    <definedName function="false" hidden="true" name="FDD_129_12" vbProcedure="false">"A35064"</definedName>
    <definedName function="false" hidden="true" name="FDD_129_13" vbProcedure="false">"A35430"</definedName>
    <definedName function="false" hidden="true" name="FDD_129_14" vbProcedure="false">"A35795"</definedName>
    <definedName function="false" hidden="true" name="FDD_129_2" vbProcedure="false">"A31412"</definedName>
    <definedName function="false" hidden="true" name="FDD_129_3" vbProcedure="false">"A31777"</definedName>
    <definedName function="false" hidden="true" name="FDD_129_4" vbProcedure="false">"A32142"</definedName>
    <definedName function="false" hidden="true" name="FDD_129_5" vbProcedure="false">"A32508"</definedName>
    <definedName function="false" hidden="true" name="FDD_129_6" vbProcedure="false">"A32873"</definedName>
    <definedName function="false" hidden="true" name="FDD_129_7" vbProcedure="false">"A33238"</definedName>
    <definedName function="false" hidden="true" name="FDD_129_8" vbProcedure="false">"A33603"</definedName>
    <definedName function="false" hidden="true" name="FDD_129_9" vbProcedure="false">"A33969"</definedName>
    <definedName function="false" hidden="true" name="FDD_12_0" vbProcedure="false">"A25569"</definedName>
    <definedName function="false" hidden="true" name="FDD_130_0" vbProcedure="false">"A30681"</definedName>
    <definedName function="false" hidden="true" name="FDD_130_1" vbProcedure="false">"A31047"</definedName>
    <definedName function="false" hidden="true" name="FDD_130_10" vbProcedure="false">"A34334"</definedName>
    <definedName function="false" hidden="true" name="FDD_130_11" vbProcedure="false">"A34699"</definedName>
    <definedName function="false" hidden="true" name="FDD_130_12" vbProcedure="false">"A35064"</definedName>
    <definedName function="false" hidden="true" name="FDD_130_13" vbProcedure="false">"A35430"</definedName>
    <definedName function="false" hidden="true" name="FDD_130_14" vbProcedure="false">"A35795"</definedName>
    <definedName function="false" hidden="true" name="FDD_130_2" vbProcedure="false">"A31412"</definedName>
    <definedName function="false" hidden="true" name="FDD_130_3" vbProcedure="false">"A31777"</definedName>
    <definedName function="false" hidden="true" name="FDD_130_4" vbProcedure="false">"A32142"</definedName>
    <definedName function="false" hidden="true" name="FDD_130_5" vbProcedure="false">"A32508"</definedName>
    <definedName function="false" hidden="true" name="FDD_130_6" vbProcedure="false">"A32873"</definedName>
    <definedName function="false" hidden="true" name="FDD_130_7" vbProcedure="false">"A33238"</definedName>
    <definedName function="false" hidden="true" name="FDD_130_8" vbProcedure="false">"A33603"</definedName>
    <definedName function="false" hidden="true" name="FDD_130_9" vbProcedure="false">"A33969"</definedName>
    <definedName function="false" hidden="true" name="FDD_131_0" vbProcedure="false">"A30681"</definedName>
    <definedName function="false" hidden="true" name="FDD_131_1" vbProcedure="false">"A31047"</definedName>
    <definedName function="false" hidden="true" name="FDD_131_10" vbProcedure="false">"A34334"</definedName>
    <definedName function="false" hidden="true" name="FDD_131_11" vbProcedure="false">"A34699"</definedName>
    <definedName function="false" hidden="true" name="FDD_131_12" vbProcedure="false">"A35064"</definedName>
    <definedName function="false" hidden="true" name="FDD_131_13" vbProcedure="false">"A35430"</definedName>
    <definedName function="false" hidden="true" name="FDD_131_14" vbProcedure="false">"A35795"</definedName>
    <definedName function="false" hidden="true" name="FDD_131_2" vbProcedure="false">"A31412"</definedName>
    <definedName function="false" hidden="true" name="FDD_131_3" vbProcedure="false">"A31777"</definedName>
    <definedName function="false" hidden="true" name="FDD_131_4" vbProcedure="false">"A32142"</definedName>
    <definedName function="false" hidden="true" name="FDD_131_5" vbProcedure="false">"A32508"</definedName>
    <definedName function="false" hidden="true" name="FDD_131_6" vbProcedure="false">"A32873"</definedName>
    <definedName function="false" hidden="true" name="FDD_131_7" vbProcedure="false">"A33238"</definedName>
    <definedName function="false" hidden="true" name="FDD_131_8" vbProcedure="false">"A33603"</definedName>
    <definedName function="false" hidden="true" name="FDD_131_9" vbProcedure="false">"A33969"</definedName>
    <definedName function="false" hidden="true" name="FDD_132_0" vbProcedure="false">"U30681"</definedName>
    <definedName function="false" hidden="true" name="FDD_132_1" vbProcedure="false">"U31047"</definedName>
    <definedName function="false" hidden="true" name="FDD_132_10" vbProcedure="false">"U34334"</definedName>
    <definedName function="false" hidden="true" name="FDD_132_11" vbProcedure="false">"U34699"</definedName>
    <definedName function="false" hidden="true" name="FDD_132_12" vbProcedure="false">"U35064"</definedName>
    <definedName function="false" hidden="true" name="FDD_132_13" vbProcedure="false">"U35430"</definedName>
    <definedName function="false" hidden="true" name="FDD_132_14" vbProcedure="false">"U35795"</definedName>
    <definedName function="false" hidden="true" name="FDD_132_2" vbProcedure="false">"U31412"</definedName>
    <definedName function="false" hidden="true" name="FDD_132_3" vbProcedure="false">"U31777"</definedName>
    <definedName function="false" hidden="true" name="FDD_132_4" vbProcedure="false">"U32142"</definedName>
    <definedName function="false" hidden="true" name="FDD_132_5" vbProcedure="false">"U32508"</definedName>
    <definedName function="false" hidden="true" name="FDD_132_6" vbProcedure="false">"U32873"</definedName>
    <definedName function="false" hidden="true" name="FDD_132_7" vbProcedure="false">"U33238"</definedName>
    <definedName function="false" hidden="true" name="FDD_132_8" vbProcedure="false">"U33603"</definedName>
    <definedName function="false" hidden="true" name="FDD_132_9" vbProcedure="false">"U33969"</definedName>
    <definedName function="false" hidden="true" name="FDD_133_0" vbProcedure="false">"A30681"</definedName>
    <definedName function="false" hidden="true" name="FDD_133_1" vbProcedure="false">"A31047"</definedName>
    <definedName function="false" hidden="true" name="FDD_133_10" vbProcedure="false">"A34334"</definedName>
    <definedName function="false" hidden="true" name="FDD_133_11" vbProcedure="false">"A34699"</definedName>
    <definedName function="false" hidden="true" name="FDD_133_12" vbProcedure="false">"A35064"</definedName>
    <definedName function="false" hidden="true" name="FDD_133_13" vbProcedure="false">"A35430"</definedName>
    <definedName function="false" hidden="true" name="FDD_133_14" vbProcedure="false">"A35795"</definedName>
    <definedName function="false" hidden="true" name="FDD_133_2" vbProcedure="false">"A31412"</definedName>
    <definedName function="false" hidden="true" name="FDD_133_3" vbProcedure="false">"A31777"</definedName>
    <definedName function="false" hidden="true" name="FDD_133_4" vbProcedure="false">"A32142"</definedName>
    <definedName function="false" hidden="true" name="FDD_133_5" vbProcedure="false">"A32508"</definedName>
    <definedName function="false" hidden="true" name="FDD_133_6" vbProcedure="false">"A32873"</definedName>
    <definedName function="false" hidden="true" name="FDD_133_7" vbProcedure="false">"A33238"</definedName>
    <definedName function="false" hidden="true" name="FDD_133_8" vbProcedure="false">"A33603"</definedName>
    <definedName function="false" hidden="true" name="FDD_133_9" vbProcedure="false">"A33969"</definedName>
    <definedName function="false" hidden="true" name="FDD_134_0" vbProcedure="false">"A30681"</definedName>
    <definedName function="false" hidden="true" name="FDD_134_1" vbProcedure="false">"A31047"</definedName>
    <definedName function="false" hidden="true" name="FDD_134_10" vbProcedure="false">"A34334"</definedName>
    <definedName function="false" hidden="true" name="FDD_134_11" vbProcedure="false">"A34699"</definedName>
    <definedName function="false" hidden="true" name="FDD_134_12" vbProcedure="false">"A35064"</definedName>
    <definedName function="false" hidden="true" name="FDD_134_13" vbProcedure="false">"A35430"</definedName>
    <definedName function="false" hidden="true" name="FDD_134_14" vbProcedure="false">"A35795"</definedName>
    <definedName function="false" hidden="true" name="FDD_134_2" vbProcedure="false">"A31412"</definedName>
    <definedName function="false" hidden="true" name="FDD_134_3" vbProcedure="false">"A31777"</definedName>
    <definedName function="false" hidden="true" name="FDD_134_4" vbProcedure="false">"A32142"</definedName>
    <definedName function="false" hidden="true" name="FDD_134_5" vbProcedure="false">"A32508"</definedName>
    <definedName function="false" hidden="true" name="FDD_134_6" vbProcedure="false">"A32873"</definedName>
    <definedName function="false" hidden="true" name="FDD_134_7" vbProcedure="false">"A33238"</definedName>
    <definedName function="false" hidden="true" name="FDD_134_8" vbProcedure="false">"A33603"</definedName>
    <definedName function="false" hidden="true" name="FDD_134_9" vbProcedure="false">"A33969"</definedName>
    <definedName function="false" hidden="true" name="FDD_135_0" vbProcedure="false">"A30681"</definedName>
    <definedName function="false" hidden="true" name="FDD_135_1" vbProcedure="false">"A31047"</definedName>
    <definedName function="false" hidden="true" name="FDD_135_10" vbProcedure="false">"A34334"</definedName>
    <definedName function="false" hidden="true" name="FDD_135_11" vbProcedure="false">"A34699"</definedName>
    <definedName function="false" hidden="true" name="FDD_135_12" vbProcedure="false">"A35064"</definedName>
    <definedName function="false" hidden="true" name="FDD_135_13" vbProcedure="false">"A35430"</definedName>
    <definedName function="false" hidden="true" name="FDD_135_14" vbProcedure="false">"A35795"</definedName>
    <definedName function="false" hidden="true" name="FDD_135_2" vbProcedure="false">"A31412"</definedName>
    <definedName function="false" hidden="true" name="FDD_135_3" vbProcedure="false">"A31777"</definedName>
    <definedName function="false" hidden="true" name="FDD_135_4" vbProcedure="false">"A32142"</definedName>
    <definedName function="false" hidden="true" name="FDD_135_5" vbProcedure="false">"A32508"</definedName>
    <definedName function="false" hidden="true" name="FDD_135_6" vbProcedure="false">"A32873"</definedName>
    <definedName function="false" hidden="true" name="FDD_135_7" vbProcedure="false">"A33238"</definedName>
    <definedName function="false" hidden="true" name="FDD_135_8" vbProcedure="false">"A33603"</definedName>
    <definedName function="false" hidden="true" name="FDD_135_9" vbProcedure="false">"A33969"</definedName>
    <definedName function="false" hidden="true" name="FDD_136_0" vbProcedure="false">"A30681"</definedName>
    <definedName function="false" hidden="true" name="FDD_136_1" vbProcedure="false">"A31047"</definedName>
    <definedName function="false" hidden="true" name="FDD_136_10" vbProcedure="false">"A34334"</definedName>
    <definedName function="false" hidden="true" name="FDD_136_11" vbProcedure="false">"A34699"</definedName>
    <definedName function="false" hidden="true" name="FDD_136_12" vbProcedure="false">"A35064"</definedName>
    <definedName function="false" hidden="true" name="FDD_136_13" vbProcedure="false">"A35430"</definedName>
    <definedName function="false" hidden="true" name="FDD_136_14" vbProcedure="false">"A35795"</definedName>
    <definedName function="false" hidden="true" name="FDD_136_2" vbProcedure="false">"A31412"</definedName>
    <definedName function="false" hidden="true" name="FDD_136_3" vbProcedure="false">"A31777"</definedName>
    <definedName function="false" hidden="true" name="FDD_136_4" vbProcedure="false">"A32142"</definedName>
    <definedName function="false" hidden="true" name="FDD_136_5" vbProcedure="false">"A32508"</definedName>
    <definedName function="false" hidden="true" name="FDD_136_6" vbProcedure="false">"A32873"</definedName>
    <definedName function="false" hidden="true" name="FDD_136_7" vbProcedure="false">"A33238"</definedName>
    <definedName function="false" hidden="true" name="FDD_136_8" vbProcedure="false">"A33603"</definedName>
    <definedName function="false" hidden="true" name="FDD_136_9" vbProcedure="false">"A33969"</definedName>
    <definedName function="false" hidden="true" name="FDD_137_0" vbProcedure="false">"A30681"</definedName>
    <definedName function="false" hidden="true" name="FDD_137_1" vbProcedure="false">"A31047"</definedName>
    <definedName function="false" hidden="true" name="FDD_137_10" vbProcedure="false">"A34334"</definedName>
    <definedName function="false" hidden="true" name="FDD_137_11" vbProcedure="false">"A34699"</definedName>
    <definedName function="false" hidden="true" name="FDD_137_12" vbProcedure="false">"A35064"</definedName>
    <definedName function="false" hidden="true" name="FDD_137_13" vbProcedure="false">"A35430"</definedName>
    <definedName function="false" hidden="true" name="FDD_137_14" vbProcedure="false">"A35795"</definedName>
    <definedName function="false" hidden="true" name="FDD_137_2" vbProcedure="false">"A31412"</definedName>
    <definedName function="false" hidden="true" name="FDD_137_3" vbProcedure="false">"A31777"</definedName>
    <definedName function="false" hidden="true" name="FDD_137_4" vbProcedure="false">"A32142"</definedName>
    <definedName function="false" hidden="true" name="FDD_137_5" vbProcedure="false">"A32508"</definedName>
    <definedName function="false" hidden="true" name="FDD_137_6" vbProcedure="false">"A32873"</definedName>
    <definedName function="false" hidden="true" name="FDD_137_7" vbProcedure="false">"A33238"</definedName>
    <definedName function="false" hidden="true" name="FDD_137_8" vbProcedure="false">"A33603"</definedName>
    <definedName function="false" hidden="true" name="FDD_137_9" vbProcedure="false">"A33969"</definedName>
    <definedName function="false" hidden="true" name="FDD_138_0" vbProcedure="false">"A30681"</definedName>
    <definedName function="false" hidden="true" name="FDD_138_1" vbProcedure="false">"A31047"</definedName>
    <definedName function="false" hidden="true" name="FDD_138_10" vbProcedure="false">"A34334"</definedName>
    <definedName function="false" hidden="true" name="FDD_138_11" vbProcedure="false">"A34699"</definedName>
    <definedName function="false" hidden="true" name="FDD_138_12" vbProcedure="false">"A35064"</definedName>
    <definedName function="false" hidden="true" name="FDD_138_13" vbProcedure="false">"A35430"</definedName>
    <definedName function="false" hidden="true" name="FDD_138_14" vbProcedure="false">"A35795"</definedName>
    <definedName function="false" hidden="true" name="FDD_138_2" vbProcedure="false">"A31412"</definedName>
    <definedName function="false" hidden="true" name="FDD_138_3" vbProcedure="false">"A31777"</definedName>
    <definedName function="false" hidden="true" name="FDD_138_4" vbProcedure="false">"A32142"</definedName>
    <definedName function="false" hidden="true" name="FDD_138_5" vbProcedure="false">"A32508"</definedName>
    <definedName function="false" hidden="true" name="FDD_138_6" vbProcedure="false">"A32873"</definedName>
    <definedName function="false" hidden="true" name="FDD_138_7" vbProcedure="false">"A33238"</definedName>
    <definedName function="false" hidden="true" name="FDD_138_8" vbProcedure="false">"A33603"</definedName>
    <definedName function="false" hidden="true" name="FDD_138_9" vbProcedure="false">"A33969"</definedName>
    <definedName function="false" hidden="true" name="FDD_139_0" vbProcedure="false">"A30681"</definedName>
    <definedName function="false" hidden="true" name="FDD_139_1" vbProcedure="false">"A31047"</definedName>
    <definedName function="false" hidden="true" name="FDD_139_10" vbProcedure="false">"U34334"</definedName>
    <definedName function="false" hidden="true" name="FDD_139_11" vbProcedure="false">"U34699"</definedName>
    <definedName function="false" hidden="true" name="FDD_139_12" vbProcedure="false">"U35064"</definedName>
    <definedName function="false" hidden="true" name="FDD_139_13" vbProcedure="false">"U35430"</definedName>
    <definedName function="false" hidden="true" name="FDD_139_14" vbProcedure="false">"U35795"</definedName>
    <definedName function="false" hidden="true" name="FDD_139_2" vbProcedure="false">"A31412"</definedName>
    <definedName function="false" hidden="true" name="FDD_139_3" vbProcedure="false">"U31777"</definedName>
    <definedName function="false" hidden="true" name="FDD_139_4" vbProcedure="false">"U32142"</definedName>
    <definedName function="false" hidden="true" name="FDD_139_5" vbProcedure="false">"U32508"</definedName>
    <definedName function="false" hidden="true" name="FDD_139_6" vbProcedure="false">"U32873"</definedName>
    <definedName function="false" hidden="true" name="FDD_139_7" vbProcedure="false">"U33238"</definedName>
    <definedName function="false" hidden="true" name="FDD_139_8" vbProcedure="false">"U33603"</definedName>
    <definedName function="false" hidden="true" name="FDD_139_9" vbProcedure="false">"U33969"</definedName>
    <definedName function="false" hidden="true" name="FDD_13_0" vbProcedure="false">"A25569"</definedName>
    <definedName function="false" hidden="true" name="FDD_140_0" vbProcedure="false">"A25569"</definedName>
    <definedName function="false" hidden="true" name="FDD_141_0" vbProcedure="false">"A30681"</definedName>
    <definedName function="false" hidden="true" name="FDD_141_1" vbProcedure="false">"A31047"</definedName>
    <definedName function="false" hidden="true" name="FDD_141_10" vbProcedure="false">"A34334"</definedName>
    <definedName function="false" hidden="true" name="FDD_141_11" vbProcedure="false">"A34699"</definedName>
    <definedName function="false" hidden="true" name="FDD_141_12" vbProcedure="false">"A35064"</definedName>
    <definedName function="false" hidden="true" name="FDD_141_13" vbProcedure="false">"A35430"</definedName>
    <definedName function="false" hidden="true" name="FDD_141_14" vbProcedure="false">"A35795"</definedName>
    <definedName function="false" hidden="true" name="FDD_141_2" vbProcedure="false">"A31412"</definedName>
    <definedName function="false" hidden="true" name="FDD_141_3" vbProcedure="false">"A31777"</definedName>
    <definedName function="false" hidden="true" name="FDD_141_4" vbProcedure="false">"A32142"</definedName>
    <definedName function="false" hidden="true" name="FDD_141_5" vbProcedure="false">"A32508"</definedName>
    <definedName function="false" hidden="true" name="FDD_141_6" vbProcedure="false">"A32873"</definedName>
    <definedName function="false" hidden="true" name="FDD_141_7" vbProcedure="false">"A33238"</definedName>
    <definedName function="false" hidden="true" name="FDD_141_8" vbProcedure="false">"A33603"</definedName>
    <definedName function="false" hidden="true" name="FDD_141_9" vbProcedure="false">"A33969"</definedName>
    <definedName function="false" hidden="true" name="FDD_142_0" vbProcedure="false">"A30681"</definedName>
    <definedName function="false" hidden="true" name="FDD_142_1" vbProcedure="false">"A31047"</definedName>
    <definedName function="false" hidden="true" name="FDD_142_10" vbProcedure="false">"A34334"</definedName>
    <definedName function="false" hidden="true" name="FDD_142_11" vbProcedure="false">"A34699"</definedName>
    <definedName function="false" hidden="true" name="FDD_142_12" vbProcedure="false">"A35064"</definedName>
    <definedName function="false" hidden="true" name="FDD_142_13" vbProcedure="false">"A35430"</definedName>
    <definedName function="false" hidden="true" name="FDD_142_14" vbProcedure="false">"A35795"</definedName>
    <definedName function="false" hidden="true" name="FDD_142_2" vbProcedure="false">"A31412"</definedName>
    <definedName function="false" hidden="true" name="FDD_142_3" vbProcedure="false">"A31777"</definedName>
    <definedName function="false" hidden="true" name="FDD_142_4" vbProcedure="false">"A32142"</definedName>
    <definedName function="false" hidden="true" name="FDD_142_5" vbProcedure="false">"A32508"</definedName>
    <definedName function="false" hidden="true" name="FDD_142_6" vbProcedure="false">"A32873"</definedName>
    <definedName function="false" hidden="true" name="FDD_142_7" vbProcedure="false">"A33238"</definedName>
    <definedName function="false" hidden="true" name="FDD_142_8" vbProcedure="false">"A33603"</definedName>
    <definedName function="false" hidden="true" name="FDD_142_9" vbProcedure="false">"A33969"</definedName>
    <definedName function="false" hidden="true" name="FDD_143_0" vbProcedure="false">"A30681"</definedName>
    <definedName function="false" hidden="true" name="FDD_143_1" vbProcedure="false">"A31047"</definedName>
    <definedName function="false" hidden="true" name="FDD_143_10" vbProcedure="false">"A34334"</definedName>
    <definedName function="false" hidden="true" name="FDD_143_11" vbProcedure="false">"A34699"</definedName>
    <definedName function="false" hidden="true" name="FDD_143_12" vbProcedure="false">"A35064"</definedName>
    <definedName function="false" hidden="true" name="FDD_143_13" vbProcedure="false">"A35430"</definedName>
    <definedName function="false" hidden="true" name="FDD_143_14" vbProcedure="false">"A35795"</definedName>
    <definedName function="false" hidden="true" name="FDD_143_2" vbProcedure="false">"A31412"</definedName>
    <definedName function="false" hidden="true" name="FDD_143_3" vbProcedure="false">"A31777"</definedName>
    <definedName function="false" hidden="true" name="FDD_143_4" vbProcedure="false">"A32142"</definedName>
    <definedName function="false" hidden="true" name="FDD_143_5" vbProcedure="false">"A32508"</definedName>
    <definedName function="false" hidden="true" name="FDD_143_6" vbProcedure="false">"A32873"</definedName>
    <definedName function="false" hidden="true" name="FDD_143_7" vbProcedure="false">"A33238"</definedName>
    <definedName function="false" hidden="true" name="FDD_143_8" vbProcedure="false">"A33603"</definedName>
    <definedName function="false" hidden="true" name="FDD_143_9" vbProcedure="false">"A33969"</definedName>
    <definedName function="false" hidden="true" name="FDD_144_0" vbProcedure="false">"A30681"</definedName>
    <definedName function="false" hidden="true" name="FDD_144_1" vbProcedure="false">"A31047"</definedName>
    <definedName function="false" hidden="true" name="FDD_144_10" vbProcedure="false">"A34334"</definedName>
    <definedName function="false" hidden="true" name="FDD_144_11" vbProcedure="false">"A34699"</definedName>
    <definedName function="false" hidden="true" name="FDD_144_12" vbProcedure="false">"A35064"</definedName>
    <definedName function="false" hidden="true" name="FDD_144_13" vbProcedure="false">"A35430"</definedName>
    <definedName function="false" hidden="true" name="FDD_144_14" vbProcedure="false">"A35795"</definedName>
    <definedName function="false" hidden="true" name="FDD_144_2" vbProcedure="false">"A31412"</definedName>
    <definedName function="false" hidden="true" name="FDD_144_3" vbProcedure="false">"A31777"</definedName>
    <definedName function="false" hidden="true" name="FDD_144_4" vbProcedure="false">"A32142"</definedName>
    <definedName function="false" hidden="true" name="FDD_144_5" vbProcedure="false">"A32508"</definedName>
    <definedName function="false" hidden="true" name="FDD_144_6" vbProcedure="false">"A32873"</definedName>
    <definedName function="false" hidden="true" name="FDD_144_7" vbProcedure="false">"A33238"</definedName>
    <definedName function="false" hidden="true" name="FDD_144_8" vbProcedure="false">"A33603"</definedName>
    <definedName function="false" hidden="true" name="FDD_144_9" vbProcedure="false">"A33969"</definedName>
    <definedName function="false" hidden="true" name="FDD_145_0" vbProcedure="false">"A30681"</definedName>
    <definedName function="false" hidden="true" name="FDD_145_1" vbProcedure="false">"A31047"</definedName>
    <definedName function="false" hidden="true" name="FDD_145_10" vbProcedure="false">"A34334"</definedName>
    <definedName function="false" hidden="true" name="FDD_145_11" vbProcedure="false">"A34699"</definedName>
    <definedName function="false" hidden="true" name="FDD_145_12" vbProcedure="false">"A35064"</definedName>
    <definedName function="false" hidden="true" name="FDD_145_13" vbProcedure="false">"A35430"</definedName>
    <definedName function="false" hidden="true" name="FDD_145_14" vbProcedure="false">"A35795"</definedName>
    <definedName function="false" hidden="true" name="FDD_145_2" vbProcedure="false">"A31412"</definedName>
    <definedName function="false" hidden="true" name="FDD_145_3" vbProcedure="false">"A31777"</definedName>
    <definedName function="false" hidden="true" name="FDD_145_4" vbProcedure="false">"A32142"</definedName>
    <definedName function="false" hidden="true" name="FDD_145_5" vbProcedure="false">"A32508"</definedName>
    <definedName function="false" hidden="true" name="FDD_145_6" vbProcedure="false">"A32873"</definedName>
    <definedName function="false" hidden="true" name="FDD_145_7" vbProcedure="false">"A33238"</definedName>
    <definedName function="false" hidden="true" name="FDD_145_8" vbProcedure="false">"A33603"</definedName>
    <definedName function="false" hidden="true" name="FDD_145_9" vbProcedure="false">"A33969"</definedName>
    <definedName function="false" hidden="true" name="FDD_146_0" vbProcedure="false">"A30681"</definedName>
    <definedName function="false" hidden="true" name="FDD_146_1" vbProcedure="false">"A31047"</definedName>
    <definedName function="false" hidden="true" name="FDD_146_10" vbProcedure="false">"A34334"</definedName>
    <definedName function="false" hidden="true" name="FDD_146_11" vbProcedure="false">"A34699"</definedName>
    <definedName function="false" hidden="true" name="FDD_146_12" vbProcedure="false">"A35064"</definedName>
    <definedName function="false" hidden="true" name="FDD_146_13" vbProcedure="false">"A35430"</definedName>
    <definedName function="false" hidden="true" name="FDD_146_14" vbProcedure="false">"A35795"</definedName>
    <definedName function="false" hidden="true" name="FDD_146_2" vbProcedure="false">"A31412"</definedName>
    <definedName function="false" hidden="true" name="FDD_146_3" vbProcedure="false">"A31777"</definedName>
    <definedName function="false" hidden="true" name="FDD_146_4" vbProcedure="false">"A32142"</definedName>
    <definedName function="false" hidden="true" name="FDD_146_5" vbProcedure="false">"A32508"</definedName>
    <definedName function="false" hidden="true" name="FDD_146_6" vbProcedure="false">"A32873"</definedName>
    <definedName function="false" hidden="true" name="FDD_146_7" vbProcedure="false">"A33238"</definedName>
    <definedName function="false" hidden="true" name="FDD_146_8" vbProcedure="false">"A33603"</definedName>
    <definedName function="false" hidden="true" name="FDD_146_9" vbProcedure="false">"A33969"</definedName>
    <definedName function="false" hidden="true" name="FDD_147_0" vbProcedure="false">"U30681"</definedName>
    <definedName function="false" hidden="true" name="FDD_147_1" vbProcedure="false">"U31047"</definedName>
    <definedName function="false" hidden="true" name="FDD_147_10" vbProcedure="false">"U34334"</definedName>
    <definedName function="false" hidden="true" name="FDD_147_11" vbProcedure="false">"U34699"</definedName>
    <definedName function="false" hidden="true" name="FDD_147_12" vbProcedure="false">"U35064"</definedName>
    <definedName function="false" hidden="true" name="FDD_147_13" vbProcedure="false">"U35430"</definedName>
    <definedName function="false" hidden="true" name="FDD_147_14" vbProcedure="false">"U35795"</definedName>
    <definedName function="false" hidden="true" name="FDD_147_2" vbProcedure="false">"U31412"</definedName>
    <definedName function="false" hidden="true" name="FDD_147_3" vbProcedure="false">"U31777"</definedName>
    <definedName function="false" hidden="true" name="FDD_147_4" vbProcedure="false">"U32142"</definedName>
    <definedName function="false" hidden="true" name="FDD_147_5" vbProcedure="false">"U32508"</definedName>
    <definedName function="false" hidden="true" name="FDD_147_6" vbProcedure="false">"U32873"</definedName>
    <definedName function="false" hidden="true" name="FDD_147_7" vbProcedure="false">"U33238"</definedName>
    <definedName function="false" hidden="true" name="FDD_147_8" vbProcedure="false">"U33603"</definedName>
    <definedName function="false" hidden="true" name="FDD_147_9" vbProcedure="false">"U33969"</definedName>
    <definedName function="false" hidden="true" name="FDD_148_0" vbProcedure="false">"A30681"</definedName>
    <definedName function="false" hidden="true" name="FDD_148_1" vbProcedure="false">"A31047"</definedName>
    <definedName function="false" hidden="true" name="FDD_148_10" vbProcedure="false">"A34334"</definedName>
    <definedName function="false" hidden="true" name="FDD_148_11" vbProcedure="false">"A34699"</definedName>
    <definedName function="false" hidden="true" name="FDD_148_12" vbProcedure="false">"A35064"</definedName>
    <definedName function="false" hidden="true" name="FDD_148_13" vbProcedure="false">"A35430"</definedName>
    <definedName function="false" hidden="true" name="FDD_148_14" vbProcedure="false">"A35795"</definedName>
    <definedName function="false" hidden="true" name="FDD_148_2" vbProcedure="false">"A31412"</definedName>
    <definedName function="false" hidden="true" name="FDD_148_3" vbProcedure="false">"A31777"</definedName>
    <definedName function="false" hidden="true" name="FDD_148_4" vbProcedure="false">"A32142"</definedName>
    <definedName function="false" hidden="true" name="FDD_148_5" vbProcedure="false">"A32508"</definedName>
    <definedName function="false" hidden="true" name="FDD_148_6" vbProcedure="false">"A32873"</definedName>
    <definedName function="false" hidden="true" name="FDD_148_7" vbProcedure="false">"A33238"</definedName>
    <definedName function="false" hidden="true" name="FDD_148_8" vbProcedure="false">"A33603"</definedName>
    <definedName function="false" hidden="true" name="FDD_148_9" vbProcedure="false">"A33969"</definedName>
    <definedName function="false" hidden="true" name="FDD_149_0" vbProcedure="false">"U30681"</definedName>
    <definedName function="false" hidden="true" name="FDD_149_1" vbProcedure="false">"U31047"</definedName>
    <definedName function="false" hidden="true" name="FDD_149_10" vbProcedure="false">"U34334"</definedName>
    <definedName function="false" hidden="true" name="FDD_149_11" vbProcedure="false">"U34699"</definedName>
    <definedName function="false" hidden="true" name="FDD_149_12" vbProcedure="false">"U35064"</definedName>
    <definedName function="false" hidden="true" name="FDD_149_13" vbProcedure="false">"U35430"</definedName>
    <definedName function="false" hidden="true" name="FDD_149_14" vbProcedure="false">"A35795"</definedName>
    <definedName function="false" hidden="true" name="FDD_149_2" vbProcedure="false">"U31412"</definedName>
    <definedName function="false" hidden="true" name="FDD_149_3" vbProcedure="false">"U31777"</definedName>
    <definedName function="false" hidden="true" name="FDD_149_4" vbProcedure="false">"U32142"</definedName>
    <definedName function="false" hidden="true" name="FDD_149_5" vbProcedure="false">"U32508"</definedName>
    <definedName function="false" hidden="true" name="FDD_149_6" vbProcedure="false">"U32873"</definedName>
    <definedName function="false" hidden="true" name="FDD_149_7" vbProcedure="false">"U33238"</definedName>
    <definedName function="false" hidden="true" name="FDD_149_8" vbProcedure="false">"U33603"</definedName>
    <definedName function="false" hidden="true" name="FDD_149_9" vbProcedure="false">"U33969"</definedName>
    <definedName function="false" hidden="true" name="FDD_14_0" vbProcedure="false">"A25569"</definedName>
    <definedName function="false" hidden="true" name="FDD_151_0" vbProcedure="false">"A30681"</definedName>
    <definedName function="false" hidden="true" name="FDD_151_1" vbProcedure="false">"A31047"</definedName>
    <definedName function="false" hidden="true" name="FDD_151_10" vbProcedure="false">"A34334"</definedName>
    <definedName function="false" hidden="true" name="FDD_151_11" vbProcedure="false">"A34699"</definedName>
    <definedName function="false" hidden="true" name="FDD_151_12" vbProcedure="false">"A35064"</definedName>
    <definedName function="false" hidden="true" name="FDD_151_13" vbProcedure="false">"A35430"</definedName>
    <definedName function="false" hidden="true" name="FDD_151_14" vbProcedure="false">"A35795"</definedName>
    <definedName function="false" hidden="true" name="FDD_151_2" vbProcedure="false">"A31412"</definedName>
    <definedName function="false" hidden="true" name="FDD_151_3" vbProcedure="false">"A31777"</definedName>
    <definedName function="false" hidden="true" name="FDD_151_4" vbProcedure="false">"A32142"</definedName>
    <definedName function="false" hidden="true" name="FDD_151_5" vbProcedure="false">"A32508"</definedName>
    <definedName function="false" hidden="true" name="FDD_151_6" vbProcedure="false">"A32873"</definedName>
    <definedName function="false" hidden="true" name="FDD_151_7" vbProcedure="false">"A33238"</definedName>
    <definedName function="false" hidden="true" name="FDD_151_8" vbProcedure="false">"A33603"</definedName>
    <definedName function="false" hidden="true" name="FDD_151_9" vbProcedure="false">"A33969"</definedName>
    <definedName function="false" hidden="true" name="FDD_152_0" vbProcedure="false">"A30681"</definedName>
    <definedName function="false" hidden="true" name="FDD_152_1" vbProcedure="false">"A31047"</definedName>
    <definedName function="false" hidden="true" name="FDD_152_10" vbProcedure="false">"A34334"</definedName>
    <definedName function="false" hidden="true" name="FDD_152_11" vbProcedure="false">"A34699"</definedName>
    <definedName function="false" hidden="true" name="FDD_152_12" vbProcedure="false">"A35064"</definedName>
    <definedName function="false" hidden="true" name="FDD_152_13" vbProcedure="false">"A35430"</definedName>
    <definedName function="false" hidden="true" name="FDD_152_14" vbProcedure="false">"A35795"</definedName>
    <definedName function="false" hidden="true" name="FDD_152_15" vbProcedure="false">"E36160"</definedName>
    <definedName function="false" hidden="true" name="FDD_152_2" vbProcedure="false">"A31412"</definedName>
    <definedName function="false" hidden="true" name="FDD_152_3" vbProcedure="false">"A31777"</definedName>
    <definedName function="false" hidden="true" name="FDD_152_4" vbProcedure="false">"A32142"</definedName>
    <definedName function="false" hidden="true" name="FDD_152_5" vbProcedure="false">"A32508"</definedName>
    <definedName function="false" hidden="true" name="FDD_152_6" vbProcedure="false">"A32873"</definedName>
    <definedName function="false" hidden="true" name="FDD_152_7" vbProcedure="false">"A33238"</definedName>
    <definedName function="false" hidden="true" name="FDD_152_8" vbProcedure="false">"A33603"</definedName>
    <definedName function="false" hidden="true" name="FDD_152_9" vbProcedure="false">"A33969"</definedName>
    <definedName function="false" hidden="true" name="FDD_153_0" vbProcedure="false">"A30681"</definedName>
    <definedName function="false" hidden="true" name="FDD_153_1" vbProcedure="false">"A31047"</definedName>
    <definedName function="false" hidden="true" name="FDD_153_10" vbProcedure="false">"A34334"</definedName>
    <definedName function="false" hidden="true" name="FDD_153_11" vbProcedure="false">"A34699"</definedName>
    <definedName function="false" hidden="true" name="FDD_153_12" vbProcedure="false">"A35064"</definedName>
    <definedName function="false" hidden="true" name="FDD_153_13" vbProcedure="false">"A35430"</definedName>
    <definedName function="false" hidden="true" name="FDD_153_14" vbProcedure="false">"A35795"</definedName>
    <definedName function="false" hidden="true" name="FDD_153_2" vbProcedure="false">"A31412"</definedName>
    <definedName function="false" hidden="true" name="FDD_153_3" vbProcedure="false">"A31777"</definedName>
    <definedName function="false" hidden="true" name="FDD_153_4" vbProcedure="false">"A32142"</definedName>
    <definedName function="false" hidden="true" name="FDD_153_5" vbProcedure="false">"A32508"</definedName>
    <definedName function="false" hidden="true" name="FDD_153_6" vbProcedure="false">"A32873"</definedName>
    <definedName function="false" hidden="true" name="FDD_153_7" vbProcedure="false">"A33238"</definedName>
    <definedName function="false" hidden="true" name="FDD_153_8" vbProcedure="false">"A33603"</definedName>
    <definedName function="false" hidden="true" name="FDD_153_9" vbProcedure="false">"A33969"</definedName>
    <definedName function="false" hidden="true" name="FDD_154_0" vbProcedure="false">"A30681"</definedName>
    <definedName function="false" hidden="true" name="FDD_154_1" vbProcedure="false">"A31047"</definedName>
    <definedName function="false" hidden="true" name="FDD_154_10" vbProcedure="false">"A34334"</definedName>
    <definedName function="false" hidden="true" name="FDD_154_11" vbProcedure="false">"A34699"</definedName>
    <definedName function="false" hidden="true" name="FDD_154_12" vbProcedure="false">"A35064"</definedName>
    <definedName function="false" hidden="true" name="FDD_154_13" vbProcedure="false">"A35430"</definedName>
    <definedName function="false" hidden="true" name="FDD_154_14" vbProcedure="false">"A35795"</definedName>
    <definedName function="false" hidden="true" name="FDD_154_2" vbProcedure="false">"A31412"</definedName>
    <definedName function="false" hidden="true" name="FDD_154_3" vbProcedure="false">"A31777"</definedName>
    <definedName function="false" hidden="true" name="FDD_154_4" vbProcedure="false">"A32142"</definedName>
    <definedName function="false" hidden="true" name="FDD_154_5" vbProcedure="false">"A32508"</definedName>
    <definedName function="false" hidden="true" name="FDD_154_6" vbProcedure="false">"A32873"</definedName>
    <definedName function="false" hidden="true" name="FDD_154_7" vbProcedure="false">"A33238"</definedName>
    <definedName function="false" hidden="true" name="FDD_154_8" vbProcedure="false">"A33603"</definedName>
    <definedName function="false" hidden="true" name="FDD_154_9" vbProcedure="false">"A33969"</definedName>
    <definedName function="false" hidden="true" name="FDD_155_0" vbProcedure="false">"A25569"</definedName>
    <definedName function="false" hidden="true" name="FDD_156_0" vbProcedure="false">"A30681"</definedName>
    <definedName function="false" hidden="true" name="FDD_156_1" vbProcedure="false">"A31047"</definedName>
    <definedName function="false" hidden="true" name="FDD_156_10" vbProcedure="false">"A34334"</definedName>
    <definedName function="false" hidden="true" name="FDD_156_11" vbProcedure="false">"A34699"</definedName>
    <definedName function="false" hidden="true" name="FDD_156_12" vbProcedure="false">"A35064"</definedName>
    <definedName function="false" hidden="true" name="FDD_156_13" vbProcedure="false">"A35430"</definedName>
    <definedName function="false" hidden="true" name="FDD_156_14" vbProcedure="false">"A35795"</definedName>
    <definedName function="false" hidden="true" name="FDD_156_15" vbProcedure="false">"E36160"</definedName>
    <definedName function="false" hidden="true" name="FDD_156_2" vbProcedure="false">"A31412"</definedName>
    <definedName function="false" hidden="true" name="FDD_156_3" vbProcedure="false">"A31777"</definedName>
    <definedName function="false" hidden="true" name="FDD_156_4" vbProcedure="false">"A32142"</definedName>
    <definedName function="false" hidden="true" name="FDD_156_5" vbProcedure="false">"A32508"</definedName>
    <definedName function="false" hidden="true" name="FDD_156_6" vbProcedure="false">"A32873"</definedName>
    <definedName function="false" hidden="true" name="FDD_156_7" vbProcedure="false">"A33238"</definedName>
    <definedName function="false" hidden="true" name="FDD_156_8" vbProcedure="false">"A33603"</definedName>
    <definedName function="false" hidden="true" name="FDD_156_9" vbProcedure="false">"A33969"</definedName>
    <definedName function="false" hidden="true" name="FDD_157_0" vbProcedure="false">"A30681"</definedName>
    <definedName function="false" hidden="true" name="FDD_157_1" vbProcedure="false">"A31047"</definedName>
    <definedName function="false" hidden="true" name="FDD_157_10" vbProcedure="false">"A34334"</definedName>
    <definedName function="false" hidden="true" name="FDD_157_11" vbProcedure="false">"A34699"</definedName>
    <definedName function="false" hidden="true" name="FDD_157_12" vbProcedure="false">"A35064"</definedName>
    <definedName function="false" hidden="true" name="FDD_157_13" vbProcedure="false">"A35430"</definedName>
    <definedName function="false" hidden="true" name="FDD_157_14" vbProcedure="false">"A35795"</definedName>
    <definedName function="false" hidden="true" name="FDD_157_2" vbProcedure="false">"A31412"</definedName>
    <definedName function="false" hidden="true" name="FDD_157_3" vbProcedure="false">"A31777"</definedName>
    <definedName function="false" hidden="true" name="FDD_157_4" vbProcedure="false">"A32142"</definedName>
    <definedName function="false" hidden="true" name="FDD_157_5" vbProcedure="false">"A32508"</definedName>
    <definedName function="false" hidden="true" name="FDD_157_6" vbProcedure="false">"A32873"</definedName>
    <definedName function="false" hidden="true" name="FDD_157_7" vbProcedure="false">"A33238"</definedName>
    <definedName function="false" hidden="true" name="FDD_157_8" vbProcedure="false">"A33603"</definedName>
    <definedName function="false" hidden="true" name="FDD_157_9" vbProcedure="false">"A33969"</definedName>
    <definedName function="false" hidden="true" name="FDD_158_0" vbProcedure="false">"A30681"</definedName>
    <definedName function="false" hidden="true" name="FDD_158_1" vbProcedure="false">"A31047"</definedName>
    <definedName function="false" hidden="true" name="FDD_158_10" vbProcedure="false">"A34334"</definedName>
    <definedName function="false" hidden="true" name="FDD_158_11" vbProcedure="false">"A34699"</definedName>
    <definedName function="false" hidden="true" name="FDD_158_12" vbProcedure="false">"A35064"</definedName>
    <definedName function="false" hidden="true" name="FDD_158_13" vbProcedure="false">"A35430"</definedName>
    <definedName function="false" hidden="true" name="FDD_158_14" vbProcedure="false">"A35795"</definedName>
    <definedName function="false" hidden="true" name="FDD_158_15" vbProcedure="false">"E36160"</definedName>
    <definedName function="false" hidden="true" name="FDD_158_2" vbProcedure="false">"A31412"</definedName>
    <definedName function="false" hidden="true" name="FDD_158_3" vbProcedure="false">"A31777"</definedName>
    <definedName function="false" hidden="true" name="FDD_158_4" vbProcedure="false">"A32142"</definedName>
    <definedName function="false" hidden="true" name="FDD_158_5" vbProcedure="false">"A32508"</definedName>
    <definedName function="false" hidden="true" name="FDD_158_6" vbProcedure="false">"A32873"</definedName>
    <definedName function="false" hidden="true" name="FDD_158_7" vbProcedure="false">"A33238"</definedName>
    <definedName function="false" hidden="true" name="FDD_158_8" vbProcedure="false">"A33603"</definedName>
    <definedName function="false" hidden="true" name="FDD_158_9" vbProcedure="false">"A33969"</definedName>
    <definedName function="false" hidden="true" name="FDD_159_0" vbProcedure="false">"A30681"</definedName>
    <definedName function="false" hidden="true" name="FDD_159_1" vbProcedure="false">"A31047"</definedName>
    <definedName function="false" hidden="true" name="FDD_159_10" vbProcedure="false">"A34334"</definedName>
    <definedName function="false" hidden="true" name="FDD_159_11" vbProcedure="false">"A34699"</definedName>
    <definedName function="false" hidden="true" name="FDD_159_12" vbProcedure="false">"A35064"</definedName>
    <definedName function="false" hidden="true" name="FDD_159_13" vbProcedure="false">"A35430"</definedName>
    <definedName function="false" hidden="true" name="FDD_159_14" vbProcedure="false">"A35795"</definedName>
    <definedName function="false" hidden="true" name="FDD_159_2" vbProcedure="false">"A31412"</definedName>
    <definedName function="false" hidden="true" name="FDD_159_3" vbProcedure="false">"A31777"</definedName>
    <definedName function="false" hidden="true" name="FDD_159_4" vbProcedure="false">"A32142"</definedName>
    <definedName function="false" hidden="true" name="FDD_159_5" vbProcedure="false">"A32508"</definedName>
    <definedName function="false" hidden="true" name="FDD_159_6" vbProcedure="false">"A32873"</definedName>
    <definedName function="false" hidden="true" name="FDD_159_7" vbProcedure="false">"A33238"</definedName>
    <definedName function="false" hidden="true" name="FDD_159_8" vbProcedure="false">"A33603"</definedName>
    <definedName function="false" hidden="true" name="FDD_159_9" vbProcedure="false">"A33969"</definedName>
    <definedName function="false" hidden="true" name="FDD_15_0" vbProcedure="false">"A25569"</definedName>
    <definedName function="false" hidden="true" name="FDD_160_0" vbProcedure="false">"A30681"</definedName>
    <definedName function="false" hidden="true" name="FDD_160_1" vbProcedure="false">"A31047"</definedName>
    <definedName function="false" hidden="true" name="FDD_160_10" vbProcedure="false">"A34334"</definedName>
    <definedName function="false" hidden="true" name="FDD_160_11" vbProcedure="false">"A34699"</definedName>
    <definedName function="false" hidden="true" name="FDD_160_12" vbProcedure="false">"A35064"</definedName>
    <definedName function="false" hidden="true" name="FDD_160_13" vbProcedure="false">"A35430"</definedName>
    <definedName function="false" hidden="true" name="FDD_160_14" vbProcedure="false">"A35795"</definedName>
    <definedName function="false" hidden="true" name="FDD_160_15" vbProcedure="false">"E36160"</definedName>
    <definedName function="false" hidden="true" name="FDD_160_2" vbProcedure="false">"A31412"</definedName>
    <definedName function="false" hidden="true" name="FDD_160_3" vbProcedure="false">"A31777"</definedName>
    <definedName function="false" hidden="true" name="FDD_160_4" vbProcedure="false">"A32142"</definedName>
    <definedName function="false" hidden="true" name="FDD_160_5" vbProcedure="false">"A32508"</definedName>
    <definedName function="false" hidden="true" name="FDD_160_6" vbProcedure="false">"A32873"</definedName>
    <definedName function="false" hidden="true" name="FDD_160_7" vbProcedure="false">"A33238"</definedName>
    <definedName function="false" hidden="true" name="FDD_160_8" vbProcedure="false">"A33603"</definedName>
    <definedName function="false" hidden="true" name="FDD_160_9" vbProcedure="false">"A33969"</definedName>
    <definedName function="false" hidden="true" name="FDD_161_0" vbProcedure="false">"A30681"</definedName>
    <definedName function="false" hidden="true" name="FDD_161_1" vbProcedure="false">"A31047"</definedName>
    <definedName function="false" hidden="true" name="FDD_161_10" vbProcedure="false">"A34334"</definedName>
    <definedName function="false" hidden="true" name="FDD_161_11" vbProcedure="false">"A34699"</definedName>
    <definedName function="false" hidden="true" name="FDD_161_12" vbProcedure="false">"A35064"</definedName>
    <definedName function="false" hidden="true" name="FDD_161_13" vbProcedure="false">"A35430"</definedName>
    <definedName function="false" hidden="true" name="FDD_161_14" vbProcedure="false">"A35795"</definedName>
    <definedName function="false" hidden="true" name="FDD_161_2" vbProcedure="false">"A31412"</definedName>
    <definedName function="false" hidden="true" name="FDD_161_3" vbProcedure="false">"A31777"</definedName>
    <definedName function="false" hidden="true" name="FDD_161_4" vbProcedure="false">"A32142"</definedName>
    <definedName function="false" hidden="true" name="FDD_161_5" vbProcedure="false">"A32508"</definedName>
    <definedName function="false" hidden="true" name="FDD_161_6" vbProcedure="false">"A32873"</definedName>
    <definedName function="false" hidden="true" name="FDD_161_7" vbProcedure="false">"A33238"</definedName>
    <definedName function="false" hidden="true" name="FDD_161_8" vbProcedure="false">"A33603"</definedName>
    <definedName function="false" hidden="true" name="FDD_161_9" vbProcedure="false">"A33969"</definedName>
    <definedName function="false" hidden="true" name="FDD_162_0" vbProcedure="false">"A30681"</definedName>
    <definedName function="false" hidden="true" name="FDD_162_1" vbProcedure="false">"A31047"</definedName>
    <definedName function="false" hidden="true" name="FDD_162_10" vbProcedure="false">"A34334"</definedName>
    <definedName function="false" hidden="true" name="FDD_162_11" vbProcedure="false">"A34699"</definedName>
    <definedName function="false" hidden="true" name="FDD_162_12" vbProcedure="false">"A35064"</definedName>
    <definedName function="false" hidden="true" name="FDD_162_13" vbProcedure="false">"A35430"</definedName>
    <definedName function="false" hidden="true" name="FDD_162_14" vbProcedure="false">"A35795"</definedName>
    <definedName function="false" hidden="true" name="FDD_162_2" vbProcedure="false">"A31412"</definedName>
    <definedName function="false" hidden="true" name="FDD_162_3" vbProcedure="false">"A31777"</definedName>
    <definedName function="false" hidden="true" name="FDD_162_4" vbProcedure="false">"A32142"</definedName>
    <definedName function="false" hidden="true" name="FDD_162_5" vbProcedure="false">"A32508"</definedName>
    <definedName function="false" hidden="true" name="FDD_162_6" vbProcedure="false">"A32873"</definedName>
    <definedName function="false" hidden="true" name="FDD_162_7" vbProcedure="false">"A33238"</definedName>
    <definedName function="false" hidden="true" name="FDD_162_8" vbProcedure="false">"A33603"</definedName>
    <definedName function="false" hidden="true" name="FDD_162_9" vbProcedure="false">"A33969"</definedName>
    <definedName function="false" hidden="true" name="FDD_163_0" vbProcedure="false">"A30681"</definedName>
    <definedName function="false" hidden="true" name="FDD_163_1" vbProcedure="false">"A31047"</definedName>
    <definedName function="false" hidden="true" name="FDD_163_10" vbProcedure="false">"A34334"</definedName>
    <definedName function="false" hidden="true" name="FDD_163_11" vbProcedure="false">"A34699"</definedName>
    <definedName function="false" hidden="true" name="FDD_163_12" vbProcedure="false">"A35064"</definedName>
    <definedName function="false" hidden="true" name="FDD_163_13" vbProcedure="false">"A35430"</definedName>
    <definedName function="false" hidden="true" name="FDD_163_14" vbProcedure="false">"A35795"</definedName>
    <definedName function="false" hidden="true" name="FDD_163_2" vbProcedure="false">"A31412"</definedName>
    <definedName function="false" hidden="true" name="FDD_163_3" vbProcedure="false">"A31777"</definedName>
    <definedName function="false" hidden="true" name="FDD_163_4" vbProcedure="false">"A32142"</definedName>
    <definedName function="false" hidden="true" name="FDD_163_5" vbProcedure="false">"A32508"</definedName>
    <definedName function="false" hidden="true" name="FDD_163_6" vbProcedure="false">"A32873"</definedName>
    <definedName function="false" hidden="true" name="FDD_163_7" vbProcedure="false">"A33238"</definedName>
    <definedName function="false" hidden="true" name="FDD_163_8" vbProcedure="false">"A33603"</definedName>
    <definedName function="false" hidden="true" name="FDD_163_9" vbProcedure="false">"A33969"</definedName>
    <definedName function="false" hidden="true" name="FDD_164_0" vbProcedure="false">"A25569"</definedName>
    <definedName function="false" hidden="true" name="FDD_165_0" vbProcedure="false">"A30681"</definedName>
    <definedName function="false" hidden="true" name="FDD_165_1" vbProcedure="false">"A31047"</definedName>
    <definedName function="false" hidden="true" name="FDD_165_10" vbProcedure="false">"A34334"</definedName>
    <definedName function="false" hidden="true" name="FDD_165_11" vbProcedure="false">"A34699"</definedName>
    <definedName function="false" hidden="true" name="FDD_165_12" vbProcedure="false">"A35064"</definedName>
    <definedName function="false" hidden="true" name="FDD_165_13" vbProcedure="false">"A35430"</definedName>
    <definedName function="false" hidden="true" name="FDD_165_14" vbProcedure="false">"A35795"</definedName>
    <definedName function="false" hidden="true" name="FDD_165_2" vbProcedure="false">"A31412"</definedName>
    <definedName function="false" hidden="true" name="FDD_165_3" vbProcedure="false">"A31777"</definedName>
    <definedName function="false" hidden="true" name="FDD_165_4" vbProcedure="false">"A32142"</definedName>
    <definedName function="false" hidden="true" name="FDD_165_5" vbProcedure="false">"A32508"</definedName>
    <definedName function="false" hidden="true" name="FDD_165_6" vbProcedure="false">"A32873"</definedName>
    <definedName function="false" hidden="true" name="FDD_165_7" vbProcedure="false">"A33238"</definedName>
    <definedName function="false" hidden="true" name="FDD_165_8" vbProcedure="false">"A33603"</definedName>
    <definedName function="false" hidden="true" name="FDD_165_9" vbProcedure="false">"A33969"</definedName>
    <definedName function="false" hidden="true" name="FDD_166_0" vbProcedure="false">"A30681"</definedName>
    <definedName function="false" hidden="true" name="FDD_166_1" vbProcedure="false">"A31047"</definedName>
    <definedName function="false" hidden="true" name="FDD_166_10" vbProcedure="false">"A34334"</definedName>
    <definedName function="false" hidden="true" name="FDD_166_11" vbProcedure="false">"A34699"</definedName>
    <definedName function="false" hidden="true" name="FDD_166_12" vbProcedure="false">"A35064"</definedName>
    <definedName function="false" hidden="true" name="FDD_166_13" vbProcedure="false">"A35430"</definedName>
    <definedName function="false" hidden="true" name="FDD_166_14" vbProcedure="false">"A35795"</definedName>
    <definedName function="false" hidden="true" name="FDD_166_2" vbProcedure="false">"A31412"</definedName>
    <definedName function="false" hidden="true" name="FDD_166_3" vbProcedure="false">"A31777"</definedName>
    <definedName function="false" hidden="true" name="FDD_166_4" vbProcedure="false">"A32142"</definedName>
    <definedName function="false" hidden="true" name="FDD_166_5" vbProcedure="false">"A32508"</definedName>
    <definedName function="false" hidden="true" name="FDD_166_6" vbProcedure="false">"A32873"</definedName>
    <definedName function="false" hidden="true" name="FDD_166_7" vbProcedure="false">"A33238"</definedName>
    <definedName function="false" hidden="true" name="FDD_166_8" vbProcedure="false">"A33603"</definedName>
    <definedName function="false" hidden="true" name="FDD_166_9" vbProcedure="false">"A33969"</definedName>
    <definedName function="false" hidden="true" name="FDD_167_0" vbProcedure="false">"A30681"</definedName>
    <definedName function="false" hidden="true" name="FDD_167_1" vbProcedure="false">"A31047"</definedName>
    <definedName function="false" hidden="true" name="FDD_167_10" vbProcedure="false">"A34334"</definedName>
    <definedName function="false" hidden="true" name="FDD_167_11" vbProcedure="false">"A34699"</definedName>
    <definedName function="false" hidden="true" name="FDD_167_12" vbProcedure="false">"A35064"</definedName>
    <definedName function="false" hidden="true" name="FDD_167_13" vbProcedure="false">"A35430"</definedName>
    <definedName function="false" hidden="true" name="FDD_167_14" vbProcedure="false">"A35795"</definedName>
    <definedName function="false" hidden="true" name="FDD_167_2" vbProcedure="false">"A31412"</definedName>
    <definedName function="false" hidden="true" name="FDD_167_3" vbProcedure="false">"A31777"</definedName>
    <definedName function="false" hidden="true" name="FDD_167_4" vbProcedure="false">"A32142"</definedName>
    <definedName function="false" hidden="true" name="FDD_167_5" vbProcedure="false">"A32508"</definedName>
    <definedName function="false" hidden="true" name="FDD_167_6" vbProcedure="false">"A32873"</definedName>
    <definedName function="false" hidden="true" name="FDD_167_7" vbProcedure="false">"A33238"</definedName>
    <definedName function="false" hidden="true" name="FDD_167_8" vbProcedure="false">"A33603"</definedName>
    <definedName function="false" hidden="true" name="FDD_167_9" vbProcedure="false">"A33969"</definedName>
    <definedName function="false" hidden="true" name="FDD_168_0" vbProcedure="false">"E36160"</definedName>
    <definedName function="false" hidden="true" name="FDD_168_1" vbProcedure="false">"E36525"</definedName>
    <definedName function="false" hidden="true" name="FDD_168_2" vbProcedure="false">"E36891"</definedName>
    <definedName function="false" hidden="true" name="FDD_169_0" vbProcedure="false">"A30681"</definedName>
    <definedName function="false" hidden="true" name="FDD_169_1" vbProcedure="false">"A31047"</definedName>
    <definedName function="false" hidden="true" name="FDD_169_10" vbProcedure="false">"A34334"</definedName>
    <definedName function="false" hidden="true" name="FDD_169_11" vbProcedure="false">"A34699"</definedName>
    <definedName function="false" hidden="true" name="FDD_169_12" vbProcedure="false">"A35064"</definedName>
    <definedName function="false" hidden="true" name="FDD_169_13" vbProcedure="false">"A35430"</definedName>
    <definedName function="false" hidden="true" name="FDD_169_14" vbProcedure="false">"A35795"</definedName>
    <definedName function="false" hidden="true" name="FDD_169_2" vbProcedure="false">"A31412"</definedName>
    <definedName function="false" hidden="true" name="FDD_169_3" vbProcedure="false">"A31777"</definedName>
    <definedName function="false" hidden="true" name="FDD_169_4" vbProcedure="false">"A32142"</definedName>
    <definedName function="false" hidden="true" name="FDD_169_5" vbProcedure="false">"A32508"</definedName>
    <definedName function="false" hidden="true" name="FDD_169_6" vbProcedure="false">"A32873"</definedName>
    <definedName function="false" hidden="true" name="FDD_169_7" vbProcedure="false">"A33238"</definedName>
    <definedName function="false" hidden="true" name="FDD_169_8" vbProcedure="false">"A33603"</definedName>
    <definedName function="false" hidden="true" name="FDD_169_9" vbProcedure="false">"A33969"</definedName>
    <definedName function="false" hidden="true" name="FDD_16_0" vbProcedure="false">"A25569"</definedName>
    <definedName function="false" hidden="true" name="FDD_170_0" vbProcedure="false">"A30681"</definedName>
    <definedName function="false" hidden="true" name="FDD_170_1" vbProcedure="false">"A31047"</definedName>
    <definedName function="false" hidden="true" name="FDD_170_10" vbProcedure="false">"A34334"</definedName>
    <definedName function="false" hidden="true" name="FDD_170_11" vbProcedure="false">"A34699"</definedName>
    <definedName function="false" hidden="true" name="FDD_170_12" vbProcedure="false">"A35064"</definedName>
    <definedName function="false" hidden="true" name="FDD_170_13" vbProcedure="false">"A35430"</definedName>
    <definedName function="false" hidden="true" name="FDD_170_14" vbProcedure="false">"A35795"</definedName>
    <definedName function="false" hidden="true" name="FDD_170_2" vbProcedure="false">"A31412"</definedName>
    <definedName function="false" hidden="true" name="FDD_170_3" vbProcedure="false">"A31777"</definedName>
    <definedName function="false" hidden="true" name="FDD_170_4" vbProcedure="false">"A32142"</definedName>
    <definedName function="false" hidden="true" name="FDD_170_5" vbProcedure="false">"A32508"</definedName>
    <definedName function="false" hidden="true" name="FDD_170_6" vbProcedure="false">"A32873"</definedName>
    <definedName function="false" hidden="true" name="FDD_170_7" vbProcedure="false">"A33238"</definedName>
    <definedName function="false" hidden="true" name="FDD_170_8" vbProcedure="false">"A33603"</definedName>
    <definedName function="false" hidden="true" name="FDD_170_9" vbProcedure="false">"A33969"</definedName>
    <definedName function="false" hidden="true" name="FDD_171_0" vbProcedure="false">"A30681"</definedName>
    <definedName function="false" hidden="true" name="FDD_171_1" vbProcedure="false">"A31047"</definedName>
    <definedName function="false" hidden="true" name="FDD_171_10" vbProcedure="false">"A34334"</definedName>
    <definedName function="false" hidden="true" name="FDD_171_11" vbProcedure="false">"A34699"</definedName>
    <definedName function="false" hidden="true" name="FDD_171_12" vbProcedure="false">"A35064"</definedName>
    <definedName function="false" hidden="true" name="FDD_171_13" vbProcedure="false">"A35430"</definedName>
    <definedName function="false" hidden="true" name="FDD_171_14" vbProcedure="false">"A35795"</definedName>
    <definedName function="false" hidden="true" name="FDD_171_2" vbProcedure="false">"A31412"</definedName>
    <definedName function="false" hidden="true" name="FDD_171_3" vbProcedure="false">"A31777"</definedName>
    <definedName function="false" hidden="true" name="FDD_171_4" vbProcedure="false">"A32142"</definedName>
    <definedName function="false" hidden="true" name="FDD_171_5" vbProcedure="false">"A32508"</definedName>
    <definedName function="false" hidden="true" name="FDD_171_6" vbProcedure="false">"A32873"</definedName>
    <definedName function="false" hidden="true" name="FDD_171_7" vbProcedure="false">"A33238"</definedName>
    <definedName function="false" hidden="true" name="FDD_171_8" vbProcedure="false">"A33603"</definedName>
    <definedName function="false" hidden="true" name="FDD_171_9" vbProcedure="false">"A33969"</definedName>
    <definedName function="false" hidden="true" name="FDD_172_0" vbProcedure="false">"A30681"</definedName>
    <definedName function="false" hidden="true" name="FDD_172_1" vbProcedure="false">"A31047"</definedName>
    <definedName function="false" hidden="true" name="FDD_172_10" vbProcedure="false">"A34334"</definedName>
    <definedName function="false" hidden="true" name="FDD_172_11" vbProcedure="false">"A34699"</definedName>
    <definedName function="false" hidden="true" name="FDD_172_12" vbProcedure="false">"A35064"</definedName>
    <definedName function="false" hidden="true" name="FDD_172_13" vbProcedure="false">"A35430"</definedName>
    <definedName function="false" hidden="true" name="FDD_172_14" vbProcedure="false">"A35795"</definedName>
    <definedName function="false" hidden="true" name="FDD_172_2" vbProcedure="false">"A31412"</definedName>
    <definedName function="false" hidden="true" name="FDD_172_3" vbProcedure="false">"A31777"</definedName>
    <definedName function="false" hidden="true" name="FDD_172_4" vbProcedure="false">"A32142"</definedName>
    <definedName function="false" hidden="true" name="FDD_172_5" vbProcedure="false">"A32508"</definedName>
    <definedName function="false" hidden="true" name="FDD_172_6" vbProcedure="false">"A32873"</definedName>
    <definedName function="false" hidden="true" name="FDD_172_7" vbProcedure="false">"A33238"</definedName>
    <definedName function="false" hidden="true" name="FDD_172_8" vbProcedure="false">"A33603"</definedName>
    <definedName function="false" hidden="true" name="FDD_172_9" vbProcedure="false">"A33969"</definedName>
    <definedName function="false" hidden="true" name="FDD_173_0" vbProcedure="false">"A30681"</definedName>
    <definedName function="false" hidden="true" name="FDD_173_1" vbProcedure="false">"A31047"</definedName>
    <definedName function="false" hidden="true" name="FDD_173_10" vbProcedure="false">"A34334"</definedName>
    <definedName function="false" hidden="true" name="FDD_173_11" vbProcedure="false">"A34699"</definedName>
    <definedName function="false" hidden="true" name="FDD_173_12" vbProcedure="false">"A35064"</definedName>
    <definedName function="false" hidden="true" name="FDD_173_13" vbProcedure="false">"A35430"</definedName>
    <definedName function="false" hidden="true" name="FDD_173_14" vbProcedure="false">"A35795"</definedName>
    <definedName function="false" hidden="true" name="FDD_173_2" vbProcedure="false">"A31412"</definedName>
    <definedName function="false" hidden="true" name="FDD_173_3" vbProcedure="false">"A31777"</definedName>
    <definedName function="false" hidden="true" name="FDD_173_4" vbProcedure="false">"A32142"</definedName>
    <definedName function="false" hidden="true" name="FDD_173_5" vbProcedure="false">"A32508"</definedName>
    <definedName function="false" hidden="true" name="FDD_173_6" vbProcedure="false">"A32873"</definedName>
    <definedName function="false" hidden="true" name="FDD_173_7" vbProcedure="false">"A33238"</definedName>
    <definedName function="false" hidden="true" name="FDD_173_8" vbProcedure="false">"A33603"</definedName>
    <definedName function="false" hidden="true" name="FDD_173_9" vbProcedure="false">"A33969"</definedName>
    <definedName function="false" hidden="true" name="FDD_174_0" vbProcedure="false">"A30681"</definedName>
    <definedName function="false" hidden="true" name="FDD_174_1" vbProcedure="false">"A31047"</definedName>
    <definedName function="false" hidden="true" name="FDD_174_10" vbProcedure="false">"A34334"</definedName>
    <definedName function="false" hidden="true" name="FDD_174_11" vbProcedure="false">"A34699"</definedName>
    <definedName function="false" hidden="true" name="FDD_174_12" vbProcedure="false">"A35064"</definedName>
    <definedName function="false" hidden="true" name="FDD_174_13" vbProcedure="false">"A35430"</definedName>
    <definedName function="false" hidden="true" name="FDD_174_14" vbProcedure="false">"A35795"</definedName>
    <definedName function="false" hidden="true" name="FDD_174_2" vbProcedure="false">"A31412"</definedName>
    <definedName function="false" hidden="true" name="FDD_174_3" vbProcedure="false">"A31777"</definedName>
    <definedName function="false" hidden="true" name="FDD_174_4" vbProcedure="false">"A32142"</definedName>
    <definedName function="false" hidden="true" name="FDD_174_5" vbProcedure="false">"A32508"</definedName>
    <definedName function="false" hidden="true" name="FDD_174_6" vbProcedure="false">"A32873"</definedName>
    <definedName function="false" hidden="true" name="FDD_174_7" vbProcedure="false">"A33238"</definedName>
    <definedName function="false" hidden="true" name="FDD_174_8" vbProcedure="false">"A33603"</definedName>
    <definedName function="false" hidden="true" name="FDD_174_9" vbProcedure="false">"A33969"</definedName>
    <definedName function="false" hidden="true" name="FDD_175_0" vbProcedure="false">"E36160"</definedName>
    <definedName function="false" hidden="true" name="FDD_175_1" vbProcedure="false">"E36525"</definedName>
    <definedName function="false" hidden="true" name="FDD_175_2" vbProcedure="false">"E36891"</definedName>
    <definedName function="false" hidden="true" name="FDD_176_0" vbProcedure="false">"E36160"</definedName>
    <definedName function="false" hidden="true" name="FDD_176_1" vbProcedure="false">"E36525"</definedName>
    <definedName function="false" hidden="true" name="FDD_176_2" vbProcedure="false">"E36891"</definedName>
    <definedName function="false" hidden="true" name="FDD_177_0" vbProcedure="false">"E36160"</definedName>
    <definedName function="false" hidden="true" name="FDD_177_1" vbProcedure="false">"E36525"</definedName>
    <definedName function="false" hidden="true" name="FDD_177_2" vbProcedure="false">"E36891"</definedName>
    <definedName function="false" hidden="true" name="FDD_178_0" vbProcedure="false">"E36160"</definedName>
    <definedName function="false" hidden="true" name="FDD_178_1" vbProcedure="false">"E36525"</definedName>
    <definedName function="false" hidden="true" name="FDD_178_2" vbProcedure="false">"E36891"</definedName>
    <definedName function="false" hidden="true" name="FDD_179_0" vbProcedure="false">"E36160"</definedName>
    <definedName function="false" hidden="true" name="FDD_179_1" vbProcedure="false">"E36525"</definedName>
    <definedName function="false" hidden="true" name="FDD_179_2" vbProcedure="false">"E36891"</definedName>
    <definedName function="false" hidden="true" name="FDD_17_0" vbProcedure="false">"A25569"</definedName>
    <definedName function="false" hidden="true" name="FDD_180_0" vbProcedure="false">"E36160"</definedName>
    <definedName function="false" hidden="true" name="FDD_180_1" vbProcedure="false">"E36525"</definedName>
    <definedName function="false" hidden="true" name="FDD_180_2" vbProcedure="false">"E36891"</definedName>
    <definedName function="false" hidden="true" name="FDD_181_0" vbProcedure="false">"E36160"</definedName>
    <definedName function="false" hidden="true" name="FDD_181_1" vbProcedure="false">"E36525"</definedName>
    <definedName function="false" hidden="true" name="FDD_181_2" vbProcedure="false">"E36891"</definedName>
    <definedName function="false" hidden="true" name="FDD_182_0" vbProcedure="false">"E36160"</definedName>
    <definedName function="false" hidden="true" name="FDD_182_1" vbProcedure="false">"E36525"</definedName>
    <definedName function="false" hidden="true" name="FDD_182_2" vbProcedure="false">"E36891"</definedName>
    <definedName function="false" hidden="true" name="FDD_183_0" vbProcedure="false">"E36160"</definedName>
    <definedName function="false" hidden="true" name="FDD_183_1" vbProcedure="false">"E36525"</definedName>
    <definedName function="false" hidden="true" name="FDD_183_2" vbProcedure="false">"E36891"</definedName>
    <definedName function="false" hidden="true" name="FDD_184_0" vbProcedure="false">"E36160"</definedName>
    <definedName function="false" hidden="true" name="FDD_184_1" vbProcedure="false">"E36525"</definedName>
    <definedName function="false" hidden="true" name="FDD_184_2" vbProcedure="false">"E36891"</definedName>
    <definedName function="false" hidden="true" name="FDD_185_0" vbProcedure="false">"E36160"</definedName>
    <definedName function="false" hidden="true" name="FDD_185_1" vbProcedure="false">"E36525"</definedName>
    <definedName function="false" hidden="true" name="FDD_185_2" vbProcedure="false">"E36891"</definedName>
    <definedName function="false" hidden="true" name="FDD_186_0" vbProcedure="false">"E36160"</definedName>
    <definedName function="false" hidden="true" name="FDD_186_1" vbProcedure="false">"E36525"</definedName>
    <definedName function="false" hidden="true" name="FDD_186_2" vbProcedure="false">"E36891"</definedName>
    <definedName function="false" hidden="true" name="FDD_187_0" vbProcedure="false">"E36160"</definedName>
    <definedName function="false" hidden="true" name="FDD_187_1" vbProcedure="false">"E36525"</definedName>
    <definedName function="false" hidden="true" name="FDD_187_2" vbProcedure="false">"E36891"</definedName>
    <definedName function="false" hidden="true" name="FDD_188_0" vbProcedure="false">"A30681"</definedName>
    <definedName function="false" hidden="true" name="FDD_188_1" vbProcedure="false">"A31047"</definedName>
    <definedName function="false" hidden="true" name="FDD_188_10" vbProcedure="false">"A34334"</definedName>
    <definedName function="false" hidden="true" name="FDD_188_11" vbProcedure="false">"A34699"</definedName>
    <definedName function="false" hidden="true" name="FDD_188_12" vbProcedure="false">"A35064"</definedName>
    <definedName function="false" hidden="true" name="FDD_188_13" vbProcedure="false">"A35430"</definedName>
    <definedName function="false" hidden="true" name="FDD_188_14" vbProcedure="false">"A35795"</definedName>
    <definedName function="false" hidden="true" name="FDD_188_2" vbProcedure="false">"A31412"</definedName>
    <definedName function="false" hidden="true" name="FDD_188_3" vbProcedure="false">"A31777"</definedName>
    <definedName function="false" hidden="true" name="FDD_188_4" vbProcedure="false">"A32142"</definedName>
    <definedName function="false" hidden="true" name="FDD_188_5" vbProcedure="false">"A32508"</definedName>
    <definedName function="false" hidden="true" name="FDD_188_6" vbProcedure="false">"A32873"</definedName>
    <definedName function="false" hidden="true" name="FDD_188_7" vbProcedure="false">"A33238"</definedName>
    <definedName function="false" hidden="true" name="FDD_188_8" vbProcedure="false">"A33603"</definedName>
    <definedName function="false" hidden="true" name="FDD_188_9" vbProcedure="false">"A33969"</definedName>
    <definedName function="false" hidden="true" name="FDD_189_0" vbProcedure="false">"A30681"</definedName>
    <definedName function="false" hidden="true" name="FDD_189_1" vbProcedure="false">"A31047"</definedName>
    <definedName function="false" hidden="true" name="FDD_189_10" vbProcedure="false">"A34334"</definedName>
    <definedName function="false" hidden="true" name="FDD_189_11" vbProcedure="false">"A34699"</definedName>
    <definedName function="false" hidden="true" name="FDD_189_12" vbProcedure="false">"A35064"</definedName>
    <definedName function="false" hidden="true" name="FDD_189_13" vbProcedure="false">"A35430"</definedName>
    <definedName function="false" hidden="true" name="FDD_189_14" vbProcedure="false">"A35795"</definedName>
    <definedName function="false" hidden="true" name="FDD_189_2" vbProcedure="false">"A31412"</definedName>
    <definedName function="false" hidden="true" name="FDD_189_3" vbProcedure="false">"A31777"</definedName>
    <definedName function="false" hidden="true" name="FDD_189_4" vbProcedure="false">"A32142"</definedName>
    <definedName function="false" hidden="true" name="FDD_189_5" vbProcedure="false">"A32508"</definedName>
    <definedName function="false" hidden="true" name="FDD_189_6" vbProcedure="false">"A32873"</definedName>
    <definedName function="false" hidden="true" name="FDD_189_7" vbProcedure="false">"A33238"</definedName>
    <definedName function="false" hidden="true" name="FDD_189_8" vbProcedure="false">"A33603"</definedName>
    <definedName function="false" hidden="true" name="FDD_189_9" vbProcedure="false">"A33969"</definedName>
    <definedName function="false" hidden="true" name="FDD_18_0" vbProcedure="false">"A25569"</definedName>
    <definedName function="false" hidden="true" name="FDD_190_0" vbProcedure="false">"A30681"</definedName>
    <definedName function="false" hidden="true" name="FDD_190_1" vbProcedure="false">"A31047"</definedName>
    <definedName function="false" hidden="true" name="FDD_190_10" vbProcedure="false">"A34334"</definedName>
    <definedName function="false" hidden="true" name="FDD_190_11" vbProcedure="false">"A34699"</definedName>
    <definedName function="false" hidden="true" name="FDD_190_12" vbProcedure="false">"A35064"</definedName>
    <definedName function="false" hidden="true" name="FDD_190_13" vbProcedure="false">"A35430"</definedName>
    <definedName function="false" hidden="true" name="FDD_190_14" vbProcedure="false">"A35795"</definedName>
    <definedName function="false" hidden="true" name="FDD_190_2" vbProcedure="false">"A31412"</definedName>
    <definedName function="false" hidden="true" name="FDD_190_3" vbProcedure="false">"A31777"</definedName>
    <definedName function="false" hidden="true" name="FDD_190_4" vbProcedure="false">"A32142"</definedName>
    <definedName function="false" hidden="true" name="FDD_190_5" vbProcedure="false">"A32508"</definedName>
    <definedName function="false" hidden="true" name="FDD_190_6" vbProcedure="false">"A32873"</definedName>
    <definedName function="false" hidden="true" name="FDD_190_7" vbProcedure="false">"A33238"</definedName>
    <definedName function="false" hidden="true" name="FDD_190_8" vbProcedure="false">"A33603"</definedName>
    <definedName function="false" hidden="true" name="FDD_190_9" vbProcedure="false">"A33969"</definedName>
    <definedName function="false" hidden="true" name="FDD_191_0" vbProcedure="false">"A30681"</definedName>
    <definedName function="false" hidden="true" name="FDD_191_1" vbProcedure="false">"A31047"</definedName>
    <definedName function="false" hidden="true" name="FDD_191_10" vbProcedure="false">"A34334"</definedName>
    <definedName function="false" hidden="true" name="FDD_191_11" vbProcedure="false">"A34699"</definedName>
    <definedName function="false" hidden="true" name="FDD_191_12" vbProcedure="false">"A35064"</definedName>
    <definedName function="false" hidden="true" name="FDD_191_13" vbProcedure="false">"A35430"</definedName>
    <definedName function="false" hidden="true" name="FDD_191_14" vbProcedure="false">"A35795"</definedName>
    <definedName function="false" hidden="true" name="FDD_191_2" vbProcedure="false">"A31412"</definedName>
    <definedName function="false" hidden="true" name="FDD_191_3" vbProcedure="false">"A31777"</definedName>
    <definedName function="false" hidden="true" name="FDD_191_4" vbProcedure="false">"A32142"</definedName>
    <definedName function="false" hidden="true" name="FDD_191_5" vbProcedure="false">"A32508"</definedName>
    <definedName function="false" hidden="true" name="FDD_191_6" vbProcedure="false">"A32873"</definedName>
    <definedName function="false" hidden="true" name="FDD_191_7" vbProcedure="false">"A33238"</definedName>
    <definedName function="false" hidden="true" name="FDD_191_8" vbProcedure="false">"A33603"</definedName>
    <definedName function="false" hidden="true" name="FDD_191_9" vbProcedure="false">"A33969"</definedName>
    <definedName function="false" hidden="true" name="FDD_192_0" vbProcedure="false">"E36160"</definedName>
    <definedName function="false" hidden="true" name="FDD_192_1" vbProcedure="false">"E36525"</definedName>
    <definedName function="false" hidden="true" name="FDD_192_2" vbProcedure="false">"E36891"</definedName>
    <definedName function="false" hidden="true" name="FDD_193_0" vbProcedure="false">"A30681"</definedName>
    <definedName function="false" hidden="true" name="FDD_193_1" vbProcedure="false">"A31047"</definedName>
    <definedName function="false" hidden="true" name="FDD_193_10" vbProcedure="false">"A34334"</definedName>
    <definedName function="false" hidden="true" name="FDD_193_11" vbProcedure="false">"A34699"</definedName>
    <definedName function="false" hidden="true" name="FDD_193_12" vbProcedure="false">"A35064"</definedName>
    <definedName function="false" hidden="true" name="FDD_193_13" vbProcedure="false">"A35430"</definedName>
    <definedName function="false" hidden="true" name="FDD_193_14" vbProcedure="false">"A35795"</definedName>
    <definedName function="false" hidden="true" name="FDD_193_2" vbProcedure="false">"A31412"</definedName>
    <definedName function="false" hidden="true" name="FDD_193_3" vbProcedure="false">"A31777"</definedName>
    <definedName function="false" hidden="true" name="FDD_193_4" vbProcedure="false">"A32142"</definedName>
    <definedName function="false" hidden="true" name="FDD_193_5" vbProcedure="false">"A32508"</definedName>
    <definedName function="false" hidden="true" name="FDD_193_6" vbProcedure="false">"A32873"</definedName>
    <definedName function="false" hidden="true" name="FDD_193_7" vbProcedure="false">"A33238"</definedName>
    <definedName function="false" hidden="true" name="FDD_193_8" vbProcedure="false">"A33603"</definedName>
    <definedName function="false" hidden="true" name="FDD_193_9" vbProcedure="false">"A33969"</definedName>
    <definedName function="false" hidden="true" name="FDD_194_0" vbProcedure="false">"A30681"</definedName>
    <definedName function="false" hidden="true" name="FDD_194_1" vbProcedure="false">"A31047"</definedName>
    <definedName function="false" hidden="true" name="FDD_194_10" vbProcedure="false">"A34334"</definedName>
    <definedName function="false" hidden="true" name="FDD_194_11" vbProcedure="false">"A34699"</definedName>
    <definedName function="false" hidden="true" name="FDD_194_12" vbProcedure="false">"A35064"</definedName>
    <definedName function="false" hidden="true" name="FDD_194_13" vbProcedure="false">"A35430"</definedName>
    <definedName function="false" hidden="true" name="FDD_194_14" vbProcedure="false">"A35795"</definedName>
    <definedName function="false" hidden="true" name="FDD_194_2" vbProcedure="false">"A31412"</definedName>
    <definedName function="false" hidden="true" name="FDD_194_3" vbProcedure="false">"A31777"</definedName>
    <definedName function="false" hidden="true" name="FDD_194_4" vbProcedure="false">"A32142"</definedName>
    <definedName function="false" hidden="true" name="FDD_194_5" vbProcedure="false">"A32508"</definedName>
    <definedName function="false" hidden="true" name="FDD_194_6" vbProcedure="false">"A32873"</definedName>
    <definedName function="false" hidden="true" name="FDD_194_7" vbProcedure="false">"A33238"</definedName>
    <definedName function="false" hidden="true" name="FDD_194_8" vbProcedure="false">"A33603"</definedName>
    <definedName function="false" hidden="true" name="FDD_194_9" vbProcedure="false">"A33969"</definedName>
    <definedName function="false" hidden="true" name="FDD_195_0" vbProcedure="false">"A30681"</definedName>
    <definedName function="false" hidden="true" name="FDD_195_1" vbProcedure="false">"A31047"</definedName>
    <definedName function="false" hidden="true" name="FDD_195_10" vbProcedure="false">"A34334"</definedName>
    <definedName function="false" hidden="true" name="FDD_195_11" vbProcedure="false">"A34699"</definedName>
    <definedName function="false" hidden="true" name="FDD_195_12" vbProcedure="false">"A35064"</definedName>
    <definedName function="false" hidden="true" name="FDD_195_13" vbProcedure="false">"A35430"</definedName>
    <definedName function="false" hidden="true" name="FDD_195_14" vbProcedure="false">"A35795"</definedName>
    <definedName function="false" hidden="true" name="FDD_195_2" vbProcedure="false">"A31412"</definedName>
    <definedName function="false" hidden="true" name="FDD_195_3" vbProcedure="false">"A31777"</definedName>
    <definedName function="false" hidden="true" name="FDD_195_4" vbProcedure="false">"A32142"</definedName>
    <definedName function="false" hidden="true" name="FDD_195_5" vbProcedure="false">"A32508"</definedName>
    <definedName function="false" hidden="true" name="FDD_195_6" vbProcedure="false">"A32873"</definedName>
    <definedName function="false" hidden="true" name="FDD_195_7" vbProcedure="false">"A33238"</definedName>
    <definedName function="false" hidden="true" name="FDD_195_8" vbProcedure="false">"A33603"</definedName>
    <definedName function="false" hidden="true" name="FDD_195_9" vbProcedure="false">"A33969"</definedName>
    <definedName function="false" hidden="true" name="FDD_196_0" vbProcedure="false">"E36160"</definedName>
    <definedName function="false" hidden="true" name="FDD_196_1" vbProcedure="false">"E36525"</definedName>
    <definedName function="false" hidden="true" name="FDD_196_2" vbProcedure="false">"E36891"</definedName>
    <definedName function="false" hidden="true" name="FDD_197_0" vbProcedure="false">"A30681"</definedName>
    <definedName function="false" hidden="true" name="FDD_197_1" vbProcedure="false">"A31047"</definedName>
    <definedName function="false" hidden="true" name="FDD_197_10" vbProcedure="false">"A34334"</definedName>
    <definedName function="false" hidden="true" name="FDD_197_11" vbProcedure="false">"A34699"</definedName>
    <definedName function="false" hidden="true" name="FDD_197_12" vbProcedure="false">"A35064"</definedName>
    <definedName function="false" hidden="true" name="FDD_197_13" vbProcedure="false">"A35430"</definedName>
    <definedName function="false" hidden="true" name="FDD_197_14" vbProcedure="false">"A35795"</definedName>
    <definedName function="false" hidden="true" name="FDD_197_2" vbProcedure="false">"A31412"</definedName>
    <definedName function="false" hidden="true" name="FDD_197_3" vbProcedure="false">"A31777"</definedName>
    <definedName function="false" hidden="true" name="FDD_197_4" vbProcedure="false">"A32142"</definedName>
    <definedName function="false" hidden="true" name="FDD_197_5" vbProcedure="false">"A32508"</definedName>
    <definedName function="false" hidden="true" name="FDD_197_6" vbProcedure="false">"A32873"</definedName>
    <definedName function="false" hidden="true" name="FDD_197_7" vbProcedure="false">"A33238"</definedName>
    <definedName function="false" hidden="true" name="FDD_197_8" vbProcedure="false">"A33603"</definedName>
    <definedName function="false" hidden="true" name="FDD_197_9" vbProcedure="false">"A33969"</definedName>
    <definedName function="false" hidden="true" name="FDD_198_0" vbProcedure="false">"A30681"</definedName>
    <definedName function="false" hidden="true" name="FDD_198_1" vbProcedure="false">"A31047"</definedName>
    <definedName function="false" hidden="true" name="FDD_198_10" vbProcedure="false">"U34334"</definedName>
    <definedName function="false" hidden="true" name="FDD_198_11" vbProcedure="false">"U34699"</definedName>
    <definedName function="false" hidden="true" name="FDD_198_12" vbProcedure="false">"U35064"</definedName>
    <definedName function="false" hidden="true" name="FDD_198_13" vbProcedure="false">"U35430"</definedName>
    <definedName function="false" hidden="true" name="FDD_198_14" vbProcedure="false">"U35795"</definedName>
    <definedName function="false" hidden="true" name="FDD_198_2" vbProcedure="false">"A31412"</definedName>
    <definedName function="false" hidden="true" name="FDD_198_3" vbProcedure="false">"U31777"</definedName>
    <definedName function="false" hidden="true" name="FDD_198_4" vbProcedure="false">"U32142"</definedName>
    <definedName function="false" hidden="true" name="FDD_198_5" vbProcedure="false">"U32508"</definedName>
    <definedName function="false" hidden="true" name="FDD_198_6" vbProcedure="false">"U32873"</definedName>
    <definedName function="false" hidden="true" name="FDD_198_7" vbProcedure="false">"U33238"</definedName>
    <definedName function="false" hidden="true" name="FDD_198_8" vbProcedure="false">"U33603"</definedName>
    <definedName function="false" hidden="true" name="FDD_198_9" vbProcedure="false">"U33969"</definedName>
    <definedName function="false" hidden="true" name="FDD_199_0" vbProcedure="false">"E36160"</definedName>
    <definedName function="false" hidden="true" name="FDD_199_1" vbProcedure="false">"E36525"</definedName>
    <definedName function="false" hidden="true" name="FDD_199_2" vbProcedure="false">"E36891"</definedName>
    <definedName function="false" hidden="true" name="FDD_19_0" vbProcedure="false">"A25569"</definedName>
    <definedName function="false" hidden="true" name="FDD_1_0" vbProcedure="false">"U25569"</definedName>
    <definedName function="false" hidden="true" name="FDD_200_0" vbProcedure="false">"E36160"</definedName>
    <definedName function="false" hidden="true" name="FDD_200_1" vbProcedure="false">"E36525"</definedName>
    <definedName function="false" hidden="true" name="FDD_200_2" vbProcedure="false">"E36891"</definedName>
    <definedName function="false" hidden="true" name="FDD_201_0" vbProcedure="false">"A30681"</definedName>
    <definedName function="false" hidden="true" name="FDD_201_1" vbProcedure="false">"A31047"</definedName>
    <definedName function="false" hidden="true" name="FDD_201_10" vbProcedure="false">"A34334"</definedName>
    <definedName function="false" hidden="true" name="FDD_201_11" vbProcedure="false">"A34699"</definedName>
    <definedName function="false" hidden="true" name="FDD_201_12" vbProcedure="false">"A35064"</definedName>
    <definedName function="false" hidden="true" name="FDD_201_13" vbProcedure="false">"A35430"</definedName>
    <definedName function="false" hidden="true" name="FDD_201_14" vbProcedure="false">"A35795"</definedName>
    <definedName function="false" hidden="true" name="FDD_201_2" vbProcedure="false">"A31412"</definedName>
    <definedName function="false" hidden="true" name="FDD_201_3" vbProcedure="false">"A31777"</definedName>
    <definedName function="false" hidden="true" name="FDD_201_4" vbProcedure="false">"A32142"</definedName>
    <definedName function="false" hidden="true" name="FDD_201_5" vbProcedure="false">"A32508"</definedName>
    <definedName function="false" hidden="true" name="FDD_201_6" vbProcedure="false">"A32873"</definedName>
    <definedName function="false" hidden="true" name="FDD_201_7" vbProcedure="false">"A33238"</definedName>
    <definedName function="false" hidden="true" name="FDD_201_8" vbProcedure="false">"A33603"</definedName>
    <definedName function="false" hidden="true" name="FDD_201_9" vbProcedure="false">"A33969"</definedName>
    <definedName function="false" hidden="true" name="FDD_202_0" vbProcedure="false">"A30681"</definedName>
    <definedName function="false" hidden="true" name="FDD_202_1" vbProcedure="false">"A31047"</definedName>
    <definedName function="false" hidden="true" name="FDD_202_10" vbProcedure="false">"A34334"</definedName>
    <definedName function="false" hidden="true" name="FDD_202_11" vbProcedure="false">"A34699"</definedName>
    <definedName function="false" hidden="true" name="FDD_202_12" vbProcedure="false">"A35064"</definedName>
    <definedName function="false" hidden="true" name="FDD_202_13" vbProcedure="false">"A35430"</definedName>
    <definedName function="false" hidden="true" name="FDD_202_14" vbProcedure="false">"A35795"</definedName>
    <definedName function="false" hidden="true" name="FDD_202_2" vbProcedure="false">"A31412"</definedName>
    <definedName function="false" hidden="true" name="FDD_202_3" vbProcedure="false">"A31777"</definedName>
    <definedName function="false" hidden="true" name="FDD_202_4" vbProcedure="false">"A32142"</definedName>
    <definedName function="false" hidden="true" name="FDD_202_5" vbProcedure="false">"A32508"</definedName>
    <definedName function="false" hidden="true" name="FDD_202_6" vbProcedure="false">"A32873"</definedName>
    <definedName function="false" hidden="true" name="FDD_202_7" vbProcedure="false">"A33238"</definedName>
    <definedName function="false" hidden="true" name="FDD_202_8" vbProcedure="false">"A33603"</definedName>
    <definedName function="false" hidden="true" name="FDD_202_9" vbProcedure="false">"A33969"</definedName>
    <definedName function="false" hidden="true" name="FDD_203_0" vbProcedure="false">"E36160"</definedName>
    <definedName function="false" hidden="true" name="FDD_203_1" vbProcedure="false">"E36525"</definedName>
    <definedName function="false" hidden="true" name="FDD_203_2" vbProcedure="false">"E36891"</definedName>
    <definedName function="false" hidden="true" name="FDD_204_0" vbProcedure="false">"A25569"</definedName>
    <definedName function="false" hidden="true" name="FDD_205_0" vbProcedure="false">"A25569"</definedName>
    <definedName function="false" hidden="true" name="FDD_206_0" vbProcedure="false">"A25569"</definedName>
    <definedName function="false" hidden="true" name="FDD_207_0" vbProcedure="false">"A25569"</definedName>
    <definedName function="false" hidden="true" name="FDD_208_0" vbProcedure="false">"E36160"</definedName>
    <definedName function="false" hidden="true" name="FDD_208_1" vbProcedure="false">"E36525"</definedName>
    <definedName function="false" hidden="true" name="FDD_208_2" vbProcedure="false">"E36891"</definedName>
    <definedName function="false" hidden="true" name="FDD_209_0" vbProcedure="false">"A25569"</definedName>
    <definedName function="false" hidden="true" name="FDD_20_0" vbProcedure="false">"A25569"</definedName>
    <definedName function="false" hidden="true" name="FDD_210_0" vbProcedure="false">"A25569"</definedName>
    <definedName function="false" hidden="true" name="FDD_211_0" vbProcedure="false">"A25569"</definedName>
    <definedName function="false" hidden="true" name="FDD_212_0" vbProcedure="false">"A25569"</definedName>
    <definedName function="false" hidden="true" name="FDD_213_0" vbProcedure="false">"E36160"</definedName>
    <definedName function="false" hidden="true" name="FDD_213_1" vbProcedure="false">"E36525"</definedName>
    <definedName function="false" hidden="true" name="FDD_213_2" vbProcedure="false">"E36891"</definedName>
    <definedName function="false" hidden="true" name="FDD_214_0" vbProcedure="false">"A25569"</definedName>
    <definedName function="false" hidden="true" name="FDD_215_0" vbProcedure="false">"A25569"</definedName>
    <definedName function="false" hidden="true" name="FDD_216_0" vbProcedure="false">"A25569"</definedName>
    <definedName function="false" hidden="true" name="FDD_217_0" vbProcedure="false">"A25569"</definedName>
    <definedName function="false" hidden="true" name="FDD_218_0" vbProcedure="false">"E36160"</definedName>
    <definedName function="false" hidden="true" name="FDD_218_1" vbProcedure="false">"E36525"</definedName>
    <definedName function="false" hidden="true" name="FDD_218_2" vbProcedure="false">"E36891"</definedName>
    <definedName function="false" hidden="true" name="FDD_219_0" vbProcedure="false">"U25569"</definedName>
    <definedName function="false" hidden="true" name="FDD_21_0" vbProcedure="false">"A25569"</definedName>
    <definedName function="false" hidden="true" name="FDD_220_0" vbProcedure="false">"U25569"</definedName>
    <definedName function="false" hidden="true" name="FDD_221_0" vbProcedure="false">"U25569"</definedName>
    <definedName function="false" hidden="true" name="FDD_222_0" vbProcedure="false">"U25569"</definedName>
    <definedName function="false" hidden="true" name="FDD_223_0" vbProcedure="false">"E36160"</definedName>
    <definedName function="false" hidden="true" name="FDD_223_1" vbProcedure="false">"E36525"</definedName>
    <definedName function="false" hidden="true" name="FDD_223_2" vbProcedure="false">"E36891"</definedName>
    <definedName function="false" hidden="true" name="FDD_224_0" vbProcedure="false">"A25569"</definedName>
    <definedName function="false" hidden="true" name="FDD_225_0" vbProcedure="false">"A25569"</definedName>
    <definedName function="false" hidden="true" name="FDD_226_0" vbProcedure="false">"A25569"</definedName>
    <definedName function="false" hidden="true" name="FDD_227_0" vbProcedure="false">"A25569"</definedName>
    <definedName function="false" hidden="true" name="FDD_228_0" vbProcedure="false">"E36160"</definedName>
    <definedName function="false" hidden="true" name="FDD_228_1" vbProcedure="false">"E36525"</definedName>
    <definedName function="false" hidden="true" name="FDD_228_2" vbProcedure="false">"E36891"</definedName>
    <definedName function="false" hidden="true" name="FDD_229_0" vbProcedure="false">"A25569"</definedName>
    <definedName function="false" hidden="true" name="FDD_22_0" vbProcedure="false">"A25569"</definedName>
    <definedName function="false" hidden="true" name="FDD_230_0" vbProcedure="false">"A25569"</definedName>
    <definedName function="false" hidden="true" name="FDD_231_0" vbProcedure="false">"A25569"</definedName>
    <definedName function="false" hidden="true" name="FDD_232_0" vbProcedure="false">"A25569"</definedName>
    <definedName function="false" hidden="true" name="FDD_233_0" vbProcedure="false">"A25569"</definedName>
    <definedName function="false" hidden="true" name="FDD_234_0" vbProcedure="false">"A25569"</definedName>
    <definedName function="false" hidden="true" name="FDD_235_0" vbProcedure="false">"A25569"</definedName>
    <definedName function="false" hidden="true" name="FDD_236_0" vbProcedure="false">"A25569"</definedName>
    <definedName function="false" hidden="true" name="FDD_237_0" vbProcedure="false">"A25569"</definedName>
    <definedName function="false" hidden="true" name="FDD_238_0" vbProcedure="false">"A30681"</definedName>
    <definedName function="false" hidden="true" name="FDD_238_1" vbProcedure="false">"A31047"</definedName>
    <definedName function="false" hidden="true" name="FDD_238_10" vbProcedure="false">"A34334"</definedName>
    <definedName function="false" hidden="true" name="FDD_238_11" vbProcedure="false">"A34699"</definedName>
    <definedName function="false" hidden="true" name="FDD_238_12" vbProcedure="false">"A35064"</definedName>
    <definedName function="false" hidden="true" name="FDD_238_13" vbProcedure="false">"A35430"</definedName>
    <definedName function="false" hidden="true" name="FDD_238_14" vbProcedure="false">"A35795"</definedName>
    <definedName function="false" hidden="true" name="FDD_238_2" vbProcedure="false">"A31412"</definedName>
    <definedName function="false" hidden="true" name="FDD_238_3" vbProcedure="false">"A31777"</definedName>
    <definedName function="false" hidden="true" name="FDD_238_4" vbProcedure="false">"A32142"</definedName>
    <definedName function="false" hidden="true" name="FDD_238_5" vbProcedure="false">"A32508"</definedName>
    <definedName function="false" hidden="true" name="FDD_238_6" vbProcedure="false">"A32873"</definedName>
    <definedName function="false" hidden="true" name="FDD_238_7" vbProcedure="false">"A33238"</definedName>
    <definedName function="false" hidden="true" name="FDD_238_8" vbProcedure="false">"A33603"</definedName>
    <definedName function="false" hidden="true" name="FDD_238_9" vbProcedure="false">"A33969"</definedName>
    <definedName function="false" hidden="true" name="FDD_23_0" vbProcedure="false">"A25569"</definedName>
    <definedName function="false" hidden="true" name="FDD_243_0" vbProcedure="false">"E36160"</definedName>
    <definedName function="false" hidden="true" name="FDD_243_1" vbProcedure="false">"E36525"</definedName>
    <definedName function="false" hidden="true" name="FDD_243_2" vbProcedure="false">"E36891"</definedName>
    <definedName function="false" hidden="true" name="FDD_244_0" vbProcedure="false">"A25569"</definedName>
    <definedName function="false" hidden="true" name="FDD_245_0" vbProcedure="false">"A25569"</definedName>
    <definedName function="false" hidden="true" name="FDD_246_0" vbProcedure="false">"A25569"</definedName>
    <definedName function="false" hidden="true" name="FDD_247_0" vbProcedure="false">"A25569"</definedName>
    <definedName function="false" hidden="true" name="FDD_248_0" vbProcedure="false">"E36160"</definedName>
    <definedName function="false" hidden="true" name="FDD_248_1" vbProcedure="false">"E36525"</definedName>
    <definedName function="false" hidden="true" name="FDD_248_2" vbProcedure="false">"E36891"</definedName>
    <definedName function="false" hidden="true" name="FDD_249_0" vbProcedure="false">"A25569"</definedName>
    <definedName function="false" hidden="true" name="FDD_24_0" vbProcedure="false">"A25569"</definedName>
    <definedName function="false" hidden="true" name="FDD_250_0" vbProcedure="false">"A25569"</definedName>
    <definedName function="false" hidden="true" name="FDD_251_0" vbProcedure="false">"A25569"</definedName>
    <definedName function="false" hidden="true" name="FDD_252_0" vbProcedure="false">"A25569"</definedName>
    <definedName function="false" hidden="true" name="FDD_253_0" vbProcedure="false">"E36160"</definedName>
    <definedName function="false" hidden="true" name="FDD_253_1" vbProcedure="false">"E36525"</definedName>
    <definedName function="false" hidden="true" name="FDD_253_2" vbProcedure="false">"E36891"</definedName>
    <definedName function="false" hidden="true" name="FDD_254_0" vbProcedure="false">"E36160"</definedName>
    <definedName function="false" hidden="true" name="FDD_254_1" vbProcedure="false">"E36525"</definedName>
    <definedName function="false" hidden="true" name="FDD_254_2" vbProcedure="false">"E36891"</definedName>
    <definedName function="false" hidden="true" name="FDD_255_0" vbProcedure="false">"E36160"</definedName>
    <definedName function="false" hidden="true" name="FDD_255_1" vbProcedure="false">"E36525"</definedName>
    <definedName function="false" hidden="true" name="FDD_255_2" vbProcedure="false">"E36891"</definedName>
    <definedName function="false" hidden="true" name="FDD_256_0" vbProcedure="false">"U36160"</definedName>
    <definedName function="false" hidden="true" name="FDD_256_1" vbProcedure="false">"U36525"</definedName>
    <definedName function="false" hidden="true" name="FDD_256_2" vbProcedure="false">"U36891"</definedName>
    <definedName function="false" hidden="true" name="FDD_257_0" vbProcedure="false">"E36160"</definedName>
    <definedName function="false" hidden="true" name="FDD_257_1" vbProcedure="false">"E36525"</definedName>
    <definedName function="false" hidden="true" name="FDD_257_2" vbProcedure="false">"E36891"</definedName>
    <definedName function="false" hidden="true" name="FDD_258_0" vbProcedure="false">"E36160"</definedName>
    <definedName function="false" hidden="true" name="FDD_258_1" vbProcedure="false">"E36525"</definedName>
    <definedName function="false" hidden="true" name="FDD_258_2" vbProcedure="false">"E36891"</definedName>
    <definedName function="false" hidden="true" name="FDD_259_0" vbProcedure="false">"E36160"</definedName>
    <definedName function="false" hidden="true" name="FDD_259_1" vbProcedure="false">"E36525"</definedName>
    <definedName function="false" hidden="true" name="FDD_259_2" vbProcedure="false">"E36891"</definedName>
    <definedName function="false" hidden="true" name="FDD_25_0" vbProcedure="false">"A25569"</definedName>
    <definedName function="false" hidden="true" name="FDD_260_0" vbProcedure="false">"E36160"</definedName>
    <definedName function="false" hidden="true" name="FDD_260_1" vbProcedure="false">"E36525"</definedName>
    <definedName function="false" hidden="true" name="FDD_260_2" vbProcedure="false">"E36891"</definedName>
    <definedName function="false" hidden="true" name="FDD_261_0" vbProcedure="false">"E36160"</definedName>
    <definedName function="false" hidden="true" name="FDD_261_1" vbProcedure="false">"E36525"</definedName>
    <definedName function="false" hidden="true" name="FDD_261_2" vbProcedure="false">"E36891"</definedName>
    <definedName function="false" hidden="true" name="FDD_264_0" vbProcedure="false">"E36160"</definedName>
    <definedName function="false" hidden="true" name="FDD_264_1" vbProcedure="false">"E36525"</definedName>
    <definedName function="false" hidden="true" name="FDD_264_2" vbProcedure="false">"E36891"</definedName>
    <definedName function="false" hidden="true" name="FDD_265_0" vbProcedure="false">"A25569"</definedName>
    <definedName function="false" hidden="true" name="FDD_266_0" vbProcedure="false">"A25569"</definedName>
    <definedName function="false" hidden="true" name="FDD_267_0" vbProcedure="false">"A25569"</definedName>
    <definedName function="false" hidden="true" name="FDD_268_0" vbProcedure="false">"A25569"</definedName>
    <definedName function="false" hidden="true" name="FDD_269_0" vbProcedure="false">"E36160"</definedName>
    <definedName function="false" hidden="true" name="FDD_269_1" vbProcedure="false">"E36525"</definedName>
    <definedName function="false" hidden="true" name="FDD_269_2" vbProcedure="false">"E36891"</definedName>
    <definedName function="false" hidden="true" name="FDD_26_0" vbProcedure="false">"A25569"</definedName>
    <definedName function="false" hidden="true" name="FDD_270_0" vbProcedure="false">"A25569"</definedName>
    <definedName function="false" hidden="true" name="FDD_271_0" vbProcedure="false">"A25569"</definedName>
    <definedName function="false" hidden="true" name="FDD_272_0" vbProcedure="false">"A25569"</definedName>
    <definedName function="false" hidden="true" name="FDD_273_0" vbProcedure="false">"A25569"</definedName>
    <definedName function="false" hidden="true" name="FDD_274_0" vbProcedure="false">"E36160"</definedName>
    <definedName function="false" hidden="true" name="FDD_274_1" vbProcedure="false">"E36525"</definedName>
    <definedName function="false" hidden="true" name="FDD_274_2" vbProcedure="false">"E36891"</definedName>
    <definedName function="false" hidden="true" name="FDD_275_0" vbProcedure="false">"A25569"</definedName>
    <definedName function="false" hidden="true" name="FDD_276_0" vbProcedure="false">"A25569"</definedName>
    <definedName function="false" hidden="true" name="FDD_277_0" vbProcedure="false">"A25569"</definedName>
    <definedName function="false" hidden="true" name="FDD_278_0" vbProcedure="false">"A25569"</definedName>
    <definedName function="false" hidden="true" name="FDD_279_0" vbProcedure="false">"E36160"</definedName>
    <definedName function="false" hidden="true" name="FDD_279_1" vbProcedure="false">"E36525"</definedName>
    <definedName function="false" hidden="true" name="FDD_279_2" vbProcedure="false">"E36891"</definedName>
    <definedName function="false" hidden="true" name="FDD_27_0" vbProcedure="false">"A25569"</definedName>
    <definedName function="false" hidden="true" name="FDD_280_0" vbProcedure="false">"E36160"</definedName>
    <definedName function="false" hidden="true" name="FDD_280_1" vbProcedure="false">"E36525"</definedName>
    <definedName function="false" hidden="true" name="FDD_280_2" vbProcedure="false">"E36891"</definedName>
    <definedName function="false" hidden="true" name="FDD_281_0" vbProcedure="false">"E36160"</definedName>
    <definedName function="false" hidden="true" name="FDD_281_1" vbProcedure="false">"E36525"</definedName>
    <definedName function="false" hidden="true" name="FDD_281_2" vbProcedure="false">"E36891"</definedName>
    <definedName function="false" hidden="true" name="FDD_282_0" vbProcedure="false">"E36160"</definedName>
    <definedName function="false" hidden="true" name="FDD_282_1" vbProcedure="false">"E36525"</definedName>
    <definedName function="false" hidden="true" name="FDD_282_2" vbProcedure="false">"E36891"</definedName>
    <definedName function="false" hidden="true" name="FDD_283_0" vbProcedure="false">"E36160"</definedName>
    <definedName function="false" hidden="true" name="FDD_283_1" vbProcedure="false">"E36525"</definedName>
    <definedName function="false" hidden="true" name="FDD_283_2" vbProcedure="false">"E36891"</definedName>
    <definedName function="false" hidden="true" name="FDD_284_0" vbProcedure="false">"A30681"</definedName>
    <definedName function="false" hidden="true" name="FDD_284_1" vbProcedure="false">"A31047"</definedName>
    <definedName function="false" hidden="true" name="FDD_284_10" vbProcedure="false">"A34334"</definedName>
    <definedName function="false" hidden="true" name="FDD_284_11" vbProcedure="false">"A34699"</definedName>
    <definedName function="false" hidden="true" name="FDD_284_12" vbProcedure="false">"A35064"</definedName>
    <definedName function="false" hidden="true" name="FDD_284_13" vbProcedure="false">"A35430"</definedName>
    <definedName function="false" hidden="true" name="FDD_284_14" vbProcedure="false">"A35795"</definedName>
    <definedName function="false" hidden="true" name="FDD_284_2" vbProcedure="false">"A31412"</definedName>
    <definedName function="false" hidden="true" name="FDD_284_3" vbProcedure="false">"A31777"</definedName>
    <definedName function="false" hidden="true" name="FDD_284_4" vbProcedure="false">"A32142"</definedName>
    <definedName function="false" hidden="true" name="FDD_284_5" vbProcedure="false">"A32508"</definedName>
    <definedName function="false" hidden="true" name="FDD_284_6" vbProcedure="false">"A32873"</definedName>
    <definedName function="false" hidden="true" name="FDD_284_7" vbProcedure="false">"A33238"</definedName>
    <definedName function="false" hidden="true" name="FDD_284_8" vbProcedure="false">"A33603"</definedName>
    <definedName function="false" hidden="true" name="FDD_284_9" vbProcedure="false">"A33969"</definedName>
    <definedName function="false" hidden="true" name="FDD_285_0" vbProcedure="false">"A35795"</definedName>
    <definedName function="false" hidden="true" name="FDD_285_1" vbProcedure="false">"E36160"</definedName>
    <definedName function="false" hidden="true" name="FDD_285_10" vbProcedure="false">"E39447"</definedName>
    <definedName function="false" hidden="true" name="FDD_285_11" vbProcedure="false">"E39813"</definedName>
    <definedName function="false" hidden="true" name="FDD_285_12" vbProcedure="false">"E40178"</definedName>
    <definedName function="false" hidden="true" name="FDD_285_13" vbProcedure="false">"E40543"</definedName>
    <definedName function="false" hidden="true" name="FDD_285_14" vbProcedure="false">"E40908"</definedName>
    <definedName function="false" hidden="true" name="FDD_285_15" vbProcedure="false">"E41274"</definedName>
    <definedName function="false" hidden="true" name="FDD_285_16" vbProcedure="false">"E41639"</definedName>
    <definedName function="false" hidden="true" name="FDD_285_17" vbProcedure="false">"E42004"</definedName>
    <definedName function="false" hidden="true" name="FDD_285_18" vbProcedure="false">"E42369"</definedName>
    <definedName function="false" hidden="true" name="FDD_285_19" vbProcedure="false">"E42735"</definedName>
    <definedName function="false" hidden="true" name="FDD_285_2" vbProcedure="false">"E36525"</definedName>
    <definedName function="false" hidden="true" name="FDD_285_20" vbProcedure="false">"E43100"</definedName>
    <definedName function="false" hidden="true" name="FDD_285_21" vbProcedure="false">"E43465"</definedName>
    <definedName function="false" hidden="true" name="FDD_285_22" vbProcedure="false">"E43830"</definedName>
    <definedName function="false" hidden="true" name="FDD_285_23" vbProcedure="false">"E44196"</definedName>
    <definedName function="false" hidden="true" name="FDD_285_24" vbProcedure="false">"E44561"</definedName>
    <definedName function="false" hidden="true" name="FDD_285_25" vbProcedure="false">"E44926"</definedName>
    <definedName function="false" hidden="true" name="FDD_285_3" vbProcedure="false">"E36891"</definedName>
    <definedName function="false" hidden="true" name="FDD_285_4" vbProcedure="false">"E37256"</definedName>
    <definedName function="false" hidden="true" name="FDD_285_5" vbProcedure="false">"E37621"</definedName>
    <definedName function="false" hidden="true" name="FDD_285_6" vbProcedure="false">"E37986"</definedName>
    <definedName function="false" hidden="true" name="FDD_285_7" vbProcedure="false">"E38352"</definedName>
    <definedName function="false" hidden="true" name="FDD_285_8" vbProcedure="false">"E38717"</definedName>
    <definedName function="false" hidden="true" name="FDD_285_9" vbProcedure="false">"E39082"</definedName>
    <definedName function="false" hidden="true" name="FDD_286_0" vbProcedure="false">"E36160"</definedName>
    <definedName function="false" hidden="true" name="FDD_286_1" vbProcedure="false">"E36525"</definedName>
    <definedName function="false" hidden="true" name="FDD_286_10" vbProcedure="false">"E39813"</definedName>
    <definedName function="false" hidden="true" name="FDD_286_11" vbProcedure="false">"E40178"</definedName>
    <definedName function="false" hidden="true" name="FDD_286_12" vbProcedure="false">"E40543"</definedName>
    <definedName function="false" hidden="true" name="FDD_286_13" vbProcedure="false">"E40908"</definedName>
    <definedName function="false" hidden="true" name="FDD_286_14" vbProcedure="false">"E41274"</definedName>
    <definedName function="false" hidden="true" name="FDD_286_15" vbProcedure="false">"E41639"</definedName>
    <definedName function="false" hidden="true" name="FDD_286_16" vbProcedure="false">"E42004"</definedName>
    <definedName function="false" hidden="true" name="FDD_286_17" vbProcedure="false">"E42369"</definedName>
    <definedName function="false" hidden="true" name="FDD_286_18" vbProcedure="false">"E42735"</definedName>
    <definedName function="false" hidden="true" name="FDD_286_19" vbProcedure="false">"E43100"</definedName>
    <definedName function="false" hidden="true" name="FDD_286_2" vbProcedure="false">"E36891"</definedName>
    <definedName function="false" hidden="true" name="FDD_286_20" vbProcedure="false">"E43465"</definedName>
    <definedName function="false" hidden="true" name="FDD_286_21" vbProcedure="false">"E43830"</definedName>
    <definedName function="false" hidden="true" name="FDD_286_22" vbProcedure="false">"E44196"</definedName>
    <definedName function="false" hidden="true" name="FDD_286_23" vbProcedure="false">"E44561"</definedName>
    <definedName function="false" hidden="true" name="FDD_286_24" vbProcedure="false">"E44926"</definedName>
    <definedName function="false" hidden="true" name="FDD_286_3" vbProcedure="false">"E37256"</definedName>
    <definedName function="false" hidden="true" name="FDD_286_4" vbProcedure="false">"E37621"</definedName>
    <definedName function="false" hidden="true" name="FDD_286_5" vbProcedure="false">"E37986"</definedName>
    <definedName function="false" hidden="true" name="FDD_286_6" vbProcedure="false">"E38352"</definedName>
    <definedName function="false" hidden="true" name="FDD_286_7" vbProcedure="false">"E38717"</definedName>
    <definedName function="false" hidden="true" name="FDD_286_8" vbProcedure="false">"E39082"</definedName>
    <definedName function="false" hidden="true" name="FDD_286_9" vbProcedure="false">"E39447"</definedName>
    <definedName function="false" hidden="true" name="FDD_287_0" vbProcedure="false">"A25569"</definedName>
    <definedName function="false" hidden="true" name="FDD_288_0" vbProcedure="false">"A25569"</definedName>
    <definedName function="false" hidden="true" name="FDD_289_0" vbProcedure="false">"A36890"</definedName>
    <definedName function="false" hidden="true" name="FDD_28_0" vbProcedure="false">"A25569"</definedName>
    <definedName function="false" hidden="true" name="FDD_290_0" vbProcedure="false">"A36890"</definedName>
    <definedName function="false" hidden="true" name="FDD_291_0" vbProcedure="false">"A25569"</definedName>
    <definedName function="false" hidden="true" name="FDD_295_0" vbProcedure="false">"U25569"</definedName>
    <definedName function="false" hidden="true" name="FDD_296_0" vbProcedure="false">"A25569"</definedName>
    <definedName function="false" hidden="true" name="FDD_297_0" vbProcedure="false">"A25569"</definedName>
    <definedName function="false" hidden="true" name="FDD_298_0" vbProcedure="false">"A25569"</definedName>
    <definedName function="false" hidden="true" name="FDD_299_0" vbProcedure="false">"A25569"</definedName>
    <definedName function="false" hidden="true" name="FDD_29_0" vbProcedure="false">"A25569"</definedName>
    <definedName function="false" hidden="true" name="FDD_2_0" vbProcedure="false">"A25569"</definedName>
    <definedName function="false" hidden="true" name="FDD_300_0" vbProcedure="false">"U25569"</definedName>
    <definedName function="false" hidden="true" name="FDD_301_0" vbProcedure="false">"U35795"</definedName>
    <definedName function="false" hidden="true" name="FDD_301_1" vbProcedure="false">"U36160"</definedName>
    <definedName function="false" hidden="true" name="FDD_301_2" vbProcedure="false">"U36525"</definedName>
    <definedName function="false" hidden="true" name="FDD_302_0" vbProcedure="false">"U35795"</definedName>
    <definedName function="false" hidden="true" name="FDD_302_1" vbProcedure="false">"U36160"</definedName>
    <definedName function="false" hidden="true" name="FDD_302_2" vbProcedure="false">"U36525"</definedName>
    <definedName function="false" hidden="true" name="FDD_303_0" vbProcedure="false">"U35795"</definedName>
    <definedName function="false" hidden="true" name="FDD_303_1" vbProcedure="false">"U36160"</definedName>
    <definedName function="false" hidden="true" name="FDD_303_2" vbProcedure="false">"U36525"</definedName>
    <definedName function="false" hidden="true" name="FDD_304_0" vbProcedure="false">"U35795"</definedName>
    <definedName function="false" hidden="true" name="FDD_304_1" vbProcedure="false">"U36160"</definedName>
    <definedName function="false" hidden="true" name="FDD_304_2" vbProcedure="false">"U36525"</definedName>
    <definedName function="false" hidden="true" name="FDD_305_0" vbProcedure="false">"A30681"</definedName>
    <definedName function="false" hidden="true" name="FDD_305_1" vbProcedure="false">"A31047"</definedName>
    <definedName function="false" hidden="true" name="FDD_305_10" vbProcedure="false">"U34334"</definedName>
    <definedName function="false" hidden="true" name="FDD_305_11" vbProcedure="false">"U34699"</definedName>
    <definedName function="false" hidden="true" name="FDD_305_12" vbProcedure="false">"U35064"</definedName>
    <definedName function="false" hidden="true" name="FDD_305_13" vbProcedure="false">"U35430"</definedName>
    <definedName function="false" hidden="true" name="FDD_305_14" vbProcedure="false">"U35795"</definedName>
    <definedName function="false" hidden="true" name="FDD_305_2" vbProcedure="false">"A31412"</definedName>
    <definedName function="false" hidden="true" name="FDD_305_3" vbProcedure="false">"U31777"</definedName>
    <definedName function="false" hidden="true" name="FDD_305_4" vbProcedure="false">"U32142"</definedName>
    <definedName function="false" hidden="true" name="FDD_305_5" vbProcedure="false">"U32508"</definedName>
    <definedName function="false" hidden="true" name="FDD_305_6" vbProcedure="false">"U32873"</definedName>
    <definedName function="false" hidden="true" name="FDD_305_7" vbProcedure="false">"U33238"</definedName>
    <definedName function="false" hidden="true" name="FDD_305_8" vbProcedure="false">"U33603"</definedName>
    <definedName function="false" hidden="true" name="FDD_305_9" vbProcedure="false">"U33969"</definedName>
    <definedName function="false" hidden="true" name="FDD_306_0" vbProcedure="false">"U35795"</definedName>
    <definedName function="false" hidden="true" name="FDD_306_1" vbProcedure="false">"E36160"</definedName>
    <definedName function="false" hidden="true" name="FDD_306_2" vbProcedure="false">"U36525"</definedName>
    <definedName function="false" hidden="true" name="FDD_307_0" vbProcedure="false">"A35795"</definedName>
    <definedName function="false" hidden="true" name="FDD_307_1" vbProcedure="false">"U36160"</definedName>
    <definedName function="false" hidden="true" name="FDD_307_2" vbProcedure="false">"U36525"</definedName>
    <definedName function="false" hidden="true" name="FDD_30_0" vbProcedure="false">"A25569"</definedName>
    <definedName function="false" hidden="true" name="FDD_31_0" vbProcedure="false">"A25569"</definedName>
    <definedName function="false" hidden="true" name="FDD_32_0" vbProcedure="false">"A25569"</definedName>
    <definedName function="false" hidden="true" name="FDD_33_0" vbProcedure="false">"A25569"</definedName>
    <definedName function="false" hidden="true" name="FDD_34_0" vbProcedure="false">"A25569"</definedName>
    <definedName function="false" hidden="true" name="FDD_35_0" vbProcedure="false">"A25569"</definedName>
    <definedName function="false" hidden="true" name="FDD_36_0" vbProcedure="false">"A25569"</definedName>
    <definedName function="false" hidden="true" name="FDD_37_0" vbProcedure="false">"A25569"</definedName>
    <definedName function="false" hidden="true" name="FDD_38_0" vbProcedure="false">"A25569"</definedName>
    <definedName function="false" hidden="true" name="FDD_39_0" vbProcedure="false">"A25569"</definedName>
    <definedName function="false" hidden="true" name="FDD_3_0" vbProcedure="false">"A25569"</definedName>
    <definedName function="false" hidden="true" name="FDD_40_0" vbProcedure="false">"A25569"</definedName>
    <definedName function="false" hidden="true" name="FDD_41_0" vbProcedure="false">"U25569"</definedName>
    <definedName function="false" hidden="true" name="FDD_42_0" vbProcedure="false">"U25569"</definedName>
    <definedName function="false" hidden="true" name="FDD_43_0" vbProcedure="false">"A25569"</definedName>
    <definedName function="false" hidden="true" name="FDD_44_0" vbProcedure="false">"A30681"</definedName>
    <definedName function="false" hidden="true" name="FDD_44_1" vbProcedure="false">"A31047"</definedName>
    <definedName function="false" hidden="true" name="FDD_44_10" vbProcedure="false">"A34334"</definedName>
    <definedName function="false" hidden="true" name="FDD_44_11" vbProcedure="false">"A34699"</definedName>
    <definedName function="false" hidden="true" name="FDD_44_12" vbProcedure="false">"A35064"</definedName>
    <definedName function="false" hidden="true" name="FDD_44_13" vbProcedure="false">"A35430"</definedName>
    <definedName function="false" hidden="true" name="FDD_44_14" vbProcedure="false">"A35795"</definedName>
    <definedName function="false" hidden="true" name="FDD_44_2" vbProcedure="false">"A31412"</definedName>
    <definedName function="false" hidden="true" name="FDD_44_3" vbProcedure="false">"A31777"</definedName>
    <definedName function="false" hidden="true" name="FDD_44_4" vbProcedure="false">"A32142"</definedName>
    <definedName function="false" hidden="true" name="FDD_44_5" vbProcedure="false">"A32508"</definedName>
    <definedName function="false" hidden="true" name="FDD_44_6" vbProcedure="false">"A32873"</definedName>
    <definedName function="false" hidden="true" name="FDD_44_7" vbProcedure="false">"A33238"</definedName>
    <definedName function="false" hidden="true" name="FDD_44_8" vbProcedure="false">"A33603"</definedName>
    <definedName function="false" hidden="true" name="FDD_44_9" vbProcedure="false">"A33969"</definedName>
    <definedName function="false" hidden="true" name="FDD_45_0" vbProcedure="false">"A30681"</definedName>
    <definedName function="false" hidden="true" name="FDD_45_1" vbProcedure="false">"A31047"</definedName>
    <definedName function="false" hidden="true" name="FDD_45_10" vbProcedure="false">"A34334"</definedName>
    <definedName function="false" hidden="true" name="FDD_45_11" vbProcedure="false">"A34699"</definedName>
    <definedName function="false" hidden="true" name="FDD_45_12" vbProcedure="false">"A35064"</definedName>
    <definedName function="false" hidden="true" name="FDD_45_13" vbProcedure="false">"A35430"</definedName>
    <definedName function="false" hidden="true" name="FDD_45_14" vbProcedure="false">"A35795"</definedName>
    <definedName function="false" hidden="true" name="FDD_45_2" vbProcedure="false">"A31412"</definedName>
    <definedName function="false" hidden="true" name="FDD_45_3" vbProcedure="false">"A31777"</definedName>
    <definedName function="false" hidden="true" name="FDD_45_4" vbProcedure="false">"A32142"</definedName>
    <definedName function="false" hidden="true" name="FDD_45_5" vbProcedure="false">"A32508"</definedName>
    <definedName function="false" hidden="true" name="FDD_45_6" vbProcedure="false">"A32873"</definedName>
    <definedName function="false" hidden="true" name="FDD_45_7" vbProcedure="false">"A33238"</definedName>
    <definedName function="false" hidden="true" name="FDD_45_8" vbProcedure="false">"A33603"</definedName>
    <definedName function="false" hidden="true" name="FDD_45_9" vbProcedure="false">"A33969"</definedName>
    <definedName function="false" hidden="true" name="FDD_46_0" vbProcedure="false">"A30681"</definedName>
    <definedName function="false" hidden="true" name="FDD_46_1" vbProcedure="false">"A31047"</definedName>
    <definedName function="false" hidden="true" name="FDD_46_10" vbProcedure="false">"A34334"</definedName>
    <definedName function="false" hidden="true" name="FDD_46_11" vbProcedure="false">"A34699"</definedName>
    <definedName function="false" hidden="true" name="FDD_46_12" vbProcedure="false">"A35064"</definedName>
    <definedName function="false" hidden="true" name="FDD_46_13" vbProcedure="false">"A35430"</definedName>
    <definedName function="false" hidden="true" name="FDD_46_14" vbProcedure="false">"A35795"</definedName>
    <definedName function="false" hidden="true" name="FDD_46_2" vbProcedure="false">"A31412"</definedName>
    <definedName function="false" hidden="true" name="FDD_46_3" vbProcedure="false">"A31777"</definedName>
    <definedName function="false" hidden="true" name="FDD_46_4" vbProcedure="false">"A32142"</definedName>
    <definedName function="false" hidden="true" name="FDD_46_5" vbProcedure="false">"A32508"</definedName>
    <definedName function="false" hidden="true" name="FDD_46_6" vbProcedure="false">"A32873"</definedName>
    <definedName function="false" hidden="true" name="FDD_46_7" vbProcedure="false">"A33238"</definedName>
    <definedName function="false" hidden="true" name="FDD_46_8" vbProcedure="false">"A33603"</definedName>
    <definedName function="false" hidden="true" name="FDD_46_9" vbProcedure="false">"A33969"</definedName>
    <definedName function="false" hidden="true" name="FDD_47_0" vbProcedure="false">"A30681"</definedName>
    <definedName function="false" hidden="true" name="FDD_47_1" vbProcedure="false">"A31047"</definedName>
    <definedName function="false" hidden="true" name="FDD_47_10" vbProcedure="false">"A34334"</definedName>
    <definedName function="false" hidden="true" name="FDD_47_11" vbProcedure="false">"A34699"</definedName>
    <definedName function="false" hidden="true" name="FDD_47_12" vbProcedure="false">"A35064"</definedName>
    <definedName function="false" hidden="true" name="FDD_47_13" vbProcedure="false">"A35430"</definedName>
    <definedName function="false" hidden="true" name="FDD_47_14" vbProcedure="false">"A35795"</definedName>
    <definedName function="false" hidden="true" name="FDD_47_2" vbProcedure="false">"A31412"</definedName>
    <definedName function="false" hidden="true" name="FDD_47_3" vbProcedure="false">"A31777"</definedName>
    <definedName function="false" hidden="true" name="FDD_47_4" vbProcedure="false">"A32142"</definedName>
    <definedName function="false" hidden="true" name="FDD_47_5" vbProcedure="false">"A32508"</definedName>
    <definedName function="false" hidden="true" name="FDD_47_6" vbProcedure="false">"A32873"</definedName>
    <definedName function="false" hidden="true" name="FDD_47_7" vbProcedure="false">"A33238"</definedName>
    <definedName function="false" hidden="true" name="FDD_47_8" vbProcedure="false">"A33603"</definedName>
    <definedName function="false" hidden="true" name="FDD_47_9" vbProcedure="false">"A33969"</definedName>
    <definedName function="false" hidden="true" name="FDD_48_0" vbProcedure="false">"A30681"</definedName>
    <definedName function="false" hidden="true" name="FDD_48_1" vbProcedure="false">"A31047"</definedName>
    <definedName function="false" hidden="true" name="FDD_48_10" vbProcedure="false">"A34334"</definedName>
    <definedName function="false" hidden="true" name="FDD_48_11" vbProcedure="false">"A34699"</definedName>
    <definedName function="false" hidden="true" name="FDD_48_12" vbProcedure="false">"A35064"</definedName>
    <definedName function="false" hidden="true" name="FDD_48_13" vbProcedure="false">"A35430"</definedName>
    <definedName function="false" hidden="true" name="FDD_48_14" vbProcedure="false">"A35795"</definedName>
    <definedName function="false" hidden="true" name="FDD_48_2" vbProcedure="false">"A31412"</definedName>
    <definedName function="false" hidden="true" name="FDD_48_3" vbProcedure="false">"A31777"</definedName>
    <definedName function="false" hidden="true" name="FDD_48_4" vbProcedure="false">"A32142"</definedName>
    <definedName function="false" hidden="true" name="FDD_48_5" vbProcedure="false">"A32508"</definedName>
    <definedName function="false" hidden="true" name="FDD_48_6" vbProcedure="false">"A32873"</definedName>
    <definedName function="false" hidden="true" name="FDD_48_7" vbProcedure="false">"A33238"</definedName>
    <definedName function="false" hidden="true" name="FDD_48_8" vbProcedure="false">"A33603"</definedName>
    <definedName function="false" hidden="true" name="FDD_48_9" vbProcedure="false">"A33969"</definedName>
    <definedName function="false" hidden="true" name="FDD_49_0" vbProcedure="false">"A30681"</definedName>
    <definedName function="false" hidden="true" name="FDD_49_1" vbProcedure="false">"A31047"</definedName>
    <definedName function="false" hidden="true" name="FDD_49_10" vbProcedure="false">"A34334"</definedName>
    <definedName function="false" hidden="true" name="FDD_49_11" vbProcedure="false">"A34699"</definedName>
    <definedName function="false" hidden="true" name="FDD_49_12" vbProcedure="false">"A35064"</definedName>
    <definedName function="false" hidden="true" name="FDD_49_13" vbProcedure="false">"A35430"</definedName>
    <definedName function="false" hidden="true" name="FDD_49_14" vbProcedure="false">"A35795"</definedName>
    <definedName function="false" hidden="true" name="FDD_49_2" vbProcedure="false">"A31412"</definedName>
    <definedName function="false" hidden="true" name="FDD_49_3" vbProcedure="false">"A31777"</definedName>
    <definedName function="false" hidden="true" name="FDD_49_4" vbProcedure="false">"A32142"</definedName>
    <definedName function="false" hidden="true" name="FDD_49_5" vbProcedure="false">"A32508"</definedName>
    <definedName function="false" hidden="true" name="FDD_49_6" vbProcedure="false">"A32873"</definedName>
    <definedName function="false" hidden="true" name="FDD_49_7" vbProcedure="false">"A33238"</definedName>
    <definedName function="false" hidden="true" name="FDD_49_8" vbProcedure="false">"A33603"</definedName>
    <definedName function="false" hidden="true" name="FDD_49_9" vbProcedure="false">"A33969"</definedName>
    <definedName function="false" hidden="true" name="FDD_4_0" vbProcedure="false">"A25569"</definedName>
    <definedName function="false" hidden="true" name="FDD_50_0" vbProcedure="false">"A30681"</definedName>
    <definedName function="false" hidden="true" name="FDD_50_1" vbProcedure="false">"A31047"</definedName>
    <definedName function="false" hidden="true" name="FDD_50_10" vbProcedure="false">"A34334"</definedName>
    <definedName function="false" hidden="true" name="FDD_50_11" vbProcedure="false">"A34699"</definedName>
    <definedName function="false" hidden="true" name="FDD_50_12" vbProcedure="false">"A35064"</definedName>
    <definedName function="false" hidden="true" name="FDD_50_13" vbProcedure="false">"A35430"</definedName>
    <definedName function="false" hidden="true" name="FDD_50_14" vbProcedure="false">"A35795"</definedName>
    <definedName function="false" hidden="true" name="FDD_50_2" vbProcedure="false">"A31412"</definedName>
    <definedName function="false" hidden="true" name="FDD_50_3" vbProcedure="false">"A31777"</definedName>
    <definedName function="false" hidden="true" name="FDD_50_4" vbProcedure="false">"A32142"</definedName>
    <definedName function="false" hidden="true" name="FDD_50_5" vbProcedure="false">"A32508"</definedName>
    <definedName function="false" hidden="true" name="FDD_50_6" vbProcedure="false">"A32873"</definedName>
    <definedName function="false" hidden="true" name="FDD_50_7" vbProcedure="false">"A33238"</definedName>
    <definedName function="false" hidden="true" name="FDD_50_8" vbProcedure="false">"A33603"</definedName>
    <definedName function="false" hidden="true" name="FDD_50_9" vbProcedure="false">"A33969"</definedName>
    <definedName function="false" hidden="true" name="FDD_51_0" vbProcedure="false">"A30681"</definedName>
    <definedName function="false" hidden="true" name="FDD_51_1" vbProcedure="false">"A31047"</definedName>
    <definedName function="false" hidden="true" name="FDD_51_10" vbProcedure="false">"A34334"</definedName>
    <definedName function="false" hidden="true" name="FDD_51_11" vbProcedure="false">"A34699"</definedName>
    <definedName function="false" hidden="true" name="FDD_51_12" vbProcedure="false">"A35064"</definedName>
    <definedName function="false" hidden="true" name="FDD_51_13" vbProcedure="false">"A35430"</definedName>
    <definedName function="false" hidden="true" name="FDD_51_14" vbProcedure="false">"A35795"</definedName>
    <definedName function="false" hidden="true" name="FDD_51_2" vbProcedure="false">"A31412"</definedName>
    <definedName function="false" hidden="true" name="FDD_51_3" vbProcedure="false">"A31777"</definedName>
    <definedName function="false" hidden="true" name="FDD_51_4" vbProcedure="false">"A32142"</definedName>
    <definedName function="false" hidden="true" name="FDD_51_5" vbProcedure="false">"A32508"</definedName>
    <definedName function="false" hidden="true" name="FDD_51_6" vbProcedure="false">"A32873"</definedName>
    <definedName function="false" hidden="true" name="FDD_51_7" vbProcedure="false">"A33238"</definedName>
    <definedName function="false" hidden="true" name="FDD_51_8" vbProcedure="false">"A33603"</definedName>
    <definedName function="false" hidden="true" name="FDD_51_9" vbProcedure="false">"A33969"</definedName>
    <definedName function="false" hidden="true" name="FDD_52_0" vbProcedure="false">"A30681"</definedName>
    <definedName function="false" hidden="true" name="FDD_52_1" vbProcedure="false">"A31047"</definedName>
    <definedName function="false" hidden="true" name="FDD_52_10" vbProcedure="false">"A34334"</definedName>
    <definedName function="false" hidden="true" name="FDD_52_11" vbProcedure="false">"A34699"</definedName>
    <definedName function="false" hidden="true" name="FDD_52_12" vbProcedure="false">"A35064"</definedName>
    <definedName function="false" hidden="true" name="FDD_52_13" vbProcedure="false">"A35430"</definedName>
    <definedName function="false" hidden="true" name="FDD_52_14" vbProcedure="false">"A35795"</definedName>
    <definedName function="false" hidden="true" name="FDD_52_2" vbProcedure="false">"A31412"</definedName>
    <definedName function="false" hidden="true" name="FDD_52_3" vbProcedure="false">"A31777"</definedName>
    <definedName function="false" hidden="true" name="FDD_52_4" vbProcedure="false">"A32142"</definedName>
    <definedName function="false" hidden="true" name="FDD_52_5" vbProcedure="false">"A32508"</definedName>
    <definedName function="false" hidden="true" name="FDD_52_6" vbProcedure="false">"A32873"</definedName>
    <definedName function="false" hidden="true" name="FDD_52_7" vbProcedure="false">"A33238"</definedName>
    <definedName function="false" hidden="true" name="FDD_52_8" vbProcedure="false">"A33603"</definedName>
    <definedName function="false" hidden="true" name="FDD_52_9" vbProcedure="false">"A33969"</definedName>
    <definedName function="false" hidden="true" name="FDD_53_0" vbProcedure="false">"U30681"</definedName>
    <definedName function="false" hidden="true" name="FDD_53_1" vbProcedure="false">"A31047"</definedName>
    <definedName function="false" hidden="true" name="FDD_53_10" vbProcedure="false">"A34334"</definedName>
    <definedName function="false" hidden="true" name="FDD_53_11" vbProcedure="false">"A34699"</definedName>
    <definedName function="false" hidden="true" name="FDD_53_12" vbProcedure="false">"A35064"</definedName>
    <definedName function="false" hidden="true" name="FDD_53_13" vbProcedure="false">"A35430"</definedName>
    <definedName function="false" hidden="true" name="FDD_53_14" vbProcedure="false">"A35795"</definedName>
    <definedName function="false" hidden="true" name="FDD_53_2" vbProcedure="false">"A31412"</definedName>
    <definedName function="false" hidden="true" name="FDD_53_3" vbProcedure="false">"A31777"</definedName>
    <definedName function="false" hidden="true" name="FDD_53_4" vbProcedure="false">"A32142"</definedName>
    <definedName function="false" hidden="true" name="FDD_53_5" vbProcedure="false">"A32508"</definedName>
    <definedName function="false" hidden="true" name="FDD_53_6" vbProcedure="false">"A32873"</definedName>
    <definedName function="false" hidden="true" name="FDD_53_7" vbProcedure="false">"A33238"</definedName>
    <definedName function="false" hidden="true" name="FDD_53_8" vbProcedure="false">"A33603"</definedName>
    <definedName function="false" hidden="true" name="FDD_53_9" vbProcedure="false">"A33969"</definedName>
    <definedName function="false" hidden="true" name="FDD_54_0" vbProcedure="false">"A30681"</definedName>
    <definedName function="false" hidden="true" name="FDD_54_1" vbProcedure="false">"A31047"</definedName>
    <definedName function="false" hidden="true" name="FDD_54_10" vbProcedure="false">"A34334"</definedName>
    <definedName function="false" hidden="true" name="FDD_54_11" vbProcedure="false">"A34699"</definedName>
    <definedName function="false" hidden="true" name="FDD_54_12" vbProcedure="false">"A35064"</definedName>
    <definedName function="false" hidden="true" name="FDD_54_13" vbProcedure="false">"A35430"</definedName>
    <definedName function="false" hidden="true" name="FDD_54_14" vbProcedure="false">"A35795"</definedName>
    <definedName function="false" hidden="true" name="FDD_54_2" vbProcedure="false">"A31412"</definedName>
    <definedName function="false" hidden="true" name="FDD_54_3" vbProcedure="false">"A31777"</definedName>
    <definedName function="false" hidden="true" name="FDD_54_4" vbProcedure="false">"A32142"</definedName>
    <definedName function="false" hidden="true" name="FDD_54_5" vbProcedure="false">"A32508"</definedName>
    <definedName function="false" hidden="true" name="FDD_54_6" vbProcedure="false">"A32873"</definedName>
    <definedName function="false" hidden="true" name="FDD_54_7" vbProcedure="false">"A33238"</definedName>
    <definedName function="false" hidden="true" name="FDD_54_8" vbProcedure="false">"A33603"</definedName>
    <definedName function="false" hidden="true" name="FDD_54_9" vbProcedure="false">"A33969"</definedName>
    <definedName function="false" hidden="true" name="FDD_55_0" vbProcedure="false">"A30681"</definedName>
    <definedName function="false" hidden="true" name="FDD_55_1" vbProcedure="false">"A31047"</definedName>
    <definedName function="false" hidden="true" name="FDD_55_10" vbProcedure="false">"A34334"</definedName>
    <definedName function="false" hidden="true" name="FDD_55_11" vbProcedure="false">"A34699"</definedName>
    <definedName function="false" hidden="true" name="FDD_55_12" vbProcedure="false">"A35064"</definedName>
    <definedName function="false" hidden="true" name="FDD_55_13" vbProcedure="false">"A35430"</definedName>
    <definedName function="false" hidden="true" name="FDD_55_14" vbProcedure="false">"A35795"</definedName>
    <definedName function="false" hidden="true" name="FDD_55_2" vbProcedure="false">"A31412"</definedName>
    <definedName function="false" hidden="true" name="FDD_55_3" vbProcedure="false">"A31777"</definedName>
    <definedName function="false" hidden="true" name="FDD_55_4" vbProcedure="false">"A32142"</definedName>
    <definedName function="false" hidden="true" name="FDD_55_5" vbProcedure="false">"A32508"</definedName>
    <definedName function="false" hidden="true" name="FDD_55_6" vbProcedure="false">"A32873"</definedName>
    <definedName function="false" hidden="true" name="FDD_55_7" vbProcedure="false">"A33238"</definedName>
    <definedName function="false" hidden="true" name="FDD_55_8" vbProcedure="false">"A33603"</definedName>
    <definedName function="false" hidden="true" name="FDD_55_9" vbProcedure="false">"A33969"</definedName>
    <definedName function="false" hidden="true" name="FDD_56_0" vbProcedure="false">"A30681"</definedName>
    <definedName function="false" hidden="true" name="FDD_56_1" vbProcedure="false">"A31047"</definedName>
    <definedName function="false" hidden="true" name="FDD_56_10" vbProcedure="false">"A34334"</definedName>
    <definedName function="false" hidden="true" name="FDD_56_11" vbProcedure="false">"A34699"</definedName>
    <definedName function="false" hidden="true" name="FDD_56_12" vbProcedure="false">"A35064"</definedName>
    <definedName function="false" hidden="true" name="FDD_56_13" vbProcedure="false">"A35430"</definedName>
    <definedName function="false" hidden="true" name="FDD_56_14" vbProcedure="false">"A35795"</definedName>
    <definedName function="false" hidden="true" name="FDD_56_2" vbProcedure="false">"A31412"</definedName>
    <definedName function="false" hidden="true" name="FDD_56_3" vbProcedure="false">"A31777"</definedName>
    <definedName function="false" hidden="true" name="FDD_56_4" vbProcedure="false">"A32142"</definedName>
    <definedName function="false" hidden="true" name="FDD_56_5" vbProcedure="false">"A32508"</definedName>
    <definedName function="false" hidden="true" name="FDD_56_6" vbProcedure="false">"A32873"</definedName>
    <definedName function="false" hidden="true" name="FDD_56_7" vbProcedure="false">"A33238"</definedName>
    <definedName function="false" hidden="true" name="FDD_56_8" vbProcedure="false">"A33603"</definedName>
    <definedName function="false" hidden="true" name="FDD_56_9" vbProcedure="false">"A33969"</definedName>
    <definedName function="false" hidden="true" name="FDD_57_0" vbProcedure="false">"A30681"</definedName>
    <definedName function="false" hidden="true" name="FDD_57_1" vbProcedure="false">"A31047"</definedName>
    <definedName function="false" hidden="true" name="FDD_57_10" vbProcedure="false">"A34334"</definedName>
    <definedName function="false" hidden="true" name="FDD_57_11" vbProcedure="false">"A34699"</definedName>
    <definedName function="false" hidden="true" name="FDD_57_12" vbProcedure="false">"A35064"</definedName>
    <definedName function="false" hidden="true" name="FDD_57_13" vbProcedure="false">"A35430"</definedName>
    <definedName function="false" hidden="true" name="FDD_57_14" vbProcedure="false">"A35795"</definedName>
    <definedName function="false" hidden="true" name="FDD_57_2" vbProcedure="false">"A31412"</definedName>
    <definedName function="false" hidden="true" name="FDD_57_3" vbProcedure="false">"A31777"</definedName>
    <definedName function="false" hidden="true" name="FDD_57_4" vbProcedure="false">"A32142"</definedName>
    <definedName function="false" hidden="true" name="FDD_57_5" vbProcedure="false">"A32508"</definedName>
    <definedName function="false" hidden="true" name="FDD_57_6" vbProcedure="false">"A32873"</definedName>
    <definedName function="false" hidden="true" name="FDD_57_7" vbProcedure="false">"A33238"</definedName>
    <definedName function="false" hidden="true" name="FDD_57_8" vbProcedure="false">"A33603"</definedName>
    <definedName function="false" hidden="true" name="FDD_57_9" vbProcedure="false">"A33969"</definedName>
    <definedName function="false" hidden="true" name="FDD_58_0" vbProcedure="false">"A30681"</definedName>
    <definedName function="false" hidden="true" name="FDD_58_1" vbProcedure="false">"A31047"</definedName>
    <definedName function="false" hidden="true" name="FDD_58_10" vbProcedure="false">"A34334"</definedName>
    <definedName function="false" hidden="true" name="FDD_58_11" vbProcedure="false">"A34699"</definedName>
    <definedName function="false" hidden="true" name="FDD_58_12" vbProcedure="false">"A35064"</definedName>
    <definedName function="false" hidden="true" name="FDD_58_13" vbProcedure="false">"A35430"</definedName>
    <definedName function="false" hidden="true" name="FDD_58_14" vbProcedure="false">"A35795"</definedName>
    <definedName function="false" hidden="true" name="FDD_58_2" vbProcedure="false">"A31412"</definedName>
    <definedName function="false" hidden="true" name="FDD_58_3" vbProcedure="false">"A31777"</definedName>
    <definedName function="false" hidden="true" name="FDD_58_4" vbProcedure="false">"A32142"</definedName>
    <definedName function="false" hidden="true" name="FDD_58_5" vbProcedure="false">"A32508"</definedName>
    <definedName function="false" hidden="true" name="FDD_58_6" vbProcedure="false">"A32873"</definedName>
    <definedName function="false" hidden="true" name="FDD_58_7" vbProcedure="false">"A33238"</definedName>
    <definedName function="false" hidden="true" name="FDD_58_8" vbProcedure="false">"A33603"</definedName>
    <definedName function="false" hidden="true" name="FDD_58_9" vbProcedure="false">"A33969"</definedName>
    <definedName function="false" hidden="true" name="FDD_59_0" vbProcedure="false">"A30681"</definedName>
    <definedName function="false" hidden="true" name="FDD_59_1" vbProcedure="false">"A31047"</definedName>
    <definedName function="false" hidden="true" name="FDD_59_10" vbProcedure="false">"A34334"</definedName>
    <definedName function="false" hidden="true" name="FDD_59_11" vbProcedure="false">"A34699"</definedName>
    <definedName function="false" hidden="true" name="FDD_59_12" vbProcedure="false">"A35064"</definedName>
    <definedName function="false" hidden="true" name="FDD_59_13" vbProcedure="false">"A35430"</definedName>
    <definedName function="false" hidden="true" name="FDD_59_14" vbProcedure="false">"A35795"</definedName>
    <definedName function="false" hidden="true" name="FDD_59_2" vbProcedure="false">"A31412"</definedName>
    <definedName function="false" hidden="true" name="FDD_59_3" vbProcedure="false">"A31777"</definedName>
    <definedName function="false" hidden="true" name="FDD_59_4" vbProcedure="false">"A32142"</definedName>
    <definedName function="false" hidden="true" name="FDD_59_5" vbProcedure="false">"A32508"</definedName>
    <definedName function="false" hidden="true" name="FDD_59_6" vbProcedure="false">"A32873"</definedName>
    <definedName function="false" hidden="true" name="FDD_59_7" vbProcedure="false">"A33238"</definedName>
    <definedName function="false" hidden="true" name="FDD_59_8" vbProcedure="false">"A33603"</definedName>
    <definedName function="false" hidden="true" name="FDD_59_9" vbProcedure="false">"A33969"</definedName>
    <definedName function="false" hidden="true" name="FDD_5_0" vbProcedure="false">"A25569"</definedName>
    <definedName function="false" hidden="true" name="FDD_60_0" vbProcedure="false">"A30681"</definedName>
    <definedName function="false" hidden="true" name="FDD_60_1" vbProcedure="false">"A31047"</definedName>
    <definedName function="false" hidden="true" name="FDD_60_10" vbProcedure="false">"A34334"</definedName>
    <definedName function="false" hidden="true" name="FDD_60_11" vbProcedure="false">"A34699"</definedName>
    <definedName function="false" hidden="true" name="FDD_60_12" vbProcedure="false">"A35064"</definedName>
    <definedName function="false" hidden="true" name="FDD_60_13" vbProcedure="false">"A35430"</definedName>
    <definedName function="false" hidden="true" name="FDD_60_14" vbProcedure="false">"A35795"</definedName>
    <definedName function="false" hidden="true" name="FDD_60_2" vbProcedure="false">"A31412"</definedName>
    <definedName function="false" hidden="true" name="FDD_60_3" vbProcedure="false">"A31777"</definedName>
    <definedName function="false" hidden="true" name="FDD_60_4" vbProcedure="false">"A32142"</definedName>
    <definedName function="false" hidden="true" name="FDD_60_5" vbProcedure="false">"A32508"</definedName>
    <definedName function="false" hidden="true" name="FDD_60_6" vbProcedure="false">"A32873"</definedName>
    <definedName function="false" hidden="true" name="FDD_60_7" vbProcedure="false">"A33238"</definedName>
    <definedName function="false" hidden="true" name="FDD_60_8" vbProcedure="false">"A33603"</definedName>
    <definedName function="false" hidden="true" name="FDD_60_9" vbProcedure="false">"A33969"</definedName>
    <definedName function="false" hidden="true" name="FDD_61_0" vbProcedure="false">"A30681"</definedName>
    <definedName function="false" hidden="true" name="FDD_61_1" vbProcedure="false">"A31047"</definedName>
    <definedName function="false" hidden="true" name="FDD_61_10" vbProcedure="false">"A34334"</definedName>
    <definedName function="false" hidden="true" name="FDD_61_11" vbProcedure="false">"A34699"</definedName>
    <definedName function="false" hidden="true" name="FDD_61_12" vbProcedure="false">"A35064"</definedName>
    <definedName function="false" hidden="true" name="FDD_61_13" vbProcedure="false">"A35430"</definedName>
    <definedName function="false" hidden="true" name="FDD_61_14" vbProcedure="false">"A35795"</definedName>
    <definedName function="false" hidden="true" name="FDD_61_2" vbProcedure="false">"A31412"</definedName>
    <definedName function="false" hidden="true" name="FDD_61_3" vbProcedure="false">"A31777"</definedName>
    <definedName function="false" hidden="true" name="FDD_61_4" vbProcedure="false">"A32142"</definedName>
    <definedName function="false" hidden="true" name="FDD_61_5" vbProcedure="false">"A32508"</definedName>
    <definedName function="false" hidden="true" name="FDD_61_6" vbProcedure="false">"A32873"</definedName>
    <definedName function="false" hidden="true" name="FDD_61_7" vbProcedure="false">"A33238"</definedName>
    <definedName function="false" hidden="true" name="FDD_61_8" vbProcedure="false">"A33603"</definedName>
    <definedName function="false" hidden="true" name="FDD_61_9" vbProcedure="false">"A33969"</definedName>
    <definedName function="false" hidden="true" name="FDD_62_0" vbProcedure="false">"A30681"</definedName>
    <definedName function="false" hidden="true" name="FDD_62_1" vbProcedure="false">"A31047"</definedName>
    <definedName function="false" hidden="true" name="FDD_62_10" vbProcedure="false">"A34334"</definedName>
    <definedName function="false" hidden="true" name="FDD_62_11" vbProcedure="false">"A34699"</definedName>
    <definedName function="false" hidden="true" name="FDD_62_12" vbProcedure="false">"A35064"</definedName>
    <definedName function="false" hidden="true" name="FDD_62_13" vbProcedure="false">"A35430"</definedName>
    <definedName function="false" hidden="true" name="FDD_62_14" vbProcedure="false">"A35795"</definedName>
    <definedName function="false" hidden="true" name="FDD_62_2" vbProcedure="false">"A31412"</definedName>
    <definedName function="false" hidden="true" name="FDD_62_3" vbProcedure="false">"A31777"</definedName>
    <definedName function="false" hidden="true" name="FDD_62_4" vbProcedure="false">"A32142"</definedName>
    <definedName function="false" hidden="true" name="FDD_62_5" vbProcedure="false">"A32508"</definedName>
    <definedName function="false" hidden="true" name="FDD_62_6" vbProcedure="false">"A32873"</definedName>
    <definedName function="false" hidden="true" name="FDD_62_7" vbProcedure="false">"A33238"</definedName>
    <definedName function="false" hidden="true" name="FDD_62_8" vbProcedure="false">"A33603"</definedName>
    <definedName function="false" hidden="true" name="FDD_62_9" vbProcedure="false">"A33969"</definedName>
    <definedName function="false" hidden="true" name="FDD_63_0" vbProcedure="false">"A30681"</definedName>
    <definedName function="false" hidden="true" name="FDD_63_1" vbProcedure="false">"A31047"</definedName>
    <definedName function="false" hidden="true" name="FDD_63_10" vbProcedure="false">"A34334"</definedName>
    <definedName function="false" hidden="true" name="FDD_63_11" vbProcedure="false">"A34699"</definedName>
    <definedName function="false" hidden="true" name="FDD_63_12" vbProcedure="false">"A35064"</definedName>
    <definedName function="false" hidden="true" name="FDD_63_13" vbProcedure="false">"A35430"</definedName>
    <definedName function="false" hidden="true" name="FDD_63_14" vbProcedure="false">"A35795"</definedName>
    <definedName function="false" hidden="true" name="FDD_63_2" vbProcedure="false">"A31412"</definedName>
    <definedName function="false" hidden="true" name="FDD_63_3" vbProcedure="false">"A31777"</definedName>
    <definedName function="false" hidden="true" name="FDD_63_4" vbProcedure="false">"A32142"</definedName>
    <definedName function="false" hidden="true" name="FDD_63_5" vbProcedure="false">"A32508"</definedName>
    <definedName function="false" hidden="true" name="FDD_63_6" vbProcedure="false">"A32873"</definedName>
    <definedName function="false" hidden="true" name="FDD_63_7" vbProcedure="false">"A33238"</definedName>
    <definedName function="false" hidden="true" name="FDD_63_8" vbProcedure="false">"A33603"</definedName>
    <definedName function="false" hidden="true" name="FDD_63_9" vbProcedure="false">"A33969"</definedName>
    <definedName function="false" hidden="true" name="FDD_64_0" vbProcedure="false">"A30681"</definedName>
    <definedName function="false" hidden="true" name="FDD_64_1" vbProcedure="false">"A31047"</definedName>
    <definedName function="false" hidden="true" name="FDD_64_10" vbProcedure="false">"A34334"</definedName>
    <definedName function="false" hidden="true" name="FDD_64_11" vbProcedure="false">"A34699"</definedName>
    <definedName function="false" hidden="true" name="FDD_64_12" vbProcedure="false">"A35064"</definedName>
    <definedName function="false" hidden="true" name="FDD_64_13" vbProcedure="false">"A35430"</definedName>
    <definedName function="false" hidden="true" name="FDD_64_14" vbProcedure="false">"A35795"</definedName>
    <definedName function="false" hidden="true" name="FDD_64_2" vbProcedure="false">"A31412"</definedName>
    <definedName function="false" hidden="true" name="FDD_64_3" vbProcedure="false">"A31777"</definedName>
    <definedName function="false" hidden="true" name="FDD_64_4" vbProcedure="false">"A32142"</definedName>
    <definedName function="false" hidden="true" name="FDD_64_5" vbProcedure="false">"A32508"</definedName>
    <definedName function="false" hidden="true" name="FDD_64_6" vbProcedure="false">"A32873"</definedName>
    <definedName function="false" hidden="true" name="FDD_64_7" vbProcedure="false">"A33238"</definedName>
    <definedName function="false" hidden="true" name="FDD_64_8" vbProcedure="false">"A33603"</definedName>
    <definedName function="false" hidden="true" name="FDD_64_9" vbProcedure="false">"A33969"</definedName>
    <definedName function="false" hidden="true" name="FDD_65_0" vbProcedure="false">"A30681"</definedName>
    <definedName function="false" hidden="true" name="FDD_65_1" vbProcedure="false">"A31047"</definedName>
    <definedName function="false" hidden="true" name="FDD_65_10" vbProcedure="false">"A34334"</definedName>
    <definedName function="false" hidden="true" name="FDD_65_11" vbProcedure="false">"A34699"</definedName>
    <definedName function="false" hidden="true" name="FDD_65_12" vbProcedure="false">"A35064"</definedName>
    <definedName function="false" hidden="true" name="FDD_65_13" vbProcedure="false">"A35430"</definedName>
    <definedName function="false" hidden="true" name="FDD_65_14" vbProcedure="false">"A35795"</definedName>
    <definedName function="false" hidden="true" name="FDD_65_2" vbProcedure="false">"A31412"</definedName>
    <definedName function="false" hidden="true" name="FDD_65_3" vbProcedure="false">"A31777"</definedName>
    <definedName function="false" hidden="true" name="FDD_65_4" vbProcedure="false">"A32142"</definedName>
    <definedName function="false" hidden="true" name="FDD_65_5" vbProcedure="false">"A32508"</definedName>
    <definedName function="false" hidden="true" name="FDD_65_6" vbProcedure="false">"A32873"</definedName>
    <definedName function="false" hidden="true" name="FDD_65_7" vbProcedure="false">"A33238"</definedName>
    <definedName function="false" hidden="true" name="FDD_65_8" vbProcedure="false">"A33603"</definedName>
    <definedName function="false" hidden="true" name="FDD_65_9" vbProcedure="false">"A33969"</definedName>
    <definedName function="false" hidden="true" name="FDD_66_0" vbProcedure="false">"A30681"</definedName>
    <definedName function="false" hidden="true" name="FDD_66_1" vbProcedure="false">"A31047"</definedName>
    <definedName function="false" hidden="true" name="FDD_66_10" vbProcedure="false">"A34334"</definedName>
    <definedName function="false" hidden="true" name="FDD_66_11" vbProcedure="false">"A34699"</definedName>
    <definedName function="false" hidden="true" name="FDD_66_12" vbProcedure="false">"A35064"</definedName>
    <definedName function="false" hidden="true" name="FDD_66_13" vbProcedure="false">"A35430"</definedName>
    <definedName function="false" hidden="true" name="FDD_66_14" vbProcedure="false">"A35795"</definedName>
    <definedName function="false" hidden="true" name="FDD_66_2" vbProcedure="false">"A31412"</definedName>
    <definedName function="false" hidden="true" name="FDD_66_3" vbProcedure="false">"A31777"</definedName>
    <definedName function="false" hidden="true" name="FDD_66_4" vbProcedure="false">"A32142"</definedName>
    <definedName function="false" hidden="true" name="FDD_66_5" vbProcedure="false">"A32508"</definedName>
    <definedName function="false" hidden="true" name="FDD_66_6" vbProcedure="false">"A32873"</definedName>
    <definedName function="false" hidden="true" name="FDD_66_7" vbProcedure="false">"A33238"</definedName>
    <definedName function="false" hidden="true" name="FDD_66_8" vbProcedure="false">"A33603"</definedName>
    <definedName function="false" hidden="true" name="FDD_66_9" vbProcedure="false">"A33969"</definedName>
    <definedName function="false" hidden="true" name="FDD_67_0" vbProcedure="false">"A30681"</definedName>
    <definedName function="false" hidden="true" name="FDD_67_1" vbProcedure="false">"A31047"</definedName>
    <definedName function="false" hidden="true" name="FDD_67_10" vbProcedure="false">"A34334"</definedName>
    <definedName function="false" hidden="true" name="FDD_67_11" vbProcedure="false">"A34699"</definedName>
    <definedName function="false" hidden="true" name="FDD_67_12" vbProcedure="false">"A35064"</definedName>
    <definedName function="false" hidden="true" name="FDD_67_13" vbProcedure="false">"A35430"</definedName>
    <definedName function="false" hidden="true" name="FDD_67_14" vbProcedure="false">"A35795"</definedName>
    <definedName function="false" hidden="true" name="FDD_67_2" vbProcedure="false">"A31412"</definedName>
    <definedName function="false" hidden="true" name="FDD_67_3" vbProcedure="false">"A31777"</definedName>
    <definedName function="false" hidden="true" name="FDD_67_4" vbProcedure="false">"A32142"</definedName>
    <definedName function="false" hidden="true" name="FDD_67_5" vbProcedure="false">"A32508"</definedName>
    <definedName function="false" hidden="true" name="FDD_67_6" vbProcedure="false">"A32873"</definedName>
    <definedName function="false" hidden="true" name="FDD_67_7" vbProcedure="false">"A33238"</definedName>
    <definedName function="false" hidden="true" name="FDD_67_8" vbProcedure="false">"A33603"</definedName>
    <definedName function="false" hidden="true" name="FDD_67_9" vbProcedure="false">"A33969"</definedName>
    <definedName function="false" hidden="true" name="FDD_68_0" vbProcedure="false">"A30681"</definedName>
    <definedName function="false" hidden="true" name="FDD_68_1" vbProcedure="false">"A31047"</definedName>
    <definedName function="false" hidden="true" name="FDD_68_10" vbProcedure="false">"A34334"</definedName>
    <definedName function="false" hidden="true" name="FDD_68_11" vbProcedure="false">"A34699"</definedName>
    <definedName function="false" hidden="true" name="FDD_68_12" vbProcedure="false">"A35064"</definedName>
    <definedName function="false" hidden="true" name="FDD_68_13" vbProcedure="false">"A35430"</definedName>
    <definedName function="false" hidden="true" name="FDD_68_14" vbProcedure="false">"A35795"</definedName>
    <definedName function="false" hidden="true" name="FDD_68_2" vbProcedure="false">"A31412"</definedName>
    <definedName function="false" hidden="true" name="FDD_68_3" vbProcedure="false">"A31777"</definedName>
    <definedName function="false" hidden="true" name="FDD_68_4" vbProcedure="false">"A32142"</definedName>
    <definedName function="false" hidden="true" name="FDD_68_5" vbProcedure="false">"A32508"</definedName>
    <definedName function="false" hidden="true" name="FDD_68_6" vbProcedure="false">"A32873"</definedName>
    <definedName function="false" hidden="true" name="FDD_68_7" vbProcedure="false">"A33238"</definedName>
    <definedName function="false" hidden="true" name="FDD_68_8" vbProcedure="false">"A33603"</definedName>
    <definedName function="false" hidden="true" name="FDD_68_9" vbProcedure="false">"A33969"</definedName>
    <definedName function="false" hidden="true" name="FDD_69_0" vbProcedure="false">"U30681"</definedName>
    <definedName function="false" hidden="true" name="FDD_69_1" vbProcedure="false">"A31047"</definedName>
    <definedName function="false" hidden="true" name="FDD_69_10" vbProcedure="false">"A34334"</definedName>
    <definedName function="false" hidden="true" name="FDD_69_11" vbProcedure="false">"A34699"</definedName>
    <definedName function="false" hidden="true" name="FDD_69_12" vbProcedure="false">"A35064"</definedName>
    <definedName function="false" hidden="true" name="FDD_69_13" vbProcedure="false">"A35430"</definedName>
    <definedName function="false" hidden="true" name="FDD_69_14" vbProcedure="false">"A35795"</definedName>
    <definedName function="false" hidden="true" name="FDD_69_2" vbProcedure="false">"A31412"</definedName>
    <definedName function="false" hidden="true" name="FDD_69_3" vbProcedure="false">"A31777"</definedName>
    <definedName function="false" hidden="true" name="FDD_69_4" vbProcedure="false">"A32142"</definedName>
    <definedName function="false" hidden="true" name="FDD_69_5" vbProcedure="false">"A32508"</definedName>
    <definedName function="false" hidden="true" name="FDD_69_6" vbProcedure="false">"A32873"</definedName>
    <definedName function="false" hidden="true" name="FDD_69_7" vbProcedure="false">"A33238"</definedName>
    <definedName function="false" hidden="true" name="FDD_69_8" vbProcedure="false">"A33603"</definedName>
    <definedName function="false" hidden="true" name="FDD_69_9" vbProcedure="false">"A33969"</definedName>
    <definedName function="false" hidden="true" name="FDD_6_0" vbProcedure="false">"A25569"</definedName>
    <definedName function="false" hidden="true" name="FDD_70_0" vbProcedure="false">"A30681"</definedName>
    <definedName function="false" hidden="true" name="FDD_70_1" vbProcedure="false">"A31047"</definedName>
    <definedName function="false" hidden="true" name="FDD_70_10" vbProcedure="false">"A34334"</definedName>
    <definedName function="false" hidden="true" name="FDD_70_11" vbProcedure="false">"A34699"</definedName>
    <definedName function="false" hidden="true" name="FDD_70_12" vbProcedure="false">"A35064"</definedName>
    <definedName function="false" hidden="true" name="FDD_70_13" vbProcedure="false">"A35430"</definedName>
    <definedName function="false" hidden="true" name="FDD_70_14" vbProcedure="false">"A35795"</definedName>
    <definedName function="false" hidden="true" name="FDD_70_2" vbProcedure="false">"A31412"</definedName>
    <definedName function="false" hidden="true" name="FDD_70_3" vbProcedure="false">"A31777"</definedName>
    <definedName function="false" hidden="true" name="FDD_70_4" vbProcedure="false">"A32142"</definedName>
    <definedName function="false" hidden="true" name="FDD_70_5" vbProcedure="false">"A32508"</definedName>
    <definedName function="false" hidden="true" name="FDD_70_6" vbProcedure="false">"A32873"</definedName>
    <definedName function="false" hidden="true" name="FDD_70_7" vbProcedure="false">"A33238"</definedName>
    <definedName function="false" hidden="true" name="FDD_70_8" vbProcedure="false">"A33603"</definedName>
    <definedName function="false" hidden="true" name="FDD_70_9" vbProcedure="false">"A33969"</definedName>
    <definedName function="false" hidden="true" name="FDD_71_0" vbProcedure="false">"A30681"</definedName>
    <definedName function="false" hidden="true" name="FDD_71_1" vbProcedure="false">"A31047"</definedName>
    <definedName function="false" hidden="true" name="FDD_71_10" vbProcedure="false">"A34334"</definedName>
    <definedName function="false" hidden="true" name="FDD_71_11" vbProcedure="false">"A34699"</definedName>
    <definedName function="false" hidden="true" name="FDD_71_12" vbProcedure="false">"A35064"</definedName>
    <definedName function="false" hidden="true" name="FDD_71_13" vbProcedure="false">"A35430"</definedName>
    <definedName function="false" hidden="true" name="FDD_71_14" vbProcedure="false">"A35795"</definedName>
    <definedName function="false" hidden="true" name="FDD_71_2" vbProcedure="false">"A31412"</definedName>
    <definedName function="false" hidden="true" name="FDD_71_3" vbProcedure="false">"A31777"</definedName>
    <definedName function="false" hidden="true" name="FDD_71_4" vbProcedure="false">"A32142"</definedName>
    <definedName function="false" hidden="true" name="FDD_71_5" vbProcedure="false">"A32508"</definedName>
    <definedName function="false" hidden="true" name="FDD_71_6" vbProcedure="false">"A32873"</definedName>
    <definedName function="false" hidden="true" name="FDD_71_7" vbProcedure="false">"A33238"</definedName>
    <definedName function="false" hidden="true" name="FDD_71_8" vbProcedure="false">"A33603"</definedName>
    <definedName function="false" hidden="true" name="FDD_71_9" vbProcedure="false">"A33969"</definedName>
    <definedName function="false" hidden="true" name="FDD_72_0" vbProcedure="false">"A30681"</definedName>
    <definedName function="false" hidden="true" name="FDD_72_1" vbProcedure="false">"A31047"</definedName>
    <definedName function="false" hidden="true" name="FDD_72_10" vbProcedure="false">"A34334"</definedName>
    <definedName function="false" hidden="true" name="FDD_72_11" vbProcedure="false">"A34699"</definedName>
    <definedName function="false" hidden="true" name="FDD_72_12" vbProcedure="false">"A35064"</definedName>
    <definedName function="false" hidden="true" name="FDD_72_13" vbProcedure="false">"A35430"</definedName>
    <definedName function="false" hidden="true" name="FDD_72_14" vbProcedure="false">"A35795"</definedName>
    <definedName function="false" hidden="true" name="FDD_72_2" vbProcedure="false">"A31412"</definedName>
    <definedName function="false" hidden="true" name="FDD_72_3" vbProcedure="false">"A31777"</definedName>
    <definedName function="false" hidden="true" name="FDD_72_4" vbProcedure="false">"A32142"</definedName>
    <definedName function="false" hidden="true" name="FDD_72_5" vbProcedure="false">"A32508"</definedName>
    <definedName function="false" hidden="true" name="FDD_72_6" vbProcedure="false">"A32873"</definedName>
    <definedName function="false" hidden="true" name="FDD_72_7" vbProcedure="false">"A33238"</definedName>
    <definedName function="false" hidden="true" name="FDD_72_8" vbProcedure="false">"A33603"</definedName>
    <definedName function="false" hidden="true" name="FDD_72_9" vbProcedure="false">"A33969"</definedName>
    <definedName function="false" hidden="true" name="FDD_73_0" vbProcedure="false">"A30681"</definedName>
    <definedName function="false" hidden="true" name="FDD_73_1" vbProcedure="false">"A31047"</definedName>
    <definedName function="false" hidden="true" name="FDD_73_10" vbProcedure="false">"A34334"</definedName>
    <definedName function="false" hidden="true" name="FDD_73_11" vbProcedure="false">"A34699"</definedName>
    <definedName function="false" hidden="true" name="FDD_73_12" vbProcedure="false">"A35064"</definedName>
    <definedName function="false" hidden="true" name="FDD_73_13" vbProcedure="false">"A35430"</definedName>
    <definedName function="false" hidden="true" name="FDD_73_14" vbProcedure="false">"A35795"</definedName>
    <definedName function="false" hidden="true" name="FDD_73_2" vbProcedure="false">"A31412"</definedName>
    <definedName function="false" hidden="true" name="FDD_73_3" vbProcedure="false">"A31777"</definedName>
    <definedName function="false" hidden="true" name="FDD_73_4" vbProcedure="false">"A32142"</definedName>
    <definedName function="false" hidden="true" name="FDD_73_5" vbProcedure="false">"A32508"</definedName>
    <definedName function="false" hidden="true" name="FDD_73_6" vbProcedure="false">"A32873"</definedName>
    <definedName function="false" hidden="true" name="FDD_73_7" vbProcedure="false">"A33238"</definedName>
    <definedName function="false" hidden="true" name="FDD_73_8" vbProcedure="false">"A33603"</definedName>
    <definedName function="false" hidden="true" name="FDD_73_9" vbProcedure="false">"A33969"</definedName>
    <definedName function="false" hidden="true" name="FDD_74_0" vbProcedure="false">"A30681"</definedName>
    <definedName function="false" hidden="true" name="FDD_74_1" vbProcedure="false">"A31047"</definedName>
    <definedName function="false" hidden="true" name="FDD_74_10" vbProcedure="false">"A34334"</definedName>
    <definedName function="false" hidden="true" name="FDD_74_11" vbProcedure="false">"A34699"</definedName>
    <definedName function="false" hidden="true" name="FDD_74_12" vbProcedure="false">"A35064"</definedName>
    <definedName function="false" hidden="true" name="FDD_74_13" vbProcedure="false">"A35430"</definedName>
    <definedName function="false" hidden="true" name="FDD_74_14" vbProcedure="false">"A35795"</definedName>
    <definedName function="false" hidden="true" name="FDD_74_2" vbProcedure="false">"A31412"</definedName>
    <definedName function="false" hidden="true" name="FDD_74_3" vbProcedure="false">"A31777"</definedName>
    <definedName function="false" hidden="true" name="FDD_74_4" vbProcedure="false">"A32142"</definedName>
    <definedName function="false" hidden="true" name="FDD_74_5" vbProcedure="false">"A32508"</definedName>
    <definedName function="false" hidden="true" name="FDD_74_6" vbProcedure="false">"A32873"</definedName>
    <definedName function="false" hidden="true" name="FDD_74_7" vbProcedure="false">"A33238"</definedName>
    <definedName function="false" hidden="true" name="FDD_74_8" vbProcedure="false">"A33603"</definedName>
    <definedName function="false" hidden="true" name="FDD_74_9" vbProcedure="false">"A33969"</definedName>
    <definedName function="false" hidden="true" name="FDD_75_0" vbProcedure="false">"A30681"</definedName>
    <definedName function="false" hidden="true" name="FDD_75_1" vbProcedure="false">"A31047"</definedName>
    <definedName function="false" hidden="true" name="FDD_75_10" vbProcedure="false">"A34334"</definedName>
    <definedName function="false" hidden="true" name="FDD_75_11" vbProcedure="false">"A34699"</definedName>
    <definedName function="false" hidden="true" name="FDD_75_12" vbProcedure="false">"A35064"</definedName>
    <definedName function="false" hidden="true" name="FDD_75_13" vbProcedure="false">"A35430"</definedName>
    <definedName function="false" hidden="true" name="FDD_75_14" vbProcedure="false">"A35795"</definedName>
    <definedName function="false" hidden="true" name="FDD_75_2" vbProcedure="false">"A31412"</definedName>
    <definedName function="false" hidden="true" name="FDD_75_3" vbProcedure="false">"A31777"</definedName>
    <definedName function="false" hidden="true" name="FDD_75_4" vbProcedure="false">"A32142"</definedName>
    <definedName function="false" hidden="true" name="FDD_75_5" vbProcedure="false">"A32508"</definedName>
    <definedName function="false" hidden="true" name="FDD_75_6" vbProcedure="false">"A32873"</definedName>
    <definedName function="false" hidden="true" name="FDD_75_7" vbProcedure="false">"A33238"</definedName>
    <definedName function="false" hidden="true" name="FDD_75_8" vbProcedure="false">"A33603"</definedName>
    <definedName function="false" hidden="true" name="FDD_75_9" vbProcedure="false">"A33969"</definedName>
    <definedName function="false" hidden="true" name="FDD_76_0" vbProcedure="false">"A30681"</definedName>
    <definedName function="false" hidden="true" name="FDD_76_1" vbProcedure="false">"A31047"</definedName>
    <definedName function="false" hidden="true" name="FDD_76_10" vbProcedure="false">"A34334"</definedName>
    <definedName function="false" hidden="true" name="FDD_76_11" vbProcedure="false">"A34699"</definedName>
    <definedName function="false" hidden="true" name="FDD_76_12" vbProcedure="false">"A35064"</definedName>
    <definedName function="false" hidden="true" name="FDD_76_13" vbProcedure="false">"A35430"</definedName>
    <definedName function="false" hidden="true" name="FDD_76_14" vbProcedure="false">"A35795"</definedName>
    <definedName function="false" hidden="true" name="FDD_76_2" vbProcedure="false">"A31412"</definedName>
    <definedName function="false" hidden="true" name="FDD_76_3" vbProcedure="false">"A31777"</definedName>
    <definedName function="false" hidden="true" name="FDD_76_4" vbProcedure="false">"A32142"</definedName>
    <definedName function="false" hidden="true" name="FDD_76_5" vbProcedure="false">"A32508"</definedName>
    <definedName function="false" hidden="true" name="FDD_76_6" vbProcedure="false">"A32873"</definedName>
    <definedName function="false" hidden="true" name="FDD_76_7" vbProcedure="false">"A33238"</definedName>
    <definedName function="false" hidden="true" name="FDD_76_8" vbProcedure="false">"A33603"</definedName>
    <definedName function="false" hidden="true" name="FDD_76_9" vbProcedure="false">"A33969"</definedName>
    <definedName function="false" hidden="true" name="FDD_77_0" vbProcedure="false">"A30681"</definedName>
    <definedName function="false" hidden="true" name="FDD_77_1" vbProcedure="false">"A31047"</definedName>
    <definedName function="false" hidden="true" name="FDD_77_10" vbProcedure="false">"A34334"</definedName>
    <definedName function="false" hidden="true" name="FDD_77_11" vbProcedure="false">"A34699"</definedName>
    <definedName function="false" hidden="true" name="FDD_77_12" vbProcedure="false">"A35064"</definedName>
    <definedName function="false" hidden="true" name="FDD_77_13" vbProcedure="false">"A35430"</definedName>
    <definedName function="false" hidden="true" name="FDD_77_14" vbProcedure="false">"A35795"</definedName>
    <definedName function="false" hidden="true" name="FDD_77_2" vbProcedure="false">"A31412"</definedName>
    <definedName function="false" hidden="true" name="FDD_77_3" vbProcedure="false">"A31777"</definedName>
    <definedName function="false" hidden="true" name="FDD_77_4" vbProcedure="false">"A32142"</definedName>
    <definedName function="false" hidden="true" name="FDD_77_5" vbProcedure="false">"A32508"</definedName>
    <definedName function="false" hidden="true" name="FDD_77_6" vbProcedure="false">"A32873"</definedName>
    <definedName function="false" hidden="true" name="FDD_77_7" vbProcedure="false">"A33238"</definedName>
    <definedName function="false" hidden="true" name="FDD_77_8" vbProcedure="false">"A33603"</definedName>
    <definedName function="false" hidden="true" name="FDD_77_9" vbProcedure="false">"A33969"</definedName>
    <definedName function="false" hidden="true" name="FDD_78_0" vbProcedure="false">"A30681"</definedName>
    <definedName function="false" hidden="true" name="FDD_78_1" vbProcedure="false">"A31047"</definedName>
    <definedName function="false" hidden="true" name="FDD_78_10" vbProcedure="false">"A34334"</definedName>
    <definedName function="false" hidden="true" name="FDD_78_11" vbProcedure="false">"A34699"</definedName>
    <definedName function="false" hidden="true" name="FDD_78_12" vbProcedure="false">"A35064"</definedName>
    <definedName function="false" hidden="true" name="FDD_78_13" vbProcedure="false">"A35430"</definedName>
    <definedName function="false" hidden="true" name="FDD_78_14" vbProcedure="false">"A35795"</definedName>
    <definedName function="false" hidden="true" name="FDD_78_2" vbProcedure="false">"A31412"</definedName>
    <definedName function="false" hidden="true" name="FDD_78_3" vbProcedure="false">"A31777"</definedName>
    <definedName function="false" hidden="true" name="FDD_78_4" vbProcedure="false">"A32142"</definedName>
    <definedName function="false" hidden="true" name="FDD_78_5" vbProcedure="false">"A32508"</definedName>
    <definedName function="false" hidden="true" name="FDD_78_6" vbProcedure="false">"A32873"</definedName>
    <definedName function="false" hidden="true" name="FDD_78_7" vbProcedure="false">"A33238"</definedName>
    <definedName function="false" hidden="true" name="FDD_78_8" vbProcedure="false">"A33603"</definedName>
    <definedName function="false" hidden="true" name="FDD_78_9" vbProcedure="false">"A33969"</definedName>
    <definedName function="false" hidden="true" name="FDD_79_0" vbProcedure="false">"A30681"</definedName>
    <definedName function="false" hidden="true" name="FDD_79_1" vbProcedure="false">"A31047"</definedName>
    <definedName function="false" hidden="true" name="FDD_79_10" vbProcedure="false">"A34334"</definedName>
    <definedName function="false" hidden="true" name="FDD_79_11" vbProcedure="false">"A34699"</definedName>
    <definedName function="false" hidden="true" name="FDD_79_12" vbProcedure="false">"A35064"</definedName>
    <definedName function="false" hidden="true" name="FDD_79_13" vbProcedure="false">"A35430"</definedName>
    <definedName function="false" hidden="true" name="FDD_79_14" vbProcedure="false">"A35795"</definedName>
    <definedName function="false" hidden="true" name="FDD_79_2" vbProcedure="false">"A31412"</definedName>
    <definedName function="false" hidden="true" name="FDD_79_3" vbProcedure="false">"A31777"</definedName>
    <definedName function="false" hidden="true" name="FDD_79_4" vbProcedure="false">"A32142"</definedName>
    <definedName function="false" hidden="true" name="FDD_79_5" vbProcedure="false">"A32508"</definedName>
    <definedName function="false" hidden="true" name="FDD_79_6" vbProcedure="false">"A32873"</definedName>
    <definedName function="false" hidden="true" name="FDD_79_7" vbProcedure="false">"A33238"</definedName>
    <definedName function="false" hidden="true" name="FDD_79_8" vbProcedure="false">"A33603"</definedName>
    <definedName function="false" hidden="true" name="FDD_79_9" vbProcedure="false">"A33969"</definedName>
    <definedName function="false" hidden="true" name="FDD_7_0" vbProcedure="false">"A25569"</definedName>
    <definedName function="false" hidden="true" name="FDD_80_0" vbProcedure="false">"A30681"</definedName>
    <definedName function="false" hidden="true" name="FDD_80_1" vbProcedure="false">"A31047"</definedName>
    <definedName function="false" hidden="true" name="FDD_80_10" vbProcedure="false">"A34334"</definedName>
    <definedName function="false" hidden="true" name="FDD_80_11" vbProcedure="false">"A34699"</definedName>
    <definedName function="false" hidden="true" name="FDD_80_12" vbProcedure="false">"A35064"</definedName>
    <definedName function="false" hidden="true" name="FDD_80_13" vbProcedure="false">"A35430"</definedName>
    <definedName function="false" hidden="true" name="FDD_80_14" vbProcedure="false">"A35795"</definedName>
    <definedName function="false" hidden="true" name="FDD_80_2" vbProcedure="false">"A31412"</definedName>
    <definedName function="false" hidden="true" name="FDD_80_3" vbProcedure="false">"A31777"</definedName>
    <definedName function="false" hidden="true" name="FDD_80_4" vbProcedure="false">"A32142"</definedName>
    <definedName function="false" hidden="true" name="FDD_80_5" vbProcedure="false">"A32508"</definedName>
    <definedName function="false" hidden="true" name="FDD_80_6" vbProcedure="false">"A32873"</definedName>
    <definedName function="false" hidden="true" name="FDD_80_7" vbProcedure="false">"A33238"</definedName>
    <definedName function="false" hidden="true" name="FDD_80_8" vbProcedure="false">"A33603"</definedName>
    <definedName function="false" hidden="true" name="FDD_80_9" vbProcedure="false">"A33969"</definedName>
    <definedName function="false" hidden="true" name="FDD_81_0" vbProcedure="false">"A30681"</definedName>
    <definedName function="false" hidden="true" name="FDD_81_1" vbProcedure="false">"A31047"</definedName>
    <definedName function="false" hidden="true" name="FDD_81_10" vbProcedure="false">"A34334"</definedName>
    <definedName function="false" hidden="true" name="FDD_81_11" vbProcedure="false">"A34699"</definedName>
    <definedName function="false" hidden="true" name="FDD_81_12" vbProcedure="false">"A35064"</definedName>
    <definedName function="false" hidden="true" name="FDD_81_13" vbProcedure="false">"A35430"</definedName>
    <definedName function="false" hidden="true" name="FDD_81_14" vbProcedure="false">"A35795"</definedName>
    <definedName function="false" hidden="true" name="FDD_81_2" vbProcedure="false">"A31412"</definedName>
    <definedName function="false" hidden="true" name="FDD_81_3" vbProcedure="false">"A31777"</definedName>
    <definedName function="false" hidden="true" name="FDD_81_4" vbProcedure="false">"A32142"</definedName>
    <definedName function="false" hidden="true" name="FDD_81_5" vbProcedure="false">"A32508"</definedName>
    <definedName function="false" hidden="true" name="FDD_81_6" vbProcedure="false">"A32873"</definedName>
    <definedName function="false" hidden="true" name="FDD_81_7" vbProcedure="false">"A33238"</definedName>
    <definedName function="false" hidden="true" name="FDD_81_8" vbProcedure="false">"A33603"</definedName>
    <definedName function="false" hidden="true" name="FDD_81_9" vbProcedure="false">"A33969"</definedName>
    <definedName function="false" hidden="true" name="FDD_82_0" vbProcedure="false">"A30681"</definedName>
    <definedName function="false" hidden="true" name="FDD_82_1" vbProcedure="false">"A31047"</definedName>
    <definedName function="false" hidden="true" name="FDD_82_10" vbProcedure="false">"A34334"</definedName>
    <definedName function="false" hidden="true" name="FDD_82_11" vbProcedure="false">"A34699"</definedName>
    <definedName function="false" hidden="true" name="FDD_82_12" vbProcedure="false">"A35064"</definedName>
    <definedName function="false" hidden="true" name="FDD_82_13" vbProcedure="false">"A35430"</definedName>
    <definedName function="false" hidden="true" name="FDD_82_14" vbProcedure="false">"A35795"</definedName>
    <definedName function="false" hidden="true" name="FDD_82_2" vbProcedure="false">"A31412"</definedName>
    <definedName function="false" hidden="true" name="FDD_82_3" vbProcedure="false">"A31777"</definedName>
    <definedName function="false" hidden="true" name="FDD_82_4" vbProcedure="false">"A32142"</definedName>
    <definedName function="false" hidden="true" name="FDD_82_5" vbProcedure="false">"A32508"</definedName>
    <definedName function="false" hidden="true" name="FDD_82_6" vbProcedure="false">"A32873"</definedName>
    <definedName function="false" hidden="true" name="FDD_82_7" vbProcedure="false">"A33238"</definedName>
    <definedName function="false" hidden="true" name="FDD_82_8" vbProcedure="false">"A33603"</definedName>
    <definedName function="false" hidden="true" name="FDD_82_9" vbProcedure="false">"A33969"</definedName>
    <definedName function="false" hidden="true" name="FDD_83_0" vbProcedure="false">"A30681"</definedName>
    <definedName function="false" hidden="true" name="FDD_83_1" vbProcedure="false">"A31047"</definedName>
    <definedName function="false" hidden="true" name="FDD_83_10" vbProcedure="false">"A34334"</definedName>
    <definedName function="false" hidden="true" name="FDD_83_11" vbProcedure="false">"A34699"</definedName>
    <definedName function="false" hidden="true" name="FDD_83_12" vbProcedure="false">"A35064"</definedName>
    <definedName function="false" hidden="true" name="FDD_83_13" vbProcedure="false">"A35430"</definedName>
    <definedName function="false" hidden="true" name="FDD_83_14" vbProcedure="false">"A35795"</definedName>
    <definedName function="false" hidden="true" name="FDD_83_2" vbProcedure="false">"A31412"</definedName>
    <definedName function="false" hidden="true" name="FDD_83_3" vbProcedure="false">"A31777"</definedName>
    <definedName function="false" hidden="true" name="FDD_83_4" vbProcedure="false">"A32142"</definedName>
    <definedName function="false" hidden="true" name="FDD_83_5" vbProcedure="false">"A32508"</definedName>
    <definedName function="false" hidden="true" name="FDD_83_6" vbProcedure="false">"A32873"</definedName>
    <definedName function="false" hidden="true" name="FDD_83_7" vbProcedure="false">"A33238"</definedName>
    <definedName function="false" hidden="true" name="FDD_83_8" vbProcedure="false">"A33603"</definedName>
    <definedName function="false" hidden="true" name="FDD_83_9" vbProcedure="false">"A33969"</definedName>
    <definedName function="false" hidden="true" name="FDD_84_0" vbProcedure="false">"A30681"</definedName>
    <definedName function="false" hidden="true" name="FDD_84_1" vbProcedure="false">"A31047"</definedName>
    <definedName function="false" hidden="true" name="FDD_84_10" vbProcedure="false">"A34334"</definedName>
    <definedName function="false" hidden="true" name="FDD_84_11" vbProcedure="false">"A34699"</definedName>
    <definedName function="false" hidden="true" name="FDD_84_12" vbProcedure="false">"A35064"</definedName>
    <definedName function="false" hidden="true" name="FDD_84_13" vbProcedure="false">"A35430"</definedName>
    <definedName function="false" hidden="true" name="FDD_84_14" vbProcedure="false">"A35795"</definedName>
    <definedName function="false" hidden="true" name="FDD_84_2" vbProcedure="false">"A31412"</definedName>
    <definedName function="false" hidden="true" name="FDD_84_3" vbProcedure="false">"A31777"</definedName>
    <definedName function="false" hidden="true" name="FDD_84_4" vbProcedure="false">"A32142"</definedName>
    <definedName function="false" hidden="true" name="FDD_84_5" vbProcedure="false">"A32508"</definedName>
    <definedName function="false" hidden="true" name="FDD_84_6" vbProcedure="false">"A32873"</definedName>
    <definedName function="false" hidden="true" name="FDD_84_7" vbProcedure="false">"A33238"</definedName>
    <definedName function="false" hidden="true" name="FDD_84_8" vbProcedure="false">"A33603"</definedName>
    <definedName function="false" hidden="true" name="FDD_84_9" vbProcedure="false">"A33969"</definedName>
    <definedName function="false" hidden="true" name="FDD_85_0" vbProcedure="false">"A30681"</definedName>
    <definedName function="false" hidden="true" name="FDD_85_1" vbProcedure="false">"A31047"</definedName>
    <definedName function="false" hidden="true" name="FDD_85_10" vbProcedure="false">"A34334"</definedName>
    <definedName function="false" hidden="true" name="FDD_85_11" vbProcedure="false">"A34699"</definedName>
    <definedName function="false" hidden="true" name="FDD_85_12" vbProcedure="false">"A35064"</definedName>
    <definedName function="false" hidden="true" name="FDD_85_13" vbProcedure="false">"A35430"</definedName>
    <definedName function="false" hidden="true" name="FDD_85_14" vbProcedure="false">"A35795"</definedName>
    <definedName function="false" hidden="true" name="FDD_85_2" vbProcedure="false">"A31412"</definedName>
    <definedName function="false" hidden="true" name="FDD_85_3" vbProcedure="false">"A31777"</definedName>
    <definedName function="false" hidden="true" name="FDD_85_4" vbProcedure="false">"A32142"</definedName>
    <definedName function="false" hidden="true" name="FDD_85_5" vbProcedure="false">"A32508"</definedName>
    <definedName function="false" hidden="true" name="FDD_85_6" vbProcedure="false">"A32873"</definedName>
    <definedName function="false" hidden="true" name="FDD_85_7" vbProcedure="false">"A33238"</definedName>
    <definedName function="false" hidden="true" name="FDD_85_8" vbProcedure="false">"A33603"</definedName>
    <definedName function="false" hidden="true" name="FDD_85_9" vbProcedure="false">"A33969"</definedName>
    <definedName function="false" hidden="true" name="FDD_86_0" vbProcedure="false">"A30681"</definedName>
    <definedName function="false" hidden="true" name="FDD_86_1" vbProcedure="false">"A31047"</definedName>
    <definedName function="false" hidden="true" name="FDD_86_10" vbProcedure="false">"A34334"</definedName>
    <definedName function="false" hidden="true" name="FDD_86_11" vbProcedure="false">"A34699"</definedName>
    <definedName function="false" hidden="true" name="FDD_86_12" vbProcedure="false">"A35064"</definedName>
    <definedName function="false" hidden="true" name="FDD_86_13" vbProcedure="false">"A35430"</definedName>
    <definedName function="false" hidden="true" name="FDD_86_14" vbProcedure="false">"A35795"</definedName>
    <definedName function="false" hidden="true" name="FDD_86_2" vbProcedure="false">"A31412"</definedName>
    <definedName function="false" hidden="true" name="FDD_86_3" vbProcedure="false">"A31777"</definedName>
    <definedName function="false" hidden="true" name="FDD_86_4" vbProcedure="false">"A32142"</definedName>
    <definedName function="false" hidden="true" name="FDD_86_5" vbProcedure="false">"A32508"</definedName>
    <definedName function="false" hidden="true" name="FDD_86_6" vbProcedure="false">"A32873"</definedName>
    <definedName function="false" hidden="true" name="FDD_86_7" vbProcedure="false">"A33238"</definedName>
    <definedName function="false" hidden="true" name="FDD_86_8" vbProcedure="false">"A33603"</definedName>
    <definedName function="false" hidden="true" name="FDD_86_9" vbProcedure="false">"A33969"</definedName>
    <definedName function="false" hidden="true" name="FDD_87_0" vbProcedure="false">"A30681"</definedName>
    <definedName function="false" hidden="true" name="FDD_87_1" vbProcedure="false">"A31047"</definedName>
    <definedName function="false" hidden="true" name="FDD_87_10" vbProcedure="false">"A34334"</definedName>
    <definedName function="false" hidden="true" name="FDD_87_11" vbProcedure="false">"A34699"</definedName>
    <definedName function="false" hidden="true" name="FDD_87_12" vbProcedure="false">"A35064"</definedName>
    <definedName function="false" hidden="true" name="FDD_87_13" vbProcedure="false">"A35430"</definedName>
    <definedName function="false" hidden="true" name="FDD_87_14" vbProcedure="false">"A35795"</definedName>
    <definedName function="false" hidden="true" name="FDD_87_2" vbProcedure="false">"A31412"</definedName>
    <definedName function="false" hidden="true" name="FDD_87_3" vbProcedure="false">"A31777"</definedName>
    <definedName function="false" hidden="true" name="FDD_87_4" vbProcedure="false">"A32142"</definedName>
    <definedName function="false" hidden="true" name="FDD_87_5" vbProcedure="false">"A32508"</definedName>
    <definedName function="false" hidden="true" name="FDD_87_6" vbProcedure="false">"A32873"</definedName>
    <definedName function="false" hidden="true" name="FDD_87_7" vbProcedure="false">"A33238"</definedName>
    <definedName function="false" hidden="true" name="FDD_87_8" vbProcedure="false">"A33603"</definedName>
    <definedName function="false" hidden="true" name="FDD_87_9" vbProcedure="false">"A33969"</definedName>
    <definedName function="false" hidden="true" name="FDD_88_0" vbProcedure="false">"A30681"</definedName>
    <definedName function="false" hidden="true" name="FDD_88_1" vbProcedure="false">"A31047"</definedName>
    <definedName function="false" hidden="true" name="FDD_88_10" vbProcedure="false">"A34334"</definedName>
    <definedName function="false" hidden="true" name="FDD_88_11" vbProcedure="false">"A34699"</definedName>
    <definedName function="false" hidden="true" name="FDD_88_12" vbProcedure="false">"A35064"</definedName>
    <definedName function="false" hidden="true" name="FDD_88_13" vbProcedure="false">"A35430"</definedName>
    <definedName function="false" hidden="true" name="FDD_88_14" vbProcedure="false">"A35795"</definedName>
    <definedName function="false" hidden="true" name="FDD_88_2" vbProcedure="false">"A31412"</definedName>
    <definedName function="false" hidden="true" name="FDD_88_3" vbProcedure="false">"A31777"</definedName>
    <definedName function="false" hidden="true" name="FDD_88_4" vbProcedure="false">"A32142"</definedName>
    <definedName function="false" hidden="true" name="FDD_88_5" vbProcedure="false">"A32508"</definedName>
    <definedName function="false" hidden="true" name="FDD_88_6" vbProcedure="false">"A32873"</definedName>
    <definedName function="false" hidden="true" name="FDD_88_7" vbProcedure="false">"A33238"</definedName>
    <definedName function="false" hidden="true" name="FDD_88_8" vbProcedure="false">"A33603"</definedName>
    <definedName function="false" hidden="true" name="FDD_88_9" vbProcedure="false">"A33969"</definedName>
    <definedName function="false" hidden="true" name="FDD_89_0" vbProcedure="false">"A30681"</definedName>
    <definedName function="false" hidden="true" name="FDD_89_1" vbProcedure="false">"A31047"</definedName>
    <definedName function="false" hidden="true" name="FDD_89_10" vbProcedure="false">"A34334"</definedName>
    <definedName function="false" hidden="true" name="FDD_89_11" vbProcedure="false">"A34699"</definedName>
    <definedName function="false" hidden="true" name="FDD_89_12" vbProcedure="false">"A35064"</definedName>
    <definedName function="false" hidden="true" name="FDD_89_13" vbProcedure="false">"A35430"</definedName>
    <definedName function="false" hidden="true" name="FDD_89_14" vbProcedure="false">"A35795"</definedName>
    <definedName function="false" hidden="true" name="FDD_89_2" vbProcedure="false">"A31412"</definedName>
    <definedName function="false" hidden="true" name="FDD_89_3" vbProcedure="false">"A31777"</definedName>
    <definedName function="false" hidden="true" name="FDD_89_4" vbProcedure="false">"A32142"</definedName>
    <definedName function="false" hidden="true" name="FDD_89_5" vbProcedure="false">"A32508"</definedName>
    <definedName function="false" hidden="true" name="FDD_89_6" vbProcedure="false">"A32873"</definedName>
    <definedName function="false" hidden="true" name="FDD_89_7" vbProcedure="false">"A33238"</definedName>
    <definedName function="false" hidden="true" name="FDD_89_8" vbProcedure="false">"A33603"</definedName>
    <definedName function="false" hidden="true" name="FDD_89_9" vbProcedure="false">"A33969"</definedName>
    <definedName function="false" hidden="true" name="FDD_8_0" vbProcedure="false">"A25569"</definedName>
    <definedName function="false" hidden="true" name="FDD_90_0" vbProcedure="false">"A30681"</definedName>
    <definedName function="false" hidden="true" name="FDD_90_1" vbProcedure="false">"A31047"</definedName>
    <definedName function="false" hidden="true" name="FDD_90_10" vbProcedure="false">"A34334"</definedName>
    <definedName function="false" hidden="true" name="FDD_90_11" vbProcedure="false">"A34699"</definedName>
    <definedName function="false" hidden="true" name="FDD_90_12" vbProcedure="false">"A35064"</definedName>
    <definedName function="false" hidden="true" name="FDD_90_13" vbProcedure="false">"A35430"</definedName>
    <definedName function="false" hidden="true" name="FDD_90_14" vbProcedure="false">"A35795"</definedName>
    <definedName function="false" hidden="true" name="FDD_90_2" vbProcedure="false">"A31412"</definedName>
    <definedName function="false" hidden="true" name="FDD_90_3" vbProcedure="false">"A31777"</definedName>
    <definedName function="false" hidden="true" name="FDD_90_4" vbProcedure="false">"A32142"</definedName>
    <definedName function="false" hidden="true" name="FDD_90_5" vbProcedure="false">"A32508"</definedName>
    <definedName function="false" hidden="true" name="FDD_90_6" vbProcedure="false">"A32873"</definedName>
    <definedName function="false" hidden="true" name="FDD_90_7" vbProcedure="false">"A33238"</definedName>
    <definedName function="false" hidden="true" name="FDD_90_8" vbProcedure="false">"A33603"</definedName>
    <definedName function="false" hidden="true" name="FDD_90_9" vbProcedure="false">"A33969"</definedName>
    <definedName function="false" hidden="true" name="FDD_91_0" vbProcedure="false">"A30681"</definedName>
    <definedName function="false" hidden="true" name="FDD_91_1" vbProcedure="false">"A31047"</definedName>
    <definedName function="false" hidden="true" name="FDD_91_10" vbProcedure="false">"A34334"</definedName>
    <definedName function="false" hidden="true" name="FDD_91_11" vbProcedure="false">"A34699"</definedName>
    <definedName function="false" hidden="true" name="FDD_91_12" vbProcedure="false">"A35064"</definedName>
    <definedName function="false" hidden="true" name="FDD_91_13" vbProcedure="false">"A35430"</definedName>
    <definedName function="false" hidden="true" name="FDD_91_14" vbProcedure="false">"A35795"</definedName>
    <definedName function="false" hidden="true" name="FDD_91_2" vbProcedure="false">"A31412"</definedName>
    <definedName function="false" hidden="true" name="FDD_91_3" vbProcedure="false">"A31777"</definedName>
    <definedName function="false" hidden="true" name="FDD_91_4" vbProcedure="false">"A32142"</definedName>
    <definedName function="false" hidden="true" name="FDD_91_5" vbProcedure="false">"A32508"</definedName>
    <definedName function="false" hidden="true" name="FDD_91_6" vbProcedure="false">"A32873"</definedName>
    <definedName function="false" hidden="true" name="FDD_91_7" vbProcedure="false">"A33238"</definedName>
    <definedName function="false" hidden="true" name="FDD_91_8" vbProcedure="false">"A33603"</definedName>
    <definedName function="false" hidden="true" name="FDD_91_9" vbProcedure="false">"A33969"</definedName>
    <definedName function="false" hidden="true" name="FDD_92_0" vbProcedure="false">"A30681"</definedName>
    <definedName function="false" hidden="true" name="FDD_92_1" vbProcedure="false">"A31047"</definedName>
    <definedName function="false" hidden="true" name="FDD_92_10" vbProcedure="false">"A34334"</definedName>
    <definedName function="false" hidden="true" name="FDD_92_11" vbProcedure="false">"A34699"</definedName>
    <definedName function="false" hidden="true" name="FDD_92_12" vbProcedure="false">"A35064"</definedName>
    <definedName function="false" hidden="true" name="FDD_92_13" vbProcedure="false">"A35430"</definedName>
    <definedName function="false" hidden="true" name="FDD_92_14" vbProcedure="false">"A35795"</definedName>
    <definedName function="false" hidden="true" name="FDD_92_2" vbProcedure="false">"A31412"</definedName>
    <definedName function="false" hidden="true" name="FDD_92_3" vbProcedure="false">"A31777"</definedName>
    <definedName function="false" hidden="true" name="FDD_92_4" vbProcedure="false">"A32142"</definedName>
    <definedName function="false" hidden="true" name="FDD_92_5" vbProcedure="false">"A32508"</definedName>
    <definedName function="false" hidden="true" name="FDD_92_6" vbProcedure="false">"A32873"</definedName>
    <definedName function="false" hidden="true" name="FDD_92_7" vbProcedure="false">"A33238"</definedName>
    <definedName function="false" hidden="true" name="FDD_92_8" vbProcedure="false">"A33603"</definedName>
    <definedName function="false" hidden="true" name="FDD_92_9" vbProcedure="false">"A33969"</definedName>
    <definedName function="false" hidden="true" name="FDD_93_0" vbProcedure="false">"A30681"</definedName>
    <definedName function="false" hidden="true" name="FDD_93_1" vbProcedure="false">"A31047"</definedName>
    <definedName function="false" hidden="true" name="FDD_93_10" vbProcedure="false">"A34334"</definedName>
    <definedName function="false" hidden="true" name="FDD_93_11" vbProcedure="false">"A34699"</definedName>
    <definedName function="false" hidden="true" name="FDD_93_12" vbProcedure="false">"A35064"</definedName>
    <definedName function="false" hidden="true" name="FDD_93_13" vbProcedure="false">"A35430"</definedName>
    <definedName function="false" hidden="true" name="FDD_93_14" vbProcedure="false">"A35795"</definedName>
    <definedName function="false" hidden="true" name="FDD_93_2" vbProcedure="false">"A31412"</definedName>
    <definedName function="false" hidden="true" name="FDD_93_3" vbProcedure="false">"A31777"</definedName>
    <definedName function="false" hidden="true" name="FDD_93_4" vbProcedure="false">"A32142"</definedName>
    <definedName function="false" hidden="true" name="FDD_93_5" vbProcedure="false">"A32508"</definedName>
    <definedName function="false" hidden="true" name="FDD_93_6" vbProcedure="false">"A32873"</definedName>
    <definedName function="false" hidden="true" name="FDD_93_7" vbProcedure="false">"A33238"</definedName>
    <definedName function="false" hidden="true" name="FDD_93_8" vbProcedure="false">"A33603"</definedName>
    <definedName function="false" hidden="true" name="FDD_93_9" vbProcedure="false">"A33969"</definedName>
    <definedName function="false" hidden="true" name="FDD_94_0" vbProcedure="false">"A30681"</definedName>
    <definedName function="false" hidden="true" name="FDD_94_1" vbProcedure="false">"A31047"</definedName>
    <definedName function="false" hidden="true" name="FDD_94_10" vbProcedure="false">"A34334"</definedName>
    <definedName function="false" hidden="true" name="FDD_94_11" vbProcedure="false">"A34699"</definedName>
    <definedName function="false" hidden="true" name="FDD_94_12" vbProcedure="false">"A35064"</definedName>
    <definedName function="false" hidden="true" name="FDD_94_13" vbProcedure="false">"A35430"</definedName>
    <definedName function="false" hidden="true" name="FDD_94_14" vbProcedure="false">"A35795"</definedName>
    <definedName function="false" hidden="true" name="FDD_94_2" vbProcedure="false">"A31412"</definedName>
    <definedName function="false" hidden="true" name="FDD_94_3" vbProcedure="false">"A31777"</definedName>
    <definedName function="false" hidden="true" name="FDD_94_4" vbProcedure="false">"A32142"</definedName>
    <definedName function="false" hidden="true" name="FDD_94_5" vbProcedure="false">"A32508"</definedName>
    <definedName function="false" hidden="true" name="FDD_94_6" vbProcedure="false">"A32873"</definedName>
    <definedName function="false" hidden="true" name="FDD_94_7" vbProcedure="false">"A33238"</definedName>
    <definedName function="false" hidden="true" name="FDD_94_8" vbProcedure="false">"A33603"</definedName>
    <definedName function="false" hidden="true" name="FDD_94_9" vbProcedure="false">"A33969"</definedName>
    <definedName function="false" hidden="true" name="FDD_95_0" vbProcedure="false">"A30681"</definedName>
    <definedName function="false" hidden="true" name="FDD_95_1" vbProcedure="false">"A31047"</definedName>
    <definedName function="false" hidden="true" name="FDD_95_10" vbProcedure="false">"A34334"</definedName>
    <definedName function="false" hidden="true" name="FDD_95_11" vbProcedure="false">"A34699"</definedName>
    <definedName function="false" hidden="true" name="FDD_95_12" vbProcedure="false">"A35064"</definedName>
    <definedName function="false" hidden="true" name="FDD_95_13" vbProcedure="false">"A35430"</definedName>
    <definedName function="false" hidden="true" name="FDD_95_14" vbProcedure="false">"A35795"</definedName>
    <definedName function="false" hidden="true" name="FDD_95_2" vbProcedure="false">"A31412"</definedName>
    <definedName function="false" hidden="true" name="FDD_95_3" vbProcedure="false">"A31777"</definedName>
    <definedName function="false" hidden="true" name="FDD_95_4" vbProcedure="false">"A32142"</definedName>
    <definedName function="false" hidden="true" name="FDD_95_5" vbProcedure="false">"A32508"</definedName>
    <definedName function="false" hidden="true" name="FDD_95_6" vbProcedure="false">"A32873"</definedName>
    <definedName function="false" hidden="true" name="FDD_95_7" vbProcedure="false">"A33238"</definedName>
    <definedName function="false" hidden="true" name="FDD_95_8" vbProcedure="false">"A33603"</definedName>
    <definedName function="false" hidden="true" name="FDD_95_9" vbProcedure="false">"A33969"</definedName>
    <definedName function="false" hidden="true" name="FDD_96_0" vbProcedure="false">"U30681"</definedName>
    <definedName function="false" hidden="true" name="FDD_96_1" vbProcedure="false">"A31047"</definedName>
    <definedName function="false" hidden="true" name="FDD_96_10" vbProcedure="false">"A34334"</definedName>
    <definedName function="false" hidden="true" name="FDD_96_11" vbProcedure="false">"A34699"</definedName>
    <definedName function="false" hidden="true" name="FDD_96_12" vbProcedure="false">"A35064"</definedName>
    <definedName function="false" hidden="true" name="FDD_96_13" vbProcedure="false">"A35430"</definedName>
    <definedName function="false" hidden="true" name="FDD_96_14" vbProcedure="false">"A35795"</definedName>
    <definedName function="false" hidden="true" name="FDD_96_2" vbProcedure="false">"A31412"</definedName>
    <definedName function="false" hidden="true" name="FDD_96_3" vbProcedure="false">"A31777"</definedName>
    <definedName function="false" hidden="true" name="FDD_96_4" vbProcedure="false">"A32142"</definedName>
    <definedName function="false" hidden="true" name="FDD_96_5" vbProcedure="false">"A32508"</definedName>
    <definedName function="false" hidden="true" name="FDD_96_6" vbProcedure="false">"A32873"</definedName>
    <definedName function="false" hidden="true" name="FDD_96_7" vbProcedure="false">"A33238"</definedName>
    <definedName function="false" hidden="true" name="FDD_96_8" vbProcedure="false">"A33603"</definedName>
    <definedName function="false" hidden="true" name="FDD_96_9" vbProcedure="false">"A33969"</definedName>
    <definedName function="false" hidden="true" name="FDD_97_0" vbProcedure="false">"U30681"</definedName>
    <definedName function="false" hidden="true" name="FDD_97_1" vbProcedure="false">"A31047"</definedName>
    <definedName function="false" hidden="true" name="FDD_97_10" vbProcedure="false">"A34334"</definedName>
    <definedName function="false" hidden="true" name="FDD_97_11" vbProcedure="false">"A34699"</definedName>
    <definedName function="false" hidden="true" name="FDD_97_12" vbProcedure="false">"A35064"</definedName>
    <definedName function="false" hidden="true" name="FDD_97_13" vbProcedure="false">"A35430"</definedName>
    <definedName function="false" hidden="true" name="FDD_97_14" vbProcedure="false">"A35795"</definedName>
    <definedName function="false" hidden="true" name="FDD_97_2" vbProcedure="false">"A31412"</definedName>
    <definedName function="false" hidden="true" name="FDD_97_3" vbProcedure="false">"A31777"</definedName>
    <definedName function="false" hidden="true" name="FDD_97_4" vbProcedure="false">"A32142"</definedName>
    <definedName function="false" hidden="true" name="FDD_97_5" vbProcedure="false">"A32508"</definedName>
    <definedName function="false" hidden="true" name="FDD_97_6" vbProcedure="false">"A32873"</definedName>
    <definedName function="false" hidden="true" name="FDD_97_7" vbProcedure="false">"A33238"</definedName>
    <definedName function="false" hidden="true" name="FDD_97_8" vbProcedure="false">"A33603"</definedName>
    <definedName function="false" hidden="true" name="FDD_97_9" vbProcedure="false">"A33969"</definedName>
    <definedName function="false" hidden="true" name="FDD_98_0" vbProcedure="false">"U30681"</definedName>
    <definedName function="false" hidden="true" name="FDD_98_1" vbProcedure="false">"A31047"</definedName>
    <definedName function="false" hidden="true" name="FDD_98_10" vbProcedure="false">"A34334"</definedName>
    <definedName function="false" hidden="true" name="FDD_98_11" vbProcedure="false">"A34699"</definedName>
    <definedName function="false" hidden="true" name="FDD_98_12" vbProcedure="false">"A35064"</definedName>
    <definedName function="false" hidden="true" name="FDD_98_13" vbProcedure="false">"A35430"</definedName>
    <definedName function="false" hidden="true" name="FDD_98_14" vbProcedure="false">"A35795"</definedName>
    <definedName function="false" hidden="true" name="FDD_98_2" vbProcedure="false">"A31412"</definedName>
    <definedName function="false" hidden="true" name="FDD_98_3" vbProcedure="false">"A31777"</definedName>
    <definedName function="false" hidden="true" name="FDD_98_4" vbProcedure="false">"A32142"</definedName>
    <definedName function="false" hidden="true" name="FDD_98_5" vbProcedure="false">"A32508"</definedName>
    <definedName function="false" hidden="true" name="FDD_98_6" vbProcedure="false">"A32873"</definedName>
    <definedName function="false" hidden="true" name="FDD_98_7" vbProcedure="false">"A33238"</definedName>
    <definedName function="false" hidden="true" name="FDD_98_8" vbProcedure="false">"A33603"</definedName>
    <definedName function="false" hidden="true" name="FDD_98_9" vbProcedure="false">"A33969"</definedName>
    <definedName function="false" hidden="true" name="FDD_99_0" vbProcedure="false">"U30681"</definedName>
    <definedName function="false" hidden="true" name="FDD_99_1" vbProcedure="false">"A31047"</definedName>
    <definedName function="false" hidden="true" name="FDD_99_10" vbProcedure="false">"A34334"</definedName>
    <definedName function="false" hidden="true" name="FDD_99_11" vbProcedure="false">"A34699"</definedName>
    <definedName function="false" hidden="true" name="FDD_99_12" vbProcedure="false">"A35064"</definedName>
    <definedName function="false" hidden="true" name="FDD_99_13" vbProcedure="false">"A35430"</definedName>
    <definedName function="false" hidden="true" name="FDD_99_14" vbProcedure="false">"A35795"</definedName>
    <definedName function="false" hidden="true" name="FDD_99_2" vbProcedure="false">"A31412"</definedName>
    <definedName function="false" hidden="true" name="FDD_99_3" vbProcedure="false">"A31777"</definedName>
    <definedName function="false" hidden="true" name="FDD_99_4" vbProcedure="false">"A32142"</definedName>
    <definedName function="false" hidden="true" name="FDD_99_5" vbProcedure="false">"A32508"</definedName>
    <definedName function="false" hidden="true" name="FDD_99_6" vbProcedure="false">"A32873"</definedName>
    <definedName function="false" hidden="true" name="FDD_99_7" vbProcedure="false">"A33238"</definedName>
    <definedName function="false" hidden="true" name="FDD_99_8" vbProcedure="false">"A33603"</definedName>
    <definedName function="false" hidden="true" name="FDD_99_9" vbProcedure="false">"A33969"</definedName>
    <definedName function="false" hidden="true" name="FDD_9_0" vbProcedure="false">"A25569"</definedName>
    <definedName function="false" hidden="false" name="FGTS" vbProcedure="false">'[15]Provisões Trabalhistas'!$F$5</definedName>
    <definedName function="false" hidden="false" name="FGTS_REAL" vbProcedure="false">#REF!</definedName>
    <definedName function="false" hidden="false" name="FGTS_SIMPLES" vbProcedure="false">#REF!</definedName>
    <definedName function="false" hidden="false" name="fomento" vbProcedure="false">'[4]00- Premissas'!$C$28</definedName>
    <definedName function="false" hidden="true" name="fresfg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fresfg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name="Fretesvendas" vbProcedure="false">'[4]00- Premissas'!$C$20</definedName>
    <definedName function="false" hidden="true" name="f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name="Header_Row" vbProcedure="false">ROW('[16]Calculadora de empréstimo'!$A$15:$XFD$15)</definedName>
    <definedName function="false" hidden="false" name="hhhhh" vbProcedure="false">#REF!</definedName>
    <definedName function="false" hidden="true" name="HTML1_1" vbProcedure="false">"[ReturnsHistorical]Sheet1!$A$1:$D$77"</definedName>
    <definedName function="false" hidden="true" name="HTML1_10" vbProcedure="false">""</definedName>
    <definedName function="false" hidden="true" name="HTML1_11" vbProcedure="false">1</definedName>
    <definedName function="false" hidden="true" name="HTML1_12" vbProcedure="false">"Zip 100:New_Home_Page:datafile:histret.html"</definedName>
    <definedName function="false" hidden="true" name="HTML1_2" vbProcedure="false">1</definedName>
    <definedName function="false" hidden="true" name="HTML1_3" vbProcedure="false">"ReturnsHistorical"</definedName>
    <definedName function="false" hidden="true" name="HTML1_4" vbProcedure="false">"Historical Returns on Stocks, Bonds and Bills"</definedName>
    <definedName function="false" hidden="true" name="HTML1_5" vbProcedure="false">"Ibbotson Data"</definedName>
    <definedName function="false" hidden="true" name="HTML1_6" vbProcedure="false">-4146</definedName>
    <definedName function="false" hidden="true" name="HTML1_7" vbProcedure="false">-4146</definedName>
    <definedName function="false" hidden="true" name="HTML1_8" vbProcedure="false">"3/17/97"</definedName>
    <definedName function="false" hidden="true" name="HTML1_9" vbProcedure="false">"Aswath Damodaran"</definedName>
    <definedName function="false" hidden="true" name="HTML2_1" vbProcedure="false">"[histret.xls]Sheet1!$A$1:$G$85"</definedName>
    <definedName function="false" hidden="true" name="HTML2_10" vbProcedure="false">""</definedName>
    <definedName function="false" hidden="true" name="HTML2_11" vbProcedure="false">1</definedName>
    <definedName function="false" hidden="true" name="HTML2_12" vbProcedure="false">"Macintosh HD:New_Home_Page:datafile:histret.html"</definedName>
    <definedName function="false" hidden="true" name="HTML2_2" vbProcedure="false">1</definedName>
    <definedName function="false" hidden="true" name="HTML2_3" vbProcedure="false">"Historical Returns"</definedName>
    <definedName function="false" hidden="true" name="HTML2_4" vbProcedure="false">"Historical Returns on Stocks, Bonds and Bills"</definedName>
    <definedName function="false" hidden="true" name="HTML2_5" vbProcedure="false">""</definedName>
    <definedName function="false" hidden="true" name="HTML2_6" vbProcedure="false">1</definedName>
    <definedName function="false" hidden="true" name="HTML2_7" vbProcedure="false">1</definedName>
    <definedName function="false" hidden="true" name="HTML2_8" vbProcedure="false">"2/3/98"</definedName>
    <definedName function="false" hidden="true" name="HTML2_9" vbProcedure="false">"Aswath Damodaran"</definedName>
    <definedName function="false" hidden="true" name="HTMLCount" vbProcedure="false">2</definedName>
    <definedName function="false" hidden="true" name="HTML_CodePage" vbProcedure="false">1252</definedName>
    <definedName function="false" hidden="true" name="HTML_Description" vbProcedure="false">""</definedName>
    <definedName function="false" hidden="true" name="HTML_Email" vbProcedure="false">""</definedName>
    <definedName function="false" hidden="true" name="HTML_Header" vbProcedure="false">"Country Risk Premiums"</definedName>
    <definedName function="false" hidden="true" name="HTML_LastUpdate" vbProcedure="false">"2/19/99"</definedName>
    <definedName function="false" hidden="true" name="HTML_LineAfter" vbProcedure="false">TRUE()</definedName>
    <definedName function="false" hidden="true" name="HTML_LineBefore" vbProcedure="false">TRUE()</definedName>
    <definedName function="false" hidden="true" name="HTML_Name" vbProcedure="false">"Aswath Damodaran"</definedName>
    <definedName function="false" hidden="true" name="HTML_OBDlg2" vbProcedure="false">TRUE()</definedName>
    <definedName function="false" hidden="true" name="HTML_OBDlg4" vbProcedure="false">TRUE()</definedName>
    <definedName function="false" hidden="true" name="HTML_OS" vbProcedure="false">1</definedName>
    <definedName function="false" hidden="true" name="HTML_PathFileMac" vbProcedure="false">"Macintosh HD:HomePageStuff:New_Home_Page:datafile:ctryprem.html"</definedName>
    <definedName function="false" hidden="true" name="HTML_Title" vbProcedure="false">"Country Risk Premiums"</definedName>
    <definedName function="false" hidden="false" name="ICMS" vbProcedure="false">#REF!</definedName>
    <definedName function="false" hidden="false" name="Impostos" vbProcedure="false">'[4]00- Premissas'!$C$15</definedName>
    <definedName function="false" hidden="false" name="inflação" vbProcedure="false">'[4]00- Premissas'!$C$12</definedName>
    <definedName function="false" hidden="false" name="INSS" vbProcedure="false">'[15]Provisões Trabalhistas'!$G$5</definedName>
    <definedName function="false" hidden="false" name="INSSFAT" vbProcedure="false">'[17]Percentual de Impostos Doctor'!$D$9</definedName>
    <definedName function="false" hidden="false" name="INSS_REAL" vbProcedure="false">#REF!</definedName>
    <definedName function="false" hidden="false" name="INSS_SIMPLES" vbProcedure="false">#REF!</definedName>
    <definedName function="false" hidden="false" name="Interest_Rate" vbProcedure="false">'[16]Calculadora de empréstimo'!$E$5</definedName>
    <definedName function="false" hidden="false" name="IPVACAM" vbProcedure="false">[9]Parâmetros!$C$6</definedName>
    <definedName function="false" hidden="true" name="IQ_1_4_FAMILY_JUNIOR_LIENS_CHARGE_OFFS_FDIC" vbProcedure="false">"c6605"</definedName>
    <definedName function="false" hidden="true" name="IQ_1_4_FAMILY_JUNIOR_LIENS_NET_CHARGE_OFFS_FDIC" vbProcedure="false">"c6643"</definedName>
    <definedName function="false" hidden="true" name="IQ_1_4_FAMILY_JUNIOR_LIENS_RECOVERIES_FDIC" vbProcedure="false">"c6624"</definedName>
    <definedName function="false" hidden="true" name="IQ_1_4_FAMILY_SENIOR_LIENS_CHARGE_OFFS_FDIC" vbProcedure="false">"c6604"</definedName>
    <definedName function="false" hidden="true" name="IQ_1_4_FAMILY_SENIOR_LIENS_NET_CHARGE_OFFS_FDIC" vbProcedure="false">"c6642"</definedName>
    <definedName function="false" hidden="true" name="IQ_1_4_FAMILY_SENIOR_LIENS_RECOVERIES_FDIC" vbProcedure="false">"c6623"</definedName>
    <definedName function="false" hidden="true" name="IQ_1_4_HOME_EQUITY_NET_LOANS_FDIC" vbProcedure="false">"c6441"</definedName>
    <definedName function="false" hidden="true" name="IQ_1_4_RESIDENTIAL_FIRST_LIENS_NET_LOANS_FDIC" vbProcedure="false">"c6439"</definedName>
    <definedName function="false" hidden="true" name="IQ_1_4_RESIDENTIAL_JUNIOR_LIENS_NET_LOANS_FDIC" vbProcedure="false">"c6440"</definedName>
    <definedName function="false" hidden="true" name="IQ_1_4_RESIDENTIAL_LOANS_FDIC" vbProcedure="false">"c6310"</definedName>
    <definedName function="false" hidden="true" name="IQ_ACCOUNTING_STANDARD" vbProcedure="false">"c4539"</definedName>
    <definedName function="false" hidden="true" name="IQ_ACCOUNTING_STANDARD_CIQ" vbProcedure="false">"c5092"</definedName>
    <definedName function="false" hidden="true" name="IQ_ACCOUNTS_PAY" vbProcedure="false">"c1343"</definedName>
    <definedName function="false" hidden="true" name="IQ_ACCOUNT_CHANGE" vbProcedure="false">"c1449"</definedName>
    <definedName function="false" hidden="true" name="IQ_ACCRUED_EXP" vbProcedure="false">"c1341"</definedName>
    <definedName function="false" hidden="true" name="IQ_ACCR_INT_PAY" vbProcedure="false">"c1"</definedName>
    <definedName function="false" hidden="true" name="IQ_ACCR_INT_PAY_CF" vbProcedure="false">"c2"</definedName>
    <definedName function="false" hidden="true" name="IQ_ACCR_INT_RECEIV" vbProcedure="false">"c3"</definedName>
    <definedName function="false" hidden="true" name="IQ_ACCR_INT_RECEIV_CF" vbProcedure="false">"c4"</definedName>
    <definedName function="false" hidden="true" name="IQ_ACCT_RECV_10YR_ANN_CAGR" vbProcedure="false">"c6159"</definedName>
    <definedName function="false" hidden="true" name="IQ_ACCT_RECV_10YR_ANN_GROWTH" vbProcedure="false">"c1924"</definedName>
    <definedName function="false" hidden="true" name="IQ_ACCT_RECV_1YR_ANN_GROWTH" vbProcedure="false">"c1919"</definedName>
    <definedName function="false" hidden="true" name="IQ_ACCT_RECV_2YR_ANN_CAGR" vbProcedure="false">"c6155"</definedName>
    <definedName function="false" hidden="true" name="IQ_ACCT_RECV_2YR_ANN_GROWTH" vbProcedure="false">"c1920"</definedName>
    <definedName function="false" hidden="true" name="IQ_ACCT_RECV_3YR_ANN_CAGR" vbProcedure="false">"c6156"</definedName>
    <definedName function="false" hidden="true" name="IQ_ACCT_RECV_3YR_ANN_GROWTH" vbProcedure="false">"c1921"</definedName>
    <definedName function="false" hidden="true" name="IQ_ACCT_RECV_5YR_ANN_CAGR" vbProcedure="false">"c6157"</definedName>
    <definedName function="false" hidden="true" name="IQ_ACCT_RECV_5YR_ANN_GROWTH" vbProcedure="false">"c1922"</definedName>
    <definedName function="false" hidden="true" name="IQ_ACCT_RECV_7YR_ANN_CAGR" vbProcedure="false">"c6158"</definedName>
    <definedName function="false" hidden="true" name="IQ_ACCT_RECV_7YR_ANN_GROWTH" vbProcedure="false">"c1923"</definedName>
    <definedName function="false" hidden="true" name="IQ_ACCUMULATED_PENSION_OBLIGATION" vbProcedure="false">"c2244"</definedName>
    <definedName function="false" hidden="true" name="IQ_ACCUMULATED_PENSION_OBLIGATION_DOMESTIC" vbProcedure="false">"c2657"</definedName>
    <definedName function="false" hidden="true" name="IQ_ACCUMULATED_PENSION_OBLIGATION_FOREIGN" vbProcedure="false">"c2665"</definedName>
    <definedName function="false" hidden="true" name="IQ_ACCUM_DEP" vbProcedure="false">"c1340"</definedName>
    <definedName function="false" hidden="true" name="IQ_ACQUIRED_BY_REPORTING_BANK_FDIC" vbProcedure="false">"c6535"</definedName>
    <definedName function="false" hidden="true" name="IQ_ACQUIRE_REAL_ESTATE_CF" vbProcedure="false">"c6"</definedName>
    <definedName function="false" hidden="true" name="IQ_ACQUISITION_RE_ASSETS" vbProcedure="false">"c1628"</definedName>
    <definedName function="false" hidden="true" name="IQ_ACQ_COSTS_CAPITALIZED" vbProcedure="false">"c5"</definedName>
    <definedName function="false" hidden="true" name="IQ_ACQ_COST_SUB" vbProcedure="false">"c2125"</definedName>
    <definedName function="false" hidden="true" name="IQ_AD" vbProcedure="false">"c7"</definedName>
    <definedName function="false" hidden="true" name="IQ_ADDIN" vbProcedure="false">"AUTO"</definedName>
    <definedName function="false" hidden="true" name="IQ_ADDITIONAL_NON_INT_INC_FDIC" vbProcedure="false">"c6574"</definedName>
    <definedName function="false" hidden="true" name="IQ_ADD_PAID_IN" vbProcedure="false">"c1344"</definedName>
    <definedName function="false" hidden="true" name="IQ_ADJUSTABLE_RATE_LOANS_FDIC" vbProcedure="false">"c6375"</definedName>
    <definedName function="false" hidden="true" name="IQ_ADJ_AVG_BANK_ASSETS" vbProcedure="false">"c2671"</definedName>
    <definedName function="false" hidden="true" name="IQ_ADMIN_RATIO" vbProcedure="false">"c2784"</definedName>
    <definedName function="false" hidden="true" name="IQ_ADVERTISING" vbProcedure="false">"c2246"</definedName>
    <definedName function="false" hidden="true" name="IQ_ADVERTISING_MARKETING" vbProcedure="false">"c1566"</definedName>
    <definedName function="false" hidden="true" name="IQ_AE" vbProcedure="false">"c8"</definedName>
    <definedName function="false" hidden="true" name="IQ_AE_BNK" vbProcedure="false">"c9"</definedName>
    <definedName function="false" hidden="true" name="IQ_AE_BR" vbProcedure="false">"c10"</definedName>
    <definedName function="false" hidden="true" name="IQ_AE_FIN" vbProcedure="false">"c11"</definedName>
    <definedName function="false" hidden="true" name="IQ_AE_INS" vbProcedure="false">"c12"</definedName>
    <definedName function="false" hidden="true" name="IQ_AE_RE" vbProcedure="false">"c6195"</definedName>
    <definedName function="false" hidden="true" name="IQ_AE_REIT" vbProcedure="false">"c13"</definedName>
    <definedName function="false" hidden="true" name="IQ_AE_UTI" vbProcedure="false">"c14"</definedName>
    <definedName function="false" hidden="true" name="IQ_AFTER_TAX_INCOME_FDIC" vbProcedure="false">"c6583"</definedName>
    <definedName function="false" hidden="true" name="IQ_AGRICULTURAL_PRODUCTION_CHARGE_OFFS_FDIC" vbProcedure="false">"c6597"</definedName>
    <definedName function="false" hidden="true" name="IQ_AGRICULTURAL_PRODUCTION_CHARGE_OFFS_LESS_THAN_300M_FDIC" vbProcedure="false">"c6655"</definedName>
    <definedName function="false" hidden="true" name="IQ_AGRICULTURAL_PRODUCTION_NET_CHARGE_OFFS_FDIC" vbProcedure="false">"c6635"</definedName>
    <definedName function="false" hidden="true" name="IQ_AGRICULTURAL_PRODUCTION_NET_CHARGE_OFFS_LESS_THAN_300M_FDIC" vbProcedure="false">"c6657"</definedName>
    <definedName function="false" hidden="true" name="IQ_AGRICULTURAL_PRODUCTION_RECOVERIES_FDIC" vbProcedure="false">"c6616"</definedName>
    <definedName function="false" hidden="true" name="IQ_AGRICULTURAL_PRODUCTION_RECOVERIES_LESS_THAN_300M_FDIC" vbProcedure="false">"c6656"</definedName>
    <definedName function="false" hidden="true" name="IQ_AH_EARNED" vbProcedure="false">"c2744"</definedName>
    <definedName function="false" hidden="true" name="IQ_AH_POLICY_BENEFITS_EXP" vbProcedure="false">"c2789"</definedName>
    <definedName function="false" hidden="true" name="IQ_AIR_AIRPLANES_NOT_IN_SERVICE" vbProcedure="false">"c2842"</definedName>
    <definedName function="false" hidden="true" name="IQ_AIR_AIRPLANES_SUBLEASED" vbProcedure="false">"c2841"</definedName>
    <definedName function="false" hidden="true" name="IQ_AIR_ASK" vbProcedure="false">"c2813"</definedName>
    <definedName function="false" hidden="true" name="IQ_AIR_ASK_INCREASE" vbProcedure="false">"c2826"</definedName>
    <definedName function="false" hidden="true" name="IQ_AIR_ASM" vbProcedure="false">"c2812"</definedName>
    <definedName function="false" hidden="true" name="IQ_AIR_ASM_INCREASE" vbProcedure="false">"c2825"</definedName>
    <definedName function="false" hidden="true" name="IQ_AIR_AVG_AGE" vbProcedure="false">"c2843"</definedName>
    <definedName function="false" hidden="true" name="IQ_AIR_BREAK_EVEN_FACTOR" vbProcedure="false">"c2822"</definedName>
    <definedName function="false" hidden="true" name="IQ_AIR_CAPITAL_LEASE" vbProcedure="false">"c2833"</definedName>
    <definedName function="false" hidden="true" name="IQ_AIR_COMPLETION_FACTOR" vbProcedure="false">"c2824"</definedName>
    <definedName function="false" hidden="true" name="IQ_AIR_ENPLANED_PSGRS" vbProcedure="false">"c2809"</definedName>
    <definedName function="false" hidden="true" name="IQ_AIR_FUEL_CONSUMED" vbProcedure="false">"c2806"</definedName>
    <definedName function="false" hidden="true" name="IQ_AIR_FUEL_CONSUMED_L" vbProcedure="false">"c2807"</definedName>
    <definedName function="false" hidden="true" name="IQ_AIR_FUEL_COST" vbProcedure="false">"c2803"</definedName>
    <definedName function="false" hidden="true" name="IQ_AIR_FUEL_COST_L" vbProcedure="false">"c2804"</definedName>
    <definedName function="false" hidden="true" name="IQ_AIR_FUEL_EXP" vbProcedure="false">"c2802"</definedName>
    <definedName function="false" hidden="true" name="IQ_AIR_FUEL_EXP_PERCENT" vbProcedure="false">"c2805"</definedName>
    <definedName function="false" hidden="true" name="IQ_AIR_LEASED" vbProcedure="false">"c2835"</definedName>
    <definedName function="false" hidden="true" name="IQ_AIR_LOAD_FACTOR" vbProcedure="false">"c2823"</definedName>
    <definedName function="false" hidden="true" name="IQ_AIR_NEW_AIRPLANES" vbProcedure="false">"c2839"</definedName>
    <definedName function="false" hidden="true" name="IQ_AIR_OPER_EXP_ASK" vbProcedure="false">"c2821"</definedName>
    <definedName function="false" hidden="true" name="IQ_AIR_OPER_EXP_ASM" vbProcedure="false">"c2820"</definedName>
    <definedName function="false" hidden="true" name="IQ_AIR_OPER_LEASE" vbProcedure="false">"c2834"</definedName>
    <definedName function="false" hidden="true" name="IQ_AIR_OPER_REV_YIELD_ASK" vbProcedure="false">"c2819"</definedName>
    <definedName function="false" hidden="true" name="IQ_AIR_OPER_REV_YIELD_ASM" vbProcedure="false">"c2818"</definedName>
    <definedName function="false" hidden="true" name="IQ_AIR_OPTIONS" vbProcedure="false">"c2837"</definedName>
    <definedName function="false" hidden="true" name="IQ_AIR_ORDERS" vbProcedure="false">"c2836"</definedName>
    <definedName function="false" hidden="true" name="IQ_AIR_OWNED" vbProcedure="false">"c2832"</definedName>
    <definedName function="false" hidden="true" name="IQ_AIR_PSGR_REV_YIELD_ASK" vbProcedure="false">"c2817"</definedName>
    <definedName function="false" hidden="true" name="IQ_AIR_PSGR_REV_YIELD_ASM" vbProcedure="false">"c2816"</definedName>
    <definedName function="false" hidden="true" name="IQ_AIR_PSGR_REV_YIELD_RPK" vbProcedure="false">"c2815"</definedName>
    <definedName function="false" hidden="true" name="IQ_AIR_PSGR_REV_YIELD_RPM" vbProcedure="false">"c2814"</definedName>
    <definedName function="false" hidden="true" name="IQ_AIR_PURCHASE_RIGHTS" vbProcedure="false">"c2838"</definedName>
    <definedName function="false" hidden="true" name="IQ_AIR_RETIRED_AIRPLANES" vbProcedure="false">"c2840"</definedName>
    <definedName function="false" hidden="true" name="IQ_AIR_REV_PSGRS_CARRIED" vbProcedure="false">"c2808"</definedName>
    <definedName function="false" hidden="true" name="IQ_AIR_REV_SCHEDULED_SERVICE" vbProcedure="false">"c2830"</definedName>
    <definedName function="false" hidden="true" name="IQ_AIR_RPK" vbProcedure="false">"c2811"</definedName>
    <definedName function="false" hidden="true" name="IQ_AIR_RPM" vbProcedure="false">"c2810"</definedName>
    <definedName function="false" hidden="true" name="IQ_AIR_STAGE_LENGTH" vbProcedure="false">"c2828"</definedName>
    <definedName function="false" hidden="true" name="IQ_AIR_STAGE_LENGTH_KM" vbProcedure="false">"c2829"</definedName>
    <definedName function="false" hidden="true" name="IQ_AIR_TOTAL" vbProcedure="false">"c2831"</definedName>
    <definedName function="false" hidden="true" name="IQ_AIR_UTILIZATION" vbProcedure="false">"c2827"</definedName>
    <definedName function="false" hidden="true" name="IQ_ALLOWANCE_10YR_ANN_CAGR" vbProcedure="false">"c6035"</definedName>
    <definedName function="false" hidden="true" name="IQ_ALLOWANCE_10YR_ANN_GROWTH" vbProcedure="false">"c18"</definedName>
    <definedName function="false" hidden="true" name="IQ_ALLOWANCE_1YR_ANN_GROWTH" vbProcedure="false">"c19"</definedName>
    <definedName function="false" hidden="true" name="IQ_ALLOWANCE_2YR_ANN_CAGR" vbProcedure="false">"c6036"</definedName>
    <definedName function="false" hidden="true" name="IQ_ALLOWANCE_2YR_ANN_GROWTH" vbProcedure="false">"c20"</definedName>
    <definedName function="false" hidden="true" name="IQ_ALLOWANCE_3YR_ANN_CAGR" vbProcedure="false">"c6037"</definedName>
    <definedName function="false" hidden="true" name="IQ_ALLOWANCE_3YR_ANN_GROWTH" vbProcedure="false">"c21"</definedName>
    <definedName function="false" hidden="true" name="IQ_ALLOWANCE_5YR_ANN_CAGR" vbProcedure="false">"c6038"</definedName>
    <definedName function="false" hidden="true" name="IQ_ALLOWANCE_5YR_ANN_GROWTH" vbProcedure="false">"c22"</definedName>
    <definedName function="false" hidden="true" name="IQ_ALLOWANCE_7YR_ANN_CAGR" vbProcedure="false">"c6039"</definedName>
    <definedName function="false" hidden="true" name="IQ_ALLOWANCE_7YR_ANN_GROWTH" vbProcedure="false">"c23"</definedName>
    <definedName function="false" hidden="true" name="IQ_ALLOWANCE_CHARGE_OFFS" vbProcedure="false">"c24"</definedName>
    <definedName function="false" hidden="true" name="IQ_ALLOWANCE_NON_PERF_LOANS" vbProcedure="false">"c25"</definedName>
    <definedName function="false" hidden="true" name="IQ_ALLOWANCE_TOTAL_LOANS" vbProcedure="false">"c26"</definedName>
    <definedName function="false" hidden="true" name="IQ_ALLOW_BORROW_CONST" vbProcedure="false">"c15"</definedName>
    <definedName function="false" hidden="true" name="IQ_ALLOW_CONST" vbProcedure="false">"c1342"</definedName>
    <definedName function="false" hidden="true" name="IQ_ALLOW_DOUBT_ACCT" vbProcedure="false">"c2092"</definedName>
    <definedName function="false" hidden="true" name="IQ_ALLOW_EQUITY_CONST" vbProcedure="false">"c16"</definedName>
    <definedName function="false" hidden="true" name="IQ_ALLOW_LL" vbProcedure="false">"c17"</definedName>
    <definedName function="false" hidden="true" name="IQ_AMENDED_BALANCE_PREVIOUS_YR_FDIC" vbProcedure="false">"c6499"</definedName>
    <definedName function="false" hidden="true" name="IQ_AMORTIZATION" vbProcedure="false">"c1591"</definedName>
    <definedName function="false" hidden="true" name="IQ_AMORTIZED_COST_FDIC" vbProcedure="false">"c6426"</definedName>
    <definedName function="false" hidden="true" name="IQ_AMORT_EXPENSE_FDIC" vbProcedure="false">"c6677"</definedName>
    <definedName function="false" hidden="true" name="IQ_AMT_OUT" vbProcedure="false">"c2145"</definedName>
    <definedName function="false" hidden="true" name="IQ_ANNUALIZED_DIVIDEND" vbProcedure="false">"c1579"</definedName>
    <definedName function="false" hidden="true" name="IQ_ANNUITY_LIAB" vbProcedure="false">"c27"</definedName>
    <definedName function="false" hidden="true" name="IQ_ANNUITY_PAY" vbProcedure="false">"c28"</definedName>
    <definedName function="false" hidden="true" name="IQ_ANNUITY_POLICY_EXP" vbProcedure="false">"c29"</definedName>
    <definedName function="false" hidden="true" name="IQ_ANNUITY_REC" vbProcedure="false">"c30"</definedName>
    <definedName function="false" hidden="true" name="IQ_ANNUITY_REV" vbProcedure="false">"c31"</definedName>
    <definedName function="false" hidden="true" name="IQ_ANNU_DISTRIBUTION_UNIT" vbProcedure="false">"c3004"</definedName>
    <definedName function="false" hidden="true" name="IQ_AP" vbProcedure="false">"c32"</definedName>
    <definedName function="false" hidden="true" name="IQ_APIC" vbProcedure="false">"c39"</definedName>
    <definedName function="false" hidden="true" name="IQ_AP_BNK" vbProcedure="false">"c33"</definedName>
    <definedName function="false" hidden="true" name="IQ_AP_BR" vbProcedure="false">"c34"</definedName>
    <definedName function="false" hidden="true" name="IQ_AP_FIN" vbProcedure="false">"c35"</definedName>
    <definedName function="false" hidden="true" name="IQ_AP_INS" vbProcedure="false">"c36"</definedName>
    <definedName function="false" hidden="true" name="IQ_AP_RE" vbProcedure="false">"c6196"</definedName>
    <definedName function="false" hidden="true" name="IQ_AP_REIT" vbProcedure="false">"c37"</definedName>
    <definedName function="false" hidden="true" name="IQ_AP_UTI" vbProcedure="false">"c38"</definedName>
    <definedName function="false" hidden="true" name="IQ_AR" vbProcedure="false">"c40"</definedName>
    <definedName function="false" hidden="true" name="IQ_ARPU" vbProcedure="false">"c2126"</definedName>
    <definedName function="false" hidden="true" name="IQ_AR_BR" vbProcedure="false">"c41"</definedName>
    <definedName function="false" hidden="true" name="IQ_AR_LT" vbProcedure="false">"c42"</definedName>
    <definedName function="false" hidden="true" name="IQ_AR_RE" vbProcedure="false">"c6197"</definedName>
    <definedName function="false" hidden="true" name="IQ_AR_REIT" vbProcedure="false">"c43"</definedName>
    <definedName function="false" hidden="true" name="IQ_AR_TURNS" vbProcedure="false">"c44"</definedName>
    <definedName function="false" hidden="true" name="IQ_AR_UTI" vbProcedure="false">"c45"</definedName>
    <definedName function="false" hidden="true" name="IQ_ASSETS_CAP_LEASE_DEPR" vbProcedure="false">"c2068"</definedName>
    <definedName function="false" hidden="true" name="IQ_ASSETS_CAP_LEASE_GROSS" vbProcedure="false">"c2069"</definedName>
    <definedName function="false" hidden="true" name="IQ_ASSETS_HELD_FDIC" vbProcedure="false">"c6305"</definedName>
    <definedName function="false" hidden="true" name="IQ_ASSETS_OPER_LEASE_DEPR" vbProcedure="false">"c2070"</definedName>
    <definedName function="false" hidden="true" name="IQ_ASSETS_OPER_LEASE_GROSS" vbProcedure="false">"c2071"</definedName>
    <definedName function="false" hidden="true" name="IQ_ASSETS_PER_EMPLOYEE_FDIC" vbProcedure="false">"c6737"</definedName>
    <definedName function="false" hidden="true" name="IQ_ASSETS_SOLD_1_4_FAMILY_LOANS_FDIC" vbProcedure="false">"c6686"</definedName>
    <definedName function="false" hidden="true" name="IQ_ASSETS_SOLD_AUTO_LOANS_FDIC" vbProcedure="false">"c6680"</definedName>
    <definedName function="false" hidden="true" name="IQ_ASSETS_SOLD_CL_LOANS_FDIC" vbProcedure="false">"c6681"</definedName>
    <definedName function="false" hidden="true" name="IQ_ASSETS_SOLD_CREDIT_CARDS_RECEIVABLES_FDIC" vbProcedure="false">"c6683"</definedName>
    <definedName function="false" hidden="true" name="IQ_ASSETS_SOLD_HOME_EQUITY_LINES_FDIC" vbProcedure="false">"c6684"</definedName>
    <definedName function="false" hidden="true" name="IQ_ASSETS_SOLD_OTHER_CONSUMER_LOANS_FDIC" vbProcedure="false">"c6682"</definedName>
    <definedName function="false" hidden="true" name="IQ_ASSETS_SOLD_OTHER_LOANS_FDIC" vbProcedure="false">"c6685"</definedName>
    <definedName function="false" hidden="true" name="IQ_ASSET_BACKED_FDIC" vbProcedure="false">"c6301"</definedName>
    <definedName function="false" hidden="true" name="IQ_ASSET_MGMT_FEE" vbProcedure="false">"c46"</definedName>
    <definedName function="false" hidden="true" name="IQ_ASSET_TURNS" vbProcedure="false">"c47"</definedName>
    <definedName function="false" hidden="true" name="IQ_ASSET_WRITEDOWN" vbProcedure="false">"c48"</definedName>
    <definedName function="false" hidden="true" name="IQ_ASSET_WRITEDOWN_BNK" vbProcedure="false">"c49"</definedName>
    <definedName function="false" hidden="true" name="IQ_ASSET_WRITEDOWN_BR" vbProcedure="false">"c50"</definedName>
    <definedName function="false" hidden="true" name="IQ_ASSET_WRITEDOWN_CF" vbProcedure="false">"c51"</definedName>
    <definedName function="false" hidden="true" name="IQ_ASSET_WRITEDOWN_CF_BNK" vbProcedure="false">"c52"</definedName>
    <definedName function="false" hidden="true" name="IQ_ASSET_WRITEDOWN_CF_BR" vbProcedure="false">"c53"</definedName>
    <definedName function="false" hidden="true" name="IQ_ASSET_WRITEDOWN_CF_FIN" vbProcedure="false">"c54"</definedName>
    <definedName function="false" hidden="true" name="IQ_ASSET_WRITEDOWN_CF_INS" vbProcedure="false">"c55"</definedName>
    <definedName function="false" hidden="true" name="IQ_ASSET_WRITEDOWN_CF_RE" vbProcedure="false">"c6198"</definedName>
    <definedName function="false" hidden="true" name="IQ_ASSET_WRITEDOWN_CF_REIT" vbProcedure="false">"c56"</definedName>
    <definedName function="false" hidden="true" name="IQ_ASSET_WRITEDOWN_CF_UTI" vbProcedure="false">"c57"</definedName>
    <definedName function="false" hidden="true" name="IQ_ASSET_WRITEDOWN_FIN" vbProcedure="false">"c58"</definedName>
    <definedName function="false" hidden="true" name="IQ_ASSET_WRITEDOWN_INS" vbProcedure="false">"c59"</definedName>
    <definedName function="false" hidden="true" name="IQ_ASSET_WRITEDOWN_RE" vbProcedure="false">"c6199"</definedName>
    <definedName function="false" hidden="true" name="IQ_ASSET_WRITEDOWN_REIT" vbProcedure="false">"c60"</definedName>
    <definedName function="false" hidden="true" name="IQ_ASSET_WRITEDOWN_UTI" vbProcedure="false">"c61"</definedName>
    <definedName function="false" hidden="true" name="IQ_ASSUMED_AH_EARNED" vbProcedure="false">"c2741"</definedName>
    <definedName function="false" hidden="true" name="IQ_ASSUMED_EARNED" vbProcedure="false">"c2731"</definedName>
    <definedName function="false" hidden="true" name="IQ_ASSUMED_LIFE_EARNED" vbProcedure="false">"c2736"</definedName>
    <definedName function="false" hidden="true" name="IQ_ASSUMED_LIFE_IN_FORCE" vbProcedure="false">"c2766"</definedName>
    <definedName function="false" hidden="true" name="IQ_ASSUMED_PC_EARNED" vbProcedure="false">"c2746"</definedName>
    <definedName function="false" hidden="true" name="IQ_ASSUMED_WRITTEN" vbProcedure="false">"c2725"</definedName>
    <definedName function="false" hidden="true" name="IQ_AUDITOR_NAME" vbProcedure="false">"c1539"</definedName>
    <definedName function="false" hidden="true" name="IQ_AUDITOR_OPINION" vbProcedure="false">"c1540"</definedName>
    <definedName function="false" hidden="true" name="IQ_AUTO_WRITTEN" vbProcedure="false">"c62"</definedName>
    <definedName function="false" hidden="true" name="IQ_AVAILABLE_FOR_SALE_FDIC" vbProcedure="false">"c6409"</definedName>
    <definedName function="false" hidden="true" name="IQ_AVERAGE_ASSETS_FDIC" vbProcedure="false">"c6362"</definedName>
    <definedName function="false" hidden="true" name="IQ_AVERAGE_ASSETS_QUART_FDIC" vbProcedure="false">"c6363"</definedName>
    <definedName function="false" hidden="true" name="IQ_AVERAGE_EARNING_ASSETS_FDIC" vbProcedure="false">"c6748"</definedName>
    <definedName function="false" hidden="true" name="IQ_AVERAGE_EQUITY_FDIC" vbProcedure="false">"c6749"</definedName>
    <definedName function="false" hidden="true" name="IQ_AVERAGE_LOANS_FDIC" vbProcedure="false">"c6750"</definedName>
    <definedName function="false" hidden="true" name="IQ_AVG_BANK_ASSETS" vbProcedure="false">"c2072"</definedName>
    <definedName function="false" hidden="true" name="IQ_AVG_BANK_LOANS" vbProcedure="false">"c2073"</definedName>
    <definedName function="false" hidden="true" name="IQ_AVG_BROKER_REC" vbProcedure="false">"c63"</definedName>
    <definedName function="false" hidden="true" name="IQ_AVG_BROKER_REC_CIQ" vbProcedure="false">"c3612"</definedName>
    <definedName function="false" hidden="true" name="IQ_AVG_BROKER_REC_NO" vbProcedure="false">"c64"</definedName>
    <definedName function="false" hidden="true" name="IQ_AVG_BROKER_REC_NO_CIQ" vbProcedure="false">"c4657"</definedName>
    <definedName function="false" hidden="true" name="IQ_AVG_BROKER_REC_NO_REUT" vbProcedure="false">"c5315"</definedName>
    <definedName function="false" hidden="true" name="IQ_AVG_BROKER_REC_REUT" vbProcedure="false">"c3630"</definedName>
    <definedName function="false" hidden="true" name="IQ_AVG_DAILY_VOL" vbProcedure="false">"c65"</definedName>
    <definedName function="false" hidden="true" name="IQ_AVG_EMPLOYEES" vbProcedure="false">"c6019"</definedName>
    <definedName function="false" hidden="true" name="IQ_AVG_INDUSTRY_REC" vbProcedure="false">"c4455"</definedName>
    <definedName function="false" hidden="true" name="IQ_AVG_INDUSTRY_REC_CIQ" vbProcedure="false">"c4984"</definedName>
    <definedName function="false" hidden="true" name="IQ_AVG_INDUSTRY_REC_NO" vbProcedure="false">"c4454"</definedName>
    <definedName function="false" hidden="true" name="IQ_AVG_INDUSTRY_REC_NO_CIQ" vbProcedure="false">"c4983"</definedName>
    <definedName function="false" hidden="true" name="IQ_AVG_INT_BEAR_LIAB" vbProcedure="false">"c66"</definedName>
    <definedName function="false" hidden="true" name="IQ_AVG_INT_BEAR_LIAB_10YR_ANN_CAGR" vbProcedure="false">"c6040"</definedName>
    <definedName function="false" hidden="true" name="IQ_AVG_INT_BEAR_LIAB_10YR_ANN_GROWTH" vbProcedure="false">"c67"</definedName>
    <definedName function="false" hidden="true" name="IQ_AVG_INT_BEAR_LIAB_1YR_ANN_GROWTH" vbProcedure="false">"c68"</definedName>
    <definedName function="false" hidden="true" name="IQ_AVG_INT_BEAR_LIAB_2YR_ANN_CAGR" vbProcedure="false">"c6041"</definedName>
    <definedName function="false" hidden="true" name="IQ_AVG_INT_BEAR_LIAB_2YR_ANN_GROWTH" vbProcedure="false">"c69"</definedName>
    <definedName function="false" hidden="true" name="IQ_AVG_INT_BEAR_LIAB_3YR_ANN_CAGR" vbProcedure="false">"c6042"</definedName>
    <definedName function="false" hidden="true" name="IQ_AVG_INT_BEAR_LIAB_3YR_ANN_GROWTH" vbProcedure="false">"c70"</definedName>
    <definedName function="false" hidden="true" name="IQ_AVG_INT_BEAR_LIAB_5YR_ANN_CAGR" vbProcedure="false">"c6043"</definedName>
    <definedName function="false" hidden="true" name="IQ_AVG_INT_BEAR_LIAB_5YR_ANN_GROWTH" vbProcedure="false">"c71"</definedName>
    <definedName function="false" hidden="true" name="IQ_AVG_INT_BEAR_LIAB_7YR_ANN_CAGR" vbProcedure="false">"c6044"</definedName>
    <definedName function="false" hidden="true" name="IQ_AVG_INT_BEAR_LIAB_7YR_ANN_GROWTH" vbProcedure="false">"c72"</definedName>
    <definedName function="false" hidden="true" name="IQ_AVG_INT_EARN_ASSETS" vbProcedure="false">"c73"</definedName>
    <definedName function="false" hidden="true" name="IQ_AVG_INT_EARN_ASSETS_10YR_ANN_CAGR" vbProcedure="false">"c6045"</definedName>
    <definedName function="false" hidden="true" name="IQ_AVG_INT_EARN_ASSETS_10YR_ANN_GROWTH" vbProcedure="false">"c74"</definedName>
    <definedName function="false" hidden="true" name="IQ_AVG_INT_EARN_ASSETS_1YR_ANN_GROWTH" vbProcedure="false">"c75"</definedName>
    <definedName function="false" hidden="true" name="IQ_AVG_INT_EARN_ASSETS_2YR_ANN_CAGR" vbProcedure="false">"c6046"</definedName>
    <definedName function="false" hidden="true" name="IQ_AVG_INT_EARN_ASSETS_2YR_ANN_GROWTH" vbProcedure="false">"c76"</definedName>
    <definedName function="false" hidden="true" name="IQ_AVG_INT_EARN_ASSETS_3YR_ANN_CAGR" vbProcedure="false">"c6047"</definedName>
    <definedName function="false" hidden="true" name="IQ_AVG_INT_EARN_ASSETS_3YR_ANN_GROWTH" vbProcedure="false">"c77"</definedName>
    <definedName function="false" hidden="true" name="IQ_AVG_INT_EARN_ASSETS_5YR_ANN_CAGR" vbProcedure="false">"c6048"</definedName>
    <definedName function="false" hidden="true" name="IQ_AVG_INT_EARN_ASSETS_5YR_ANN_GROWTH" vbProcedure="false">"c78"</definedName>
    <definedName function="false" hidden="true" name="IQ_AVG_INT_EARN_ASSETS_7YR_ANN_CAGR" vbProcedure="false">"c6049"</definedName>
    <definedName function="false" hidden="true" name="IQ_AVG_INT_EARN_ASSETS_7YR_ANN_GROWTH" vbProcedure="false">"c79"</definedName>
    <definedName function="false" hidden="true" name="IQ_AVG_MKTCAP" vbProcedure="false">"c80"</definedName>
    <definedName function="false" hidden="true" name="IQ_AVG_PRICE" vbProcedure="false">"c81"</definedName>
    <definedName function="false" hidden="true" name="IQ_AVG_SHAREOUTSTANDING" vbProcedure="false">"c83"</definedName>
    <definedName function="false" hidden="true" name="IQ_AVG_TEMP_EMPLOYEES" vbProcedure="false">"c6020"</definedName>
    <definedName function="false" hidden="true" name="IQ_AVG_TEV" vbProcedure="false">"c84"</definedName>
    <definedName function="false" hidden="true" name="IQ_AVG_VOLUME" vbProcedure="false">"c1346"</definedName>
    <definedName function="false" hidden="true" name="IQ_BALANCES_DUE_DEPOSITORY_INSTITUTIONS_FDIC" vbProcedure="false">"c6389"</definedName>
    <definedName function="false" hidden="true" name="IQ_BALANCES_DUE_FOREIGN_FDIC" vbProcedure="false">"c6391"</definedName>
    <definedName function="false" hidden="true" name="IQ_BALANCES_DUE_FRB_FDIC" vbProcedure="false">"c6393"</definedName>
    <definedName function="false" hidden="true" name="IQ_BANKS_FOREIGN_COUNTRIES_TOTAL_DEPOSITS_FDIC" vbProcedure="false">"c6475"</definedName>
    <definedName function="false" hidden="true" name="IQ_BANK_BENEFICIARY_FDIC" vbProcedure="false">"c6505"</definedName>
    <definedName function="false" hidden="true" name="IQ_BANK_DEBT" vbProcedure="false">"c2544"</definedName>
    <definedName function="false" hidden="true" name="IQ_BANK_DEBT_PCT" vbProcedure="false">"c2545"</definedName>
    <definedName function="false" hidden="true" name="IQ_BANK_GUARANTOR_FDIC" vbProcedure="false">"c6506"</definedName>
    <definedName function="false" hidden="true" name="IQ_BANK_PREMISES_FDIC" vbProcedure="false">"c6329"</definedName>
    <definedName function="false" hidden="true" name="IQ_BANK_SECURITIZATION_1_4_FAMILY_LOANS_FDIC" vbProcedure="false">"c6721"</definedName>
    <definedName function="false" hidden="true" name="IQ_BANK_SECURITIZATION_AUTO_LOANS_FDIC" vbProcedure="false">"c6715"</definedName>
    <definedName function="false" hidden="true" name="IQ_BANK_SECURITIZATION_CL_LOANS_FDIC" vbProcedure="false">"c6716"</definedName>
    <definedName function="false" hidden="true" name="IQ_BANK_SECURITIZATION_CREDIT_CARDS_RECEIVABLES_FDIC" vbProcedure="false">"c6718"</definedName>
    <definedName function="false" hidden="true" name="IQ_BANK_SECURITIZATION_HOME_EQUITY_LINES_FDIC" vbProcedure="false">"c6719"</definedName>
    <definedName function="false" hidden="true" name="IQ_BANK_SECURITIZATION_OTHER_CONSUMER_LOANS_FDIC" vbProcedure="false">"c6717"</definedName>
    <definedName function="false" hidden="true" name="IQ_BANK_SECURITIZATION_OTHER_LOANS_FDIC" vbProcedure="false">"c6720"</definedName>
    <definedName function="false" hidden="true" name="IQ_BASIC_EPS_EXCL" vbProcedure="false">"c85"</definedName>
    <definedName function="false" hidden="true" name="IQ_BASIC_EPS_INCL" vbProcedure="false">"c86"</definedName>
    <definedName function="false" hidden="true" name="IQ_BASIC_NORMAL_EPS" vbProcedure="false">"c1592"</definedName>
    <definedName function="false" hidden="true" name="IQ_BASIC_OUTSTANDING_CURRENT_EST" vbProcedure="false">"c4128"</definedName>
    <definedName function="false" hidden="true" name="IQ_BASIC_OUTSTANDING_CURRENT_EST_CIQ" vbProcedure="false">"c4541"</definedName>
    <definedName function="false" hidden="true" name="IQ_BASIC_OUTSTANDING_CURRENT_HIGH_EST" vbProcedure="false">"c4129"</definedName>
    <definedName function="false" hidden="true" name="IQ_BASIC_OUTSTANDING_CURRENT_HIGH_EST_CIQ" vbProcedure="false">"c4542"</definedName>
    <definedName function="false" hidden="true" name="IQ_BASIC_OUTSTANDING_CURRENT_LOW_EST" vbProcedure="false">"c4130"</definedName>
    <definedName function="false" hidden="true" name="IQ_BASIC_OUTSTANDING_CURRENT_LOW_EST_CIQ" vbProcedure="false">"c4543"</definedName>
    <definedName function="false" hidden="true" name="IQ_BASIC_OUTSTANDING_CURRENT_MEDIAN_EST" vbProcedure="false">"c4131"</definedName>
    <definedName function="false" hidden="true" name="IQ_BASIC_OUTSTANDING_CURRENT_MEDIAN_EST_CIQ" vbProcedure="false">"c4544"</definedName>
    <definedName function="false" hidden="true" name="IQ_BASIC_OUTSTANDING_CURRENT_NUM_EST" vbProcedure="false">"c4132"</definedName>
    <definedName function="false" hidden="true" name="IQ_BASIC_OUTSTANDING_CURRENT_NUM_EST_CIQ" vbProcedure="false">"c4545"</definedName>
    <definedName function="false" hidden="true" name="IQ_BASIC_OUTSTANDING_CURRENT_STDDEV_EST" vbProcedure="false">"c4133"</definedName>
    <definedName function="false" hidden="true" name="IQ_BASIC_OUTSTANDING_CURRENT_STDDEV_EST_CIQ" vbProcedure="false">"c4546"</definedName>
    <definedName function="false" hidden="true" name="IQ_BASIC_OUTSTANDING_EST" vbProcedure="false">"c4134"</definedName>
    <definedName function="false" hidden="true" name="IQ_BASIC_OUTSTANDING_EST_CIQ" vbProcedure="false">"c4547"</definedName>
    <definedName function="false" hidden="true" name="IQ_BASIC_OUTSTANDING_HIGH_EST" vbProcedure="false">"c4135"</definedName>
    <definedName function="false" hidden="true" name="IQ_BASIC_OUTSTANDING_HIGH_EST_CIQ" vbProcedure="false">"c4548"</definedName>
    <definedName function="false" hidden="true" name="IQ_BASIC_OUTSTANDING_LOW_EST" vbProcedure="false">"c4136"</definedName>
    <definedName function="false" hidden="true" name="IQ_BASIC_OUTSTANDING_LOW_EST_CIQ" vbProcedure="false">"c4549"</definedName>
    <definedName function="false" hidden="true" name="IQ_BASIC_OUTSTANDING_MEDIAN_EST" vbProcedure="false">"c4137"</definedName>
    <definedName function="false" hidden="true" name="IQ_BASIC_OUTSTANDING_MEDIAN_EST_CIQ" vbProcedure="false">"c4550"</definedName>
    <definedName function="false" hidden="true" name="IQ_BASIC_OUTSTANDING_NUM_EST" vbProcedure="false">"c4138"</definedName>
    <definedName function="false" hidden="true" name="IQ_BASIC_OUTSTANDING_NUM_EST_CIQ" vbProcedure="false">"c4551"</definedName>
    <definedName function="false" hidden="true" name="IQ_BASIC_OUTSTANDING_STDDEV_EST" vbProcedure="false">"c4139"</definedName>
    <definedName function="false" hidden="true" name="IQ_BASIC_OUTSTANDING_STDDEV_EST_CIQ" vbProcedure="false">"c4552"</definedName>
    <definedName function="false" hidden="true" name="IQ_BASIC_WEIGHT" vbProcedure="false">"c87"</definedName>
    <definedName function="false" hidden="true" name="IQ_BASIC_WEIGHT_EST" vbProcedure="false">"c4140"</definedName>
    <definedName function="false" hidden="true" name="IQ_BASIC_WEIGHT_EST_CIQ" vbProcedure="false">"c4553"</definedName>
    <definedName function="false" hidden="true" name="IQ_BASIC_WEIGHT_GUIDANCE" vbProcedure="false">"c4141"</definedName>
    <definedName function="false" hidden="true" name="IQ_BASIC_WEIGHT_HIGH_EST" vbProcedure="false">"c4142"</definedName>
    <definedName function="false" hidden="true" name="IQ_BASIC_WEIGHT_HIGH_EST_CIQ" vbProcedure="false">"c4554"</definedName>
    <definedName function="false" hidden="true" name="IQ_BASIC_WEIGHT_LOW_EST" vbProcedure="false">"c4143"</definedName>
    <definedName function="false" hidden="true" name="IQ_BASIC_WEIGHT_LOW_EST_CIQ" vbProcedure="false">"c4555"</definedName>
    <definedName function="false" hidden="true" name="IQ_BASIC_WEIGHT_MEDIAN_EST" vbProcedure="false">"c4144"</definedName>
    <definedName function="false" hidden="true" name="IQ_BASIC_WEIGHT_MEDIAN_EST_CIQ" vbProcedure="false">"c4556"</definedName>
    <definedName function="false" hidden="true" name="IQ_BASIC_WEIGHT_NUM_EST" vbProcedure="false">"c4145"</definedName>
    <definedName function="false" hidden="true" name="IQ_BASIC_WEIGHT_NUM_EST_CIQ" vbProcedure="false">"c4557"</definedName>
    <definedName function="false" hidden="true" name="IQ_BASIC_WEIGHT_STDDEV_EST" vbProcedure="false">"c4146"</definedName>
    <definedName function="false" hidden="true" name="IQ_BASIC_WEIGHT_STDDEV_EST_CIQ" vbProcedure="false">"c4558"</definedName>
    <definedName function="false" hidden="true" name="IQ_BENCHMARK_SECURITY" vbProcedure="false">"c2154"</definedName>
    <definedName function="false" hidden="true" name="IQ_BENCHMARK_SPRD" vbProcedure="false">"c2153"</definedName>
    <definedName function="false" hidden="true" name="IQ_BETA" vbProcedure="false">"c2133"</definedName>
    <definedName function="false" hidden="true" name="IQ_BETA_1YR" vbProcedure="false">"c1966"</definedName>
    <definedName function="false" hidden="true" name="IQ_BETA_1YR_RSQ" vbProcedure="false">"c2132"</definedName>
    <definedName function="false" hidden="true" name="IQ_BETA_2YR" vbProcedure="false">"c1965"</definedName>
    <definedName function="false" hidden="true" name="IQ_BETA_2YR_RSQ" vbProcedure="false">"c2131"</definedName>
    <definedName function="false" hidden="true" name="IQ_BETA_5YR" vbProcedure="false">"c88"</definedName>
    <definedName function="false" hidden="true" name="IQ_BETA_5YR_RSQ" vbProcedure="false">"c2130"</definedName>
    <definedName function="false" hidden="true" name="IQ_BIG_INT_BEAR_CD" vbProcedure="false">"c89"</definedName>
    <definedName function="false" hidden="true" name="IQ_BOARD_MEMBER" vbProcedure="false">"c96"</definedName>
    <definedName function="false" hidden="true" name="IQ_BOARD_MEMBER_BACKGROUND" vbProcedure="false">"c2101"</definedName>
    <definedName function="false" hidden="true" name="IQ_BOARD_MEMBER_TITLE" vbProcedure="false">"c97"</definedName>
    <definedName function="false" hidden="true" name="IQ_BOND_COUPON" vbProcedure="false">"c2183"</definedName>
    <definedName function="false" hidden="true" name="IQ_BOND_COUPON_TYPE" vbProcedure="false">"c2184"</definedName>
    <definedName function="false" hidden="true" name="IQ_BOND_PRICE" vbProcedure="false">"c2162"</definedName>
    <definedName function="false" hidden="true" name="IQ_BROKERED_DEPOSITS_FDIC" vbProcedure="false">"c6486"</definedName>
    <definedName function="false" hidden="true" name="IQ_BROK_COMISSION" vbProcedure="false">"c98"</definedName>
    <definedName function="false" hidden="true" name="IQ_BROK_COMMISSION" vbProcedure="false">"c3514"</definedName>
    <definedName function="false" hidden="true" name="IQ_BUILDINGS" vbProcedure="false">"c99"</definedName>
    <definedName function="false" hidden="true" name="IQ_BUSINESS_DESCRIPTION" vbProcedure="false">"c322"</definedName>
    <definedName function="false" hidden="true" name="IQ_BUS_SEG_ASSETS" vbProcedure="false">"c4067"</definedName>
    <definedName function="false" hidden="true" name="IQ_BUS_SEG_ASSETS_ABS" vbProcedure="false">"c4089"</definedName>
    <definedName function="false" hidden="true" name="IQ_BUS_SEG_ASSETS_TOTAL" vbProcedure="false">"c4112"</definedName>
    <definedName function="false" hidden="true" name="IQ_BUS_SEG_CAPEX" vbProcedure="false">"c4079"</definedName>
    <definedName function="false" hidden="true" name="IQ_BUS_SEG_CAPEX_ABS" vbProcedure="false">"c4101"</definedName>
    <definedName function="false" hidden="true" name="IQ_BUS_SEG_CAPEX_TOTAL" vbProcedure="false">"c4116"</definedName>
    <definedName function="false" hidden="true" name="IQ_BUS_SEG_DA" vbProcedure="false">"c4078"</definedName>
    <definedName function="false" hidden="true" name="IQ_BUS_SEG_DA_ABS" vbProcedure="false">"c4100"</definedName>
    <definedName function="false" hidden="true" name="IQ_BUS_SEG_DA_TOTAL" vbProcedure="false">"c4115"</definedName>
    <definedName function="false" hidden="true" name="IQ_BUS_SEG_EARNINGS_OP" vbProcedure="false">"c4063"</definedName>
    <definedName function="false" hidden="true" name="IQ_BUS_SEG_EARNINGS_OP_ABS" vbProcedure="false">"c4085"</definedName>
    <definedName function="false" hidden="true" name="IQ_BUS_SEG_EARNINGS_OP_TOTAL" vbProcedure="false">"c4108"</definedName>
    <definedName function="false" hidden="true" name="IQ_BUS_SEG_EBT" vbProcedure="false">"c4064"</definedName>
    <definedName function="false" hidden="true" name="IQ_BUS_SEG_EBT_ABS" vbProcedure="false">"c4086"</definedName>
    <definedName function="false" hidden="true" name="IQ_BUS_SEG_EBT_TOTAL" vbProcedure="false">"c4110"</definedName>
    <definedName function="false" hidden="true" name="IQ_BUS_SEG_GP" vbProcedure="false">"c4066"</definedName>
    <definedName function="false" hidden="true" name="IQ_BUS_SEG_GP_ABS" vbProcedure="false">"c4088"</definedName>
    <definedName function="false" hidden="true" name="IQ_BUS_SEG_GP_TOTAL" vbProcedure="false">"c4109"</definedName>
    <definedName function="false" hidden="true" name="IQ_BUS_SEG_INC_TAX" vbProcedure="false">"c4077"</definedName>
    <definedName function="false" hidden="true" name="IQ_BUS_SEG_INC_TAX_ABS" vbProcedure="false">"c4099"</definedName>
    <definedName function="false" hidden="true" name="IQ_BUS_SEG_INC_TAX_TOTAL" vbProcedure="false">"c4114"</definedName>
    <definedName function="false" hidden="true" name="IQ_BUS_SEG_INTEREST_EXP" vbProcedure="false">"c4076"</definedName>
    <definedName function="false" hidden="true" name="IQ_BUS_SEG_INTEREST_EXP_ABS" vbProcedure="false">"c4098"</definedName>
    <definedName function="false" hidden="true" name="IQ_BUS_SEG_INTEREST_EXP_TOTAL" vbProcedure="false">"c4113"</definedName>
    <definedName function="false" hidden="true" name="IQ_BUS_SEG_NAME" vbProcedure="false">"c5482"</definedName>
    <definedName function="false" hidden="true" name="IQ_BUS_SEG_NAME_ABS" vbProcedure="false">"c5483"</definedName>
    <definedName function="false" hidden="true" name="IQ_BUS_SEG_NI" vbProcedure="false">"c4065"</definedName>
    <definedName function="false" hidden="true" name="IQ_BUS_SEG_NI_ABS" vbProcedure="false">"c4087"</definedName>
    <definedName function="false" hidden="true" name="IQ_BUS_SEG_NI_TOTAL" vbProcedure="false">"c4111"</definedName>
    <definedName function="false" hidden="true" name="IQ_BUS_SEG_OPER_INC" vbProcedure="false">"c4062"</definedName>
    <definedName function="false" hidden="true" name="IQ_BUS_SEG_OPER_INC_ABS" vbProcedure="false">"c4084"</definedName>
    <definedName function="false" hidden="true" name="IQ_BUS_SEG_OPER_INC_TOTAL" vbProcedure="false">"c4107"</definedName>
    <definedName function="false" hidden="true" name="IQ_BUS_SEG_REV" vbProcedure="false">"c4068"</definedName>
    <definedName function="false" hidden="true" name="IQ_BUS_SEG_REV_ABS" vbProcedure="false">"c4090"</definedName>
    <definedName function="false" hidden="true" name="IQ_BUS_SEG_REV_TOTAL" vbProcedure="false">"c4106"</definedName>
    <definedName function="false" hidden="true" name="IQ_BV_ACT_OR_EST_CIQ" vbProcedure="false">"c5068"</definedName>
    <definedName function="false" hidden="true" name="IQ_BV_EST" vbProcedure="false">"c5624"</definedName>
    <definedName function="false" hidden="true" name="IQ_BV_EST_CIQ" vbProcedure="false">"c4737"</definedName>
    <definedName function="false" hidden="true" name="IQ_BV_HIGH_EST" vbProcedure="false">"c5626"</definedName>
    <definedName function="false" hidden="true" name="IQ_BV_HIGH_EST_CIQ" vbProcedure="false">"c4739"</definedName>
    <definedName function="false" hidden="true" name="IQ_BV_LOW_EST" vbProcedure="false">"c5627"</definedName>
    <definedName function="false" hidden="true" name="IQ_BV_LOW_EST_CIQ" vbProcedure="false">"c4740"</definedName>
    <definedName function="false" hidden="true" name="IQ_BV_MEDIAN_EST" vbProcedure="false">"c5625"</definedName>
    <definedName function="false" hidden="true" name="IQ_BV_MEDIAN_EST_CIQ" vbProcedure="false">"c4738"</definedName>
    <definedName function="false" hidden="true" name="IQ_BV_NUM_EST" vbProcedure="false">"c5628"</definedName>
    <definedName function="false" hidden="true" name="IQ_BV_NUM_EST_CIQ" vbProcedure="false">"c4741"</definedName>
    <definedName function="false" hidden="true" name="IQ_BV_OVER_SHARES" vbProcedure="false">"c1349"</definedName>
    <definedName function="false" hidden="true" name="IQ_BV_SHARE" vbProcedure="false">"c100"</definedName>
    <definedName function="false" hidden="true" name="IQ_BV_SHARE_ACT_OR_EST" vbProcedure="false">"c3587"</definedName>
    <definedName function="false" hidden="true" name="IQ_BV_SHARE_ACT_OR_EST_CIQ" vbProcedure="false">"c5072"</definedName>
    <definedName function="false" hidden="true" name="IQ_BV_SHARE_EST" vbProcedure="false">"c3541"</definedName>
    <definedName function="false" hidden="true" name="IQ_BV_SHARE_EST_CIQ" vbProcedure="false">"c3800"</definedName>
    <definedName function="false" hidden="true" name="IQ_BV_SHARE_HIGH_EST" vbProcedure="false">"c3542"</definedName>
    <definedName function="false" hidden="true" name="IQ_BV_SHARE_HIGH_EST_CIQ" vbProcedure="false">"c3802"</definedName>
    <definedName function="false" hidden="true" name="IQ_BV_SHARE_LOW_EST" vbProcedure="false">"c3543"</definedName>
    <definedName function="false" hidden="true" name="IQ_BV_SHARE_LOW_EST_CIQ" vbProcedure="false">"c3803"</definedName>
    <definedName function="false" hidden="true" name="IQ_BV_SHARE_MEDIAN_EST" vbProcedure="false">"c3544"</definedName>
    <definedName function="false" hidden="true" name="IQ_BV_SHARE_MEDIAN_EST_CIQ" vbProcedure="false">"c3801"</definedName>
    <definedName function="false" hidden="true" name="IQ_BV_SHARE_NUM_EST" vbProcedure="false">"c3539"</definedName>
    <definedName function="false" hidden="true" name="IQ_BV_SHARE_NUM_EST_CIQ" vbProcedure="false">"c3804"</definedName>
    <definedName function="false" hidden="true" name="IQ_BV_SHARE_STDDEV_EST" vbProcedure="false">"c3540"</definedName>
    <definedName function="false" hidden="true" name="IQ_BV_SHARE_STDDEV_EST_CIQ" vbProcedure="false">"c3805"</definedName>
    <definedName function="false" hidden="true" name="IQ_BV_STDDEV_EST" vbProcedure="false">"c5629"</definedName>
    <definedName function="false" hidden="true" name="IQ_BV_STDDEV_EST_CIQ" vbProcedure="false">"c4742"</definedName>
    <definedName function="false" hidden="true" name="IQ_CABLE_ARPU" vbProcedure="false">"c2869"</definedName>
    <definedName function="false" hidden="true" name="IQ_CABLE_ARPU_ANALOG" vbProcedure="false">"c2864"</definedName>
    <definedName function="false" hidden="true" name="IQ_CABLE_ARPU_BASIC" vbProcedure="false">"c2866"</definedName>
    <definedName function="false" hidden="true" name="IQ_CABLE_ARPU_BBAND" vbProcedure="false">"c2867"</definedName>
    <definedName function="false" hidden="true" name="IQ_CABLE_ARPU_DIG" vbProcedure="false">"c2865"</definedName>
    <definedName function="false" hidden="true" name="IQ_CABLE_ARPU_PHONE" vbProcedure="false">"c2868"</definedName>
    <definedName function="false" hidden="true" name="IQ_CABLE_BASIC_PENETRATION" vbProcedure="false">"c2850"</definedName>
    <definedName function="false" hidden="true" name="IQ_CABLE_BBAND_PENETRATION" vbProcedure="false">"c2852"</definedName>
    <definedName function="false" hidden="true" name="IQ_CABLE_BBAND_PENETRATION_THP" vbProcedure="false">"c2851"</definedName>
    <definedName function="false" hidden="true" name="IQ_CABLE_CHURN" vbProcedure="false">"c2874"</definedName>
    <definedName function="false" hidden="true" name="IQ_CABLE_CHURN_BASIC" vbProcedure="false">"c2871"</definedName>
    <definedName function="false" hidden="true" name="IQ_CABLE_CHURN_BBAND" vbProcedure="false">"c2872"</definedName>
    <definedName function="false" hidden="true" name="IQ_CABLE_CHURN_DIG" vbProcedure="false">"c2870"</definedName>
    <definedName function="false" hidden="true" name="IQ_CABLE_CHURN_PHONE" vbProcedure="false">"c2873"</definedName>
    <definedName function="false" hidden="true" name="IQ_CABLE_HOMES_PER_MILE" vbProcedure="false">"c2849"</definedName>
    <definedName function="false" hidden="true" name="IQ_CABLE_HP_BBAND" vbProcedure="false">"c2845"</definedName>
    <definedName function="false" hidden="true" name="IQ_CABLE_HP_DIG" vbProcedure="false">"c2844"</definedName>
    <definedName function="false" hidden="true" name="IQ_CABLE_HP_PHONE" vbProcedure="false">"c2846"</definedName>
    <definedName function="false" hidden="true" name="IQ_CABLE_MILES_PASSED" vbProcedure="false">"c2848"</definedName>
    <definedName function="false" hidden="true" name="IQ_CABLE_OTHER_REV" vbProcedure="false">"c2882"</definedName>
    <definedName function="false" hidden="true" name="IQ_CABLE_PHONE_PENETRATION" vbProcedure="false">"c2853"</definedName>
    <definedName function="false" hidden="true" name="IQ_CABLE_PROGRAMMING_COSTS" vbProcedure="false">"c2884"</definedName>
    <definedName function="false" hidden="true" name="IQ_CABLE_REV_ADVERT" vbProcedure="false">"c2880"</definedName>
    <definedName function="false" hidden="true" name="IQ_CABLE_REV_ANALOG" vbProcedure="false">"c2875"</definedName>
    <definedName function="false" hidden="true" name="IQ_CABLE_REV_BASIC" vbProcedure="false">"c2877"</definedName>
    <definedName function="false" hidden="true" name="IQ_CABLE_REV_BBAND" vbProcedure="false">"c2878"</definedName>
    <definedName function="false" hidden="true" name="IQ_CABLE_REV_COMMERCIAL" vbProcedure="false">"c2881"</definedName>
    <definedName function="false" hidden="true" name="IQ_CABLE_REV_DIG" vbProcedure="false">"c2876"</definedName>
    <definedName function="false" hidden="true" name="IQ_CABLE_REV_PHONE" vbProcedure="false">"c2879"</definedName>
    <definedName function="false" hidden="true" name="IQ_CABLE_RGU" vbProcedure="false">"c2863"</definedName>
    <definedName function="false" hidden="true" name="IQ_CABLE_SUBS_ANALOG" vbProcedure="false">"c2855"</definedName>
    <definedName function="false" hidden="true" name="IQ_CABLE_SUBS_BASIC" vbProcedure="false">"c2857"</definedName>
    <definedName function="false" hidden="true" name="IQ_CABLE_SUBS_BBAND" vbProcedure="false">"c2858"</definedName>
    <definedName function="false" hidden="true" name="IQ_CABLE_SUBS_BUNDLED" vbProcedure="false">"c2861"</definedName>
    <definedName function="false" hidden="true" name="IQ_CABLE_SUBS_DIG" vbProcedure="false">"c2856"</definedName>
    <definedName function="false" hidden="true" name="IQ_CABLE_SUBS_NON_VIDEO" vbProcedure="false">"c2860"</definedName>
    <definedName function="false" hidden="true" name="IQ_CABLE_SUBS_PHONE" vbProcedure="false">"c2859"</definedName>
    <definedName function="false" hidden="true" name="IQ_CABLE_SUBS_TOTAL" vbProcedure="false">"c2862"</definedName>
    <definedName function="false" hidden="true" name="IQ_CABLE_THP" vbProcedure="false">"c2847"</definedName>
    <definedName function="false" hidden="true" name="IQ_CABLE_TOTAL_PENETRATION" vbProcedure="false">"c2854"</definedName>
    <definedName function="false" hidden="true" name="IQ_CABLE_TOTAL_REV" vbProcedure="false">"c2883"</definedName>
    <definedName function="false" hidden="true" name="IQ_CALC_TYPE_BS" vbProcedure="false">"c3086"</definedName>
    <definedName function="false" hidden="true" name="IQ_CALC_TYPE_CF" vbProcedure="false">"c3085"</definedName>
    <definedName function="false" hidden="true" name="IQ_CALC_TYPE_IS" vbProcedure="false">"c3084"</definedName>
    <definedName function="false" hidden="true" name="IQ_CALLABLE" vbProcedure="false">"c2196"</definedName>
    <definedName function="false" hidden="true" name="IQ_CALL_DATE_SCHEDULE" vbProcedure="false">"c2481"</definedName>
    <definedName function="false" hidden="true" name="IQ_CALL_FEATURE" vbProcedure="false">"c2197"</definedName>
    <definedName function="false" hidden="true" name="IQ_CALL_PRICE_SCHEDULE" vbProcedure="false">"c2482"</definedName>
    <definedName function="false" hidden="true" name="IQ_CAL_Q" vbProcedure="false">"c101"</definedName>
    <definedName function="false" hidden="true" name="IQ_CAL_Q_EST" vbProcedure="false">"c6796"</definedName>
    <definedName function="false" hidden="true" name="IQ_CAL_Q_EST_CIQ" vbProcedure="false">"c6808"</definedName>
    <definedName function="false" hidden="true" name="IQ_CAL_Q_EST_REUT" vbProcedure="false">"c6800"</definedName>
    <definedName function="false" hidden="true" name="IQ_CAL_Y" vbProcedure="false">"c102"</definedName>
    <definedName function="false" hidden="true" name="IQ_CAL_Y_EST" vbProcedure="false">"c6797"</definedName>
    <definedName function="false" hidden="true" name="IQ_CAL_Y_EST_CIQ" vbProcedure="false">"c6809"</definedName>
    <definedName function="false" hidden="true" name="IQ_CAL_Y_EST_REUT" vbProcedure="false">"c6801"</definedName>
    <definedName function="false" hidden="true" name="IQ_CAPEX" vbProcedure="false">"c103"</definedName>
    <definedName function="false" hidden="true" name="IQ_CAPEX_10YR_ANN_CAGR" vbProcedure="false">"c6050"</definedName>
    <definedName function="false" hidden="true" name="IQ_CAPEX_10YR_ANN_GROWTH" vbProcedure="false">"c104"</definedName>
    <definedName function="false" hidden="true" name="IQ_CAPEX_1YR_ANN_GROWTH" vbProcedure="false">"c105"</definedName>
    <definedName function="false" hidden="true" name="IQ_CAPEX_2YR_ANN_CAGR" vbProcedure="false">"c6051"</definedName>
    <definedName function="false" hidden="true" name="IQ_CAPEX_2YR_ANN_GROWTH" vbProcedure="false">"c106"</definedName>
    <definedName function="false" hidden="true" name="IQ_CAPEX_3YR_ANN_CAGR" vbProcedure="false">"c6052"</definedName>
    <definedName function="false" hidden="true" name="IQ_CAPEX_3YR_ANN_GROWTH" vbProcedure="false">"c107"</definedName>
    <definedName function="false" hidden="true" name="IQ_CAPEX_5YR_ANN_CAGR" vbProcedure="false">"c6053"</definedName>
    <definedName function="false" hidden="true" name="IQ_CAPEX_5YR_ANN_GROWTH" vbProcedure="false">"c108"</definedName>
    <definedName function="false" hidden="true" name="IQ_CAPEX_7YR_ANN_CAGR" vbProcedure="false">"c6054"</definedName>
    <definedName function="false" hidden="true" name="IQ_CAPEX_7YR_ANN_GROWTH" vbProcedure="false">"c109"</definedName>
    <definedName function="false" hidden="true" name="IQ_CAPEX_ACT_OR_EST" vbProcedure="false">"c3584"</definedName>
    <definedName function="false" hidden="true" name="IQ_CAPEX_ACT_OR_EST_CIQ" vbProcedure="false">"c5071"</definedName>
    <definedName function="false" hidden="true" name="IQ_CAPEX_BNK" vbProcedure="false">"c110"</definedName>
    <definedName function="false" hidden="true" name="IQ_CAPEX_BR" vbProcedure="false">"c111"</definedName>
    <definedName function="false" hidden="true" name="IQ_CAPEX_EST" vbProcedure="false">"c3523"</definedName>
    <definedName function="false" hidden="true" name="IQ_CAPEX_EST_CIQ" vbProcedure="false">"c3807"</definedName>
    <definedName function="false" hidden="true" name="IQ_CAPEX_FIN" vbProcedure="false">"c112"</definedName>
    <definedName function="false" hidden="true" name="IQ_CAPEX_GUIDANCE" vbProcedure="false">"c4150"</definedName>
    <definedName function="false" hidden="true" name="IQ_CAPEX_GUIDANCE_CIQ" vbProcedure="false">"c4562"</definedName>
    <definedName function="false" hidden="true" name="IQ_CAPEX_HIGH_EST" vbProcedure="false">"c3524"</definedName>
    <definedName function="false" hidden="true" name="IQ_CAPEX_HIGH_EST_CIQ" vbProcedure="false">"c3809"</definedName>
    <definedName function="false" hidden="true" name="IQ_CAPEX_HIGH_GUIDANCE" vbProcedure="false">"c4180"</definedName>
    <definedName function="false" hidden="true" name="IQ_CAPEX_HIGH_GUIDANCE_CIQ" vbProcedure="false">"c4592"</definedName>
    <definedName function="false" hidden="true" name="IQ_CAPEX_INS" vbProcedure="false">"c113"</definedName>
    <definedName function="false" hidden="true" name="IQ_CAPEX_LOW_EST" vbProcedure="false">"c3525"</definedName>
    <definedName function="false" hidden="true" name="IQ_CAPEX_LOW_EST_CIQ" vbProcedure="false">"c3810"</definedName>
    <definedName function="false" hidden="true" name="IQ_CAPEX_LOW_GUIDANCE" vbProcedure="false">"c4220"</definedName>
    <definedName function="false" hidden="true" name="IQ_CAPEX_LOW_GUIDANCE_CIQ" vbProcedure="false">"c4632"</definedName>
    <definedName function="false" hidden="true" name="IQ_CAPEX_MEDIAN_EST" vbProcedure="false">"c3526"</definedName>
    <definedName function="false" hidden="true" name="IQ_CAPEX_MEDIAN_EST_CIQ" vbProcedure="false">"c3808"</definedName>
    <definedName function="false" hidden="true" name="IQ_CAPEX_NUM_EST" vbProcedure="false">"c3521"</definedName>
    <definedName function="false" hidden="true" name="IQ_CAPEX_NUM_EST_CIQ" vbProcedure="false">"c3811"</definedName>
    <definedName function="false" hidden="true" name="IQ_CAPEX_STDDEV_EST" vbProcedure="false">"c3522"</definedName>
    <definedName function="false" hidden="true" name="IQ_CAPEX_STDDEV_EST_CIQ" vbProcedure="false">"c3812"</definedName>
    <definedName function="false" hidden="true" name="IQ_CAPEX_UTI" vbProcedure="false">"c114"</definedName>
    <definedName function="false" hidden="true" name="IQ_CAPITALIZED_INTEREST" vbProcedure="false">"c2076"</definedName>
    <definedName function="false" hidden="true" name="IQ_CAPITALIZED_INTEREST_BOP" vbProcedure="false">"c3459"</definedName>
    <definedName function="false" hidden="true" name="IQ_CAPITALIZED_INTEREST_EOP" vbProcedure="false">"c3464"</definedName>
    <definedName function="false" hidden="true" name="IQ_CAPITALIZED_INTEREST_EXP" vbProcedure="false">"c3461"</definedName>
    <definedName function="false" hidden="true" name="IQ_CAPITALIZED_INTEREST_OTHER_ADJ" vbProcedure="false">"c3463"</definedName>
    <definedName function="false" hidden="true" name="IQ_CAPITALIZED_INTEREST_WRITE_OFF" vbProcedure="false">"c3462"</definedName>
    <definedName function="false" hidden="true" name="IQ_CAPITAL_LEASE" vbProcedure="false">"c1350"</definedName>
    <definedName function="false" hidden="true" name="IQ_CAPITAL_LEASES" vbProcedure="false">"c115"</definedName>
    <definedName function="false" hidden="true" name="IQ_CAPITAL_LEASES_TOTAL" vbProcedure="false">"c3031"</definedName>
    <definedName function="false" hidden="true" name="IQ_CAPITAL_LEASES_TOTAL_PCT" vbProcedure="false">"c2506"</definedName>
    <definedName function="false" hidden="true" name="IQ_CAP_LOSS_CF_1YR" vbProcedure="false">"c3474"</definedName>
    <definedName function="false" hidden="true" name="IQ_CAP_LOSS_CF_2YR" vbProcedure="false">"c3475"</definedName>
    <definedName function="false" hidden="true" name="IQ_CAP_LOSS_CF_3YR" vbProcedure="false">"c3476"</definedName>
    <definedName function="false" hidden="true" name="IQ_CAP_LOSS_CF_4YR" vbProcedure="false">"c3477"</definedName>
    <definedName function="false" hidden="true" name="IQ_CAP_LOSS_CF_5YR" vbProcedure="false">"c3478"</definedName>
    <definedName function="false" hidden="true" name="IQ_CAP_LOSS_CF_AFTER_FIVE" vbProcedure="false">"c3479"</definedName>
    <definedName function="false" hidden="true" name="IQ_CAP_LOSS_CF_MAX_YEAR" vbProcedure="false">"c3482"</definedName>
    <definedName function="false" hidden="true" name="IQ_CAP_LOSS_CF_NO_EXP" vbProcedure="false">"c3480"</definedName>
    <definedName function="false" hidden="true" name="IQ_CAP_LOSS_CF_TOTAL" vbProcedure="false">"c3481"</definedName>
    <definedName function="false" hidden="true" name="IQ_CASH" vbProcedure="false">"c1458"</definedName>
    <definedName function="false" hidden="true" name="IQ_CASH_ACQUIRE_CF" vbProcedure="false">"c116"</definedName>
    <definedName function="false" hidden="true" name="IQ_CASH_CONVERSION" vbProcedure="false">"c117"</definedName>
    <definedName function="false" hidden="true" name="IQ_CASH_DIVIDENDS_NET_INCOME_FDIC" vbProcedure="false">"c6738"</definedName>
    <definedName function="false" hidden="true" name="IQ_CASH_DUE_BANKS" vbProcedure="false">"c1351"</definedName>
    <definedName function="false" hidden="true" name="IQ_CASH_EPS_ACT_OR_EST" vbProcedure="false">"c5638"</definedName>
    <definedName function="false" hidden="true" name="IQ_CASH_EPS_EST" vbProcedure="false">"c5631"</definedName>
    <definedName function="false" hidden="true" name="IQ_CASH_EPS_HIGH_EST" vbProcedure="false">"c5633"</definedName>
    <definedName function="false" hidden="true" name="IQ_CASH_EPS_LOW_EST" vbProcedure="false">"c5634"</definedName>
    <definedName function="false" hidden="true" name="IQ_CASH_EPS_MEDIAN_EST" vbProcedure="false">"c5632"</definedName>
    <definedName function="false" hidden="true" name="IQ_CASH_EPS_NUM_EST" vbProcedure="false">"c5635"</definedName>
    <definedName function="false" hidden="true" name="IQ_CASH_EPS_STDDEV_EST" vbProcedure="false">"c5636"</definedName>
    <definedName function="false" hidden="true" name="IQ_CASH_EQUIV" vbProcedure="false">"c118"</definedName>
    <definedName function="false" hidden="true" name="IQ_CASH_FINAN" vbProcedure="false">"c119"</definedName>
    <definedName function="false" hidden="true" name="IQ_CASH_FLOW_ACT_OR_EST" vbProcedure="false">"c4154"</definedName>
    <definedName function="false" hidden="true" name="IQ_CASH_FLOW_ACT_OR_EST_CIQ" vbProcedure="false">"c4566"</definedName>
    <definedName function="false" hidden="true" name="IQ_CASH_FLOW_EST" vbProcedure="false">"c4153"</definedName>
    <definedName function="false" hidden="true" name="IQ_CASH_FLOW_EST_CIQ" vbProcedure="false">"c4565"</definedName>
    <definedName function="false" hidden="true" name="IQ_CASH_FLOW_GUIDANCE" vbProcedure="false">"c4155"</definedName>
    <definedName function="false" hidden="true" name="IQ_CASH_FLOW_GUIDANCE_CIQ" vbProcedure="false">"c4567"</definedName>
    <definedName function="false" hidden="true" name="IQ_CASH_FLOW_HIGH_EST" vbProcedure="false">"c4156"</definedName>
    <definedName function="false" hidden="true" name="IQ_CASH_FLOW_HIGH_EST_CIQ" vbProcedure="false">"c4568"</definedName>
    <definedName function="false" hidden="true" name="IQ_CASH_FLOW_HIGH_GUIDANCE" vbProcedure="false">"c4201"</definedName>
    <definedName function="false" hidden="true" name="IQ_CASH_FLOW_HIGH_GUIDANCE_CIQ" vbProcedure="false">"c4613"</definedName>
    <definedName function="false" hidden="true" name="IQ_CASH_FLOW_LOW_EST" vbProcedure="false">"c4157"</definedName>
    <definedName function="false" hidden="true" name="IQ_CASH_FLOW_LOW_EST_CIQ" vbProcedure="false">"c4569"</definedName>
    <definedName function="false" hidden="true" name="IQ_CASH_FLOW_LOW_GUIDANCE" vbProcedure="false">"c4241"</definedName>
    <definedName function="false" hidden="true" name="IQ_CASH_FLOW_LOW_GUIDANCE_CIQ" vbProcedure="false">"c4653"</definedName>
    <definedName function="false" hidden="true" name="IQ_CASH_FLOW_MEDIAN_EST" vbProcedure="false">"c4158"</definedName>
    <definedName function="false" hidden="true" name="IQ_CASH_FLOW_MEDIAN_EST_CIQ" vbProcedure="false">"c4570"</definedName>
    <definedName function="false" hidden="true" name="IQ_CASH_FLOW_NUM_EST" vbProcedure="false">"c4159"</definedName>
    <definedName function="false" hidden="true" name="IQ_CASH_FLOW_NUM_EST_CIQ" vbProcedure="false">"c4571"</definedName>
    <definedName function="false" hidden="true" name="IQ_CASH_FLOW_STDDEV_EST" vbProcedure="false">"c4160"</definedName>
    <definedName function="false" hidden="true" name="IQ_CASH_FLOW_STDDEV_EST_CIQ" vbProcedure="false">"c4572"</definedName>
    <definedName function="false" hidden="true" name="IQ_CASH_INTEREST" vbProcedure="false">"c120"</definedName>
    <definedName function="false" hidden="true" name="IQ_CASH_INTEREST_FINAN" vbProcedure="false">"c6295"</definedName>
    <definedName function="false" hidden="true" name="IQ_CASH_INTEREST_INVEST" vbProcedure="false">"c6294"</definedName>
    <definedName function="false" hidden="true" name="IQ_CASH_INTEREST_OPER" vbProcedure="false">"c6293"</definedName>
    <definedName function="false" hidden="true" name="IQ_CASH_INVEST" vbProcedure="false">"c121"</definedName>
    <definedName function="false" hidden="true" name="IQ_CASH_IN_PROCESS_FDIC" vbProcedure="false">"c6386"</definedName>
    <definedName function="false" hidden="true" name="IQ_CASH_OPER" vbProcedure="false">"c122"</definedName>
    <definedName function="false" hidden="true" name="IQ_CASH_OPER_ACT_OR_EST" vbProcedure="false">"c4164"</definedName>
    <definedName function="false" hidden="true" name="IQ_CASH_OPER_ACT_OR_EST_CIQ" vbProcedure="false">"c4576"</definedName>
    <definedName function="false" hidden="true" name="IQ_CASH_OPER_EST" vbProcedure="false">"c4163"</definedName>
    <definedName function="false" hidden="true" name="IQ_CASH_OPER_EST_CIQ" vbProcedure="false">"c4575"</definedName>
    <definedName function="false" hidden="true" name="IQ_CASH_OPER_GUIDANCE" vbProcedure="false">"c4165"</definedName>
    <definedName function="false" hidden="true" name="IQ_CASH_OPER_GUIDANCE_CIQ" vbProcedure="false">"c4577"</definedName>
    <definedName function="false" hidden="true" name="IQ_CASH_OPER_HIGH_EST" vbProcedure="false">"c4166"</definedName>
    <definedName function="false" hidden="true" name="IQ_CASH_OPER_HIGH_EST_CIQ" vbProcedure="false">"c4578"</definedName>
    <definedName function="false" hidden="true" name="IQ_CASH_OPER_HIGH_GUIDANCE" vbProcedure="false">"c4185"</definedName>
    <definedName function="false" hidden="true" name="IQ_CASH_OPER_HIGH_GUIDANCE_CIQ" vbProcedure="false">"c4597"</definedName>
    <definedName function="false" hidden="true" name="IQ_CASH_OPER_LOW_EST" vbProcedure="false">"c4244"</definedName>
    <definedName function="false" hidden="true" name="IQ_CASH_OPER_LOW_EST_CIQ" vbProcedure="false">"c4768"</definedName>
    <definedName function="false" hidden="true" name="IQ_CASH_OPER_LOW_GUIDANCE" vbProcedure="false">"c4225"</definedName>
    <definedName function="false" hidden="true" name="IQ_CASH_OPER_LOW_GUIDANCE_CIQ" vbProcedure="false">"c4637"</definedName>
    <definedName function="false" hidden="true" name="IQ_CASH_OPER_MEDIAN_EST" vbProcedure="false">"c4245"</definedName>
    <definedName function="false" hidden="true" name="IQ_CASH_OPER_MEDIAN_EST_CIQ" vbProcedure="false">"c4771"</definedName>
    <definedName function="false" hidden="true" name="IQ_CASH_OPER_NUM_EST" vbProcedure="false">"c4246"</definedName>
    <definedName function="false" hidden="true" name="IQ_CASH_OPER_NUM_EST_CIQ" vbProcedure="false">"c4772"</definedName>
    <definedName function="false" hidden="true" name="IQ_CASH_OPER_STDDEV_EST" vbProcedure="false">"c4247"</definedName>
    <definedName function="false" hidden="true" name="IQ_CASH_OPER_STDDEV_EST_CIQ" vbProcedure="false">"c4773"</definedName>
    <definedName function="false" hidden="true" name="IQ_CASH_SEGREG" vbProcedure="false">"c123"</definedName>
    <definedName function="false" hidden="true" name="IQ_CASH_SHARE" vbProcedure="false">"c1911"</definedName>
    <definedName function="false" hidden="true" name="IQ_CASH_ST" vbProcedure="false">"c1355"</definedName>
    <definedName function="false" hidden="true" name="IQ_CASH_ST_INVEST" vbProcedure="false">"c124"</definedName>
    <definedName function="false" hidden="true" name="IQ_CASH_ST_INVEST_EST" vbProcedure="false">"c4249"</definedName>
    <definedName function="false" hidden="true" name="IQ_CASH_ST_INVEST_EST_CIQ" vbProcedure="false">"c4775"</definedName>
    <definedName function="false" hidden="true" name="IQ_CASH_ST_INVEST_GUIDANCE" vbProcedure="false">"c4250"</definedName>
    <definedName function="false" hidden="true" name="IQ_CASH_ST_INVEST_GUIDANCE_CIQ" vbProcedure="false">"c4776"</definedName>
    <definedName function="false" hidden="true" name="IQ_CASH_ST_INVEST_HIGH_EST" vbProcedure="false">"c4251"</definedName>
    <definedName function="false" hidden="true" name="IQ_CASH_ST_INVEST_HIGH_EST_CIQ" vbProcedure="false">"c4777"</definedName>
    <definedName function="false" hidden="true" name="IQ_CASH_ST_INVEST_HIGH_GUIDANCE" vbProcedure="false">"c4195"</definedName>
    <definedName function="false" hidden="true" name="IQ_CASH_ST_INVEST_HIGH_GUIDANCE_CIQ" vbProcedure="false">"c4607"</definedName>
    <definedName function="false" hidden="true" name="IQ_CASH_ST_INVEST_LOW_EST" vbProcedure="false">"c4252"</definedName>
    <definedName function="false" hidden="true" name="IQ_CASH_ST_INVEST_LOW_EST_CIQ" vbProcedure="false">"c4778"</definedName>
    <definedName function="false" hidden="true" name="IQ_CASH_ST_INVEST_LOW_GUIDANCE" vbProcedure="false">"c4235"</definedName>
    <definedName function="false" hidden="true" name="IQ_CASH_ST_INVEST_LOW_GUIDANCE_CIQ" vbProcedure="false">"c4647"</definedName>
    <definedName function="false" hidden="true" name="IQ_CASH_ST_INVEST_MEDIAN_EST" vbProcedure="false">"c4253"</definedName>
    <definedName function="false" hidden="true" name="IQ_CASH_ST_INVEST_MEDIAN_EST_CIQ" vbProcedure="false">"c4779"</definedName>
    <definedName function="false" hidden="true" name="IQ_CASH_ST_INVEST_NUM_EST" vbProcedure="false">"c4254"</definedName>
    <definedName function="false" hidden="true" name="IQ_CASH_ST_INVEST_NUM_EST_CIQ" vbProcedure="false">"c4780"</definedName>
    <definedName function="false" hidden="true" name="IQ_CASH_ST_INVEST_STDDEV_EST" vbProcedure="false">"c4255"</definedName>
    <definedName function="false" hidden="true" name="IQ_CASH_ST_INVEST_STDDEV_EST_CIQ" vbProcedure="false">"c4781"</definedName>
    <definedName function="false" hidden="true" name="IQ_CASH_TAXES" vbProcedure="false">"c125"</definedName>
    <definedName function="false" hidden="true" name="IQ_CASH_TAXES_FINAN" vbProcedure="false">"c6292"</definedName>
    <definedName function="false" hidden="true" name="IQ_CASH_TAXES_INVEST" vbProcedure="false">"c6291"</definedName>
    <definedName function="false" hidden="true" name="IQ_CASH_TAXES_OPER" vbProcedure="false">"c6290"</definedName>
    <definedName function="false" hidden="true" name="IQ_CCE_FDIC" vbProcedure="false">"c6296"</definedName>
    <definedName function="false" hidden="true" name="IQ_CDS_ASK" vbProcedure="false">"c6027"</definedName>
    <definedName function="false" hidden="true" name="IQ_CDS_BID" vbProcedure="false">"c6026"</definedName>
    <definedName function="false" hidden="true" name="IQ_CDS_CURRENCY" vbProcedure="false">"c6031"</definedName>
    <definedName function="false" hidden="true" name="IQ_CDS_EVAL_DATE" vbProcedure="false">"c6029"</definedName>
    <definedName function="false" hidden="true" name="IQ_CDS_MID" vbProcedure="false">"c6028"</definedName>
    <definedName function="false" hidden="true" name="IQ_CDS_NAME" vbProcedure="false">"c6034"</definedName>
    <definedName function="false" hidden="true" name="IQ_CDS_TERM" vbProcedure="false">"c6030"</definedName>
    <definedName function="false" hidden="true" name="IQ_CDS_TYPE" vbProcedure="false">"c6025"</definedName>
    <definedName function="false" hidden="true" name="IQ_CEDED_AH_EARNED" vbProcedure="false">"c2743"</definedName>
    <definedName function="false" hidden="true" name="IQ_CEDED_CLAIM_EXP_INCUR" vbProcedure="false">"c2756"</definedName>
    <definedName function="false" hidden="true" name="IQ_CEDED_CLAIM_EXP_PAID" vbProcedure="false">"c2759"</definedName>
    <definedName function="false" hidden="true" name="IQ_CEDED_CLAIM_EXP_RES" vbProcedure="false">"c2753"</definedName>
    <definedName function="false" hidden="true" name="IQ_CEDED_EARNED" vbProcedure="false">"c2733"</definedName>
    <definedName function="false" hidden="true" name="IQ_CEDED_LIFE_EARNED" vbProcedure="false">"c2738"</definedName>
    <definedName function="false" hidden="true" name="IQ_CEDED_LIFE_IN_FORCE" vbProcedure="false">"c2768"</definedName>
    <definedName function="false" hidden="true" name="IQ_CEDED_PC_EARNED" vbProcedure="false">"c2748"</definedName>
    <definedName function="false" hidden="true" name="IQ_CEDED_WRITTEN" vbProcedure="false">"c2727"</definedName>
    <definedName function="false" hidden="true" name="IQ_CFO_10YR_ANN_CAGR" vbProcedure="false">"c6055"</definedName>
    <definedName function="false" hidden="true" name="IQ_CFO_10YR_ANN_GROWTH" vbProcedure="false">"c126"</definedName>
    <definedName function="false" hidden="true" name="IQ_CFO_1YR_ANN_GROWTH" vbProcedure="false">"c127"</definedName>
    <definedName function="false" hidden="true" name="IQ_CFO_2YR_ANN_CAGR" vbProcedure="false">"c6056"</definedName>
    <definedName function="false" hidden="true" name="IQ_CFO_2YR_ANN_GROWTH" vbProcedure="false">"c128"</definedName>
    <definedName function="false" hidden="true" name="IQ_CFO_3YR_ANN_CAGR" vbProcedure="false">"c6057"</definedName>
    <definedName function="false" hidden="true" name="IQ_CFO_3YR_ANN_GROWTH" vbProcedure="false">"c129"</definedName>
    <definedName function="false" hidden="true" name="IQ_CFO_5YR_ANN_CAGR" vbProcedure="false">"c6058"</definedName>
    <definedName function="false" hidden="true" name="IQ_CFO_5YR_ANN_GROWTH" vbProcedure="false">"c130"</definedName>
    <definedName function="false" hidden="true" name="IQ_CFO_7YR_ANN_CAGR" vbProcedure="false">"c6059"</definedName>
    <definedName function="false" hidden="true" name="IQ_CFO_7YR_ANN_GROWTH" vbProcedure="false">"c131"</definedName>
    <definedName function="false" hidden="true" name="IQ_CFO_CURRENT_LIAB" vbProcedure="false">"c132"</definedName>
    <definedName function="false" hidden="true" name="IQ_CFPS_ACT_OR_EST" vbProcedure="false">"c2217"</definedName>
    <definedName function="false" hidden="true" name="IQ_CFPS_ACT_OR_EST_CIQ" vbProcedure="false">"c5061"</definedName>
    <definedName function="false" hidden="true" name="IQ_CFPS_EST" vbProcedure="false">"c1667"</definedName>
    <definedName function="false" hidden="true" name="IQ_CFPS_EST_CIQ" vbProcedure="false">"c3675"</definedName>
    <definedName function="false" hidden="true" name="IQ_CFPS_GUIDANCE" vbProcedure="false">"c4256"</definedName>
    <definedName function="false" hidden="true" name="IQ_CFPS_GUIDANCE_CIQ" vbProcedure="false">"c4782"</definedName>
    <definedName function="false" hidden="true" name="IQ_CFPS_HIGH_EST" vbProcedure="false">"c1669"</definedName>
    <definedName function="false" hidden="true" name="IQ_CFPS_HIGH_EST_CIQ" vbProcedure="false">"c3677"</definedName>
    <definedName function="false" hidden="true" name="IQ_CFPS_HIGH_GUIDANCE" vbProcedure="false">"c4167"</definedName>
    <definedName function="false" hidden="true" name="IQ_CFPS_HIGH_GUIDANCE_CIQ" vbProcedure="false">"c4579"</definedName>
    <definedName function="false" hidden="true" name="IQ_CFPS_LOW_EST" vbProcedure="false">"c1670"</definedName>
    <definedName function="false" hidden="true" name="IQ_CFPS_LOW_EST_CIQ" vbProcedure="false">"c3678"</definedName>
    <definedName function="false" hidden="true" name="IQ_CFPS_LOW_GUIDANCE" vbProcedure="false">"c4207"</definedName>
    <definedName function="false" hidden="true" name="IQ_CFPS_LOW_GUIDANCE_CIQ" vbProcedure="false">"c4619"</definedName>
    <definedName function="false" hidden="true" name="IQ_CFPS_MEDIAN_EST" vbProcedure="false">"c1668"</definedName>
    <definedName function="false" hidden="true" name="IQ_CFPS_MEDIAN_EST_CIQ" vbProcedure="false">"c3676"</definedName>
    <definedName function="false" hidden="true" name="IQ_CFPS_NUM_EST" vbProcedure="false">"c1671"</definedName>
    <definedName function="false" hidden="true" name="IQ_CFPS_NUM_EST_CIQ" vbProcedure="false">"c3679"</definedName>
    <definedName function="false" hidden="true" name="IQ_CFPS_STDDEV_EST" vbProcedure="false">"c1672"</definedName>
    <definedName function="false" hidden="true" name="IQ_CFPS_STDDEV_EST_CIQ" vbProcedure="false">"c3680"</definedName>
    <definedName function="false" hidden="true" name="IQ_CHANGES_WORK_CAP" vbProcedure="false">"c1357"</definedName>
    <definedName function="false" hidden="true" name="IQ_CHANGE_AP" vbProcedure="false">"c133"</definedName>
    <definedName function="false" hidden="true" name="IQ_CHANGE_AP_BNK" vbProcedure="false">"c134"</definedName>
    <definedName function="false" hidden="true" name="IQ_CHANGE_AP_BR" vbProcedure="false">"c135"</definedName>
    <definedName function="false" hidden="true" name="IQ_CHANGE_AP_FIN" vbProcedure="false">"c136"</definedName>
    <definedName function="false" hidden="true" name="IQ_CHANGE_AP_INS" vbProcedure="false">"c137"</definedName>
    <definedName function="false" hidden="true" name="IQ_CHANGE_AP_RE" vbProcedure="false">"c6200"</definedName>
    <definedName function="false" hidden="true" name="IQ_CHANGE_AP_REIT" vbProcedure="false">"c138"</definedName>
    <definedName function="false" hidden="true" name="IQ_CHANGE_AP_UTI" vbProcedure="false">"c139"</definedName>
    <definedName function="false" hidden="true" name="IQ_CHANGE_AR" vbProcedure="false">"c140"</definedName>
    <definedName function="false" hidden="true" name="IQ_CHANGE_AR_BNK" vbProcedure="false">"c141"</definedName>
    <definedName function="false" hidden="true" name="IQ_CHANGE_AR_BR" vbProcedure="false">"c142"</definedName>
    <definedName function="false" hidden="true" name="IQ_CHANGE_AR_FIN" vbProcedure="false">"c143"</definedName>
    <definedName function="false" hidden="true" name="IQ_CHANGE_AR_INS" vbProcedure="false">"c144"</definedName>
    <definedName function="false" hidden="true" name="IQ_CHANGE_AR_RE" vbProcedure="false">"c6201"</definedName>
    <definedName function="false" hidden="true" name="IQ_CHANGE_AR_REIT" vbProcedure="false">"c145"</definedName>
    <definedName function="false" hidden="true" name="IQ_CHANGE_AR_UTI" vbProcedure="false">"c146"</definedName>
    <definedName function="false" hidden="true" name="IQ_CHANGE_DEF_TAX" vbProcedure="false">"c147"</definedName>
    <definedName function="false" hidden="true" name="IQ_CHANGE_DEPOSIT_ACCT" vbProcedure="false">"c148"</definedName>
    <definedName function="false" hidden="true" name="IQ_CHANGE_INC_TAX" vbProcedure="false">"c149"</definedName>
    <definedName function="false" hidden="true" name="IQ_CHANGE_INS_RES_LIAB" vbProcedure="false">"c150"</definedName>
    <definedName function="false" hidden="true" name="IQ_CHANGE_INVENTORY" vbProcedure="false">"c151"</definedName>
    <definedName function="false" hidden="true" name="IQ_CHANGE_NET_OPER_ASSETS" vbProcedure="false">"c3592"</definedName>
    <definedName function="false" hidden="true" name="IQ_CHANGE_NET_WORKING_CAPITAL" vbProcedure="false">"c1909"</definedName>
    <definedName function="false" hidden="true" name="IQ_CHANGE_OTHER_NET_OPER_ASSETS" vbProcedure="false">"c3593"</definedName>
    <definedName function="false" hidden="true" name="IQ_CHANGE_OTHER_NET_OPER_ASSETS_BNK" vbProcedure="false">"c3594"</definedName>
    <definedName function="false" hidden="true" name="IQ_CHANGE_OTHER_NET_OPER_ASSETS_BR" vbProcedure="false">"c3595"</definedName>
    <definedName function="false" hidden="true" name="IQ_CHANGE_OTHER_NET_OPER_ASSETS_FIN" vbProcedure="false">"c3596"</definedName>
    <definedName function="false" hidden="true" name="IQ_CHANGE_OTHER_NET_OPER_ASSETS_INS" vbProcedure="false">"c3597"</definedName>
    <definedName function="false" hidden="true" name="IQ_CHANGE_OTHER_NET_OPER_ASSETS_RE" vbProcedure="false">"c6285"</definedName>
    <definedName function="false" hidden="true" name="IQ_CHANGE_OTHER_NET_OPER_ASSETS_REIT" vbProcedure="false">"c3598"</definedName>
    <definedName function="false" hidden="true" name="IQ_CHANGE_OTHER_NET_OPER_ASSETS_UTI" vbProcedure="false">"c3599"</definedName>
    <definedName function="false" hidden="true" name="IQ_CHANGE_OTHER_WORK_CAP" vbProcedure="false">"c152"</definedName>
    <definedName function="false" hidden="true" name="IQ_CHANGE_OTHER_WORK_CAP_BNK" vbProcedure="false">"c153"</definedName>
    <definedName function="false" hidden="true" name="IQ_CHANGE_OTHER_WORK_CAP_BR" vbProcedure="false">"c154"</definedName>
    <definedName function="false" hidden="true" name="IQ_CHANGE_OTHER_WORK_CAP_FIN" vbProcedure="false">"c155"</definedName>
    <definedName function="false" hidden="true" name="IQ_CHANGE_OTHER_WORK_CAP_INS" vbProcedure="false">"c156"</definedName>
    <definedName function="false" hidden="true" name="IQ_CHANGE_OTHER_WORK_CAP_REIT" vbProcedure="false">"c157"</definedName>
    <definedName function="false" hidden="true" name="IQ_CHANGE_OTHER_WORK_CAP_UTI" vbProcedure="false">"c158"</definedName>
    <definedName function="false" hidden="true" name="IQ_CHANGE_TRADING_ASSETS" vbProcedure="false">"c159"</definedName>
    <definedName function="false" hidden="true" name="IQ_CHANGE_UNEARN_REV" vbProcedure="false">"c160"</definedName>
    <definedName function="false" hidden="true" name="IQ_CHANGE_WORK_CAP" vbProcedure="false">"c161"</definedName>
    <definedName function="false" hidden="true" name="IQ_CHARGE_OFFS_1_4_FAMILY_FDIC" vbProcedure="false">"c6756"</definedName>
    <definedName function="false" hidden="true" name="IQ_CHARGE_OFFS_1_4_FAMILY_LOANS_FDIC" vbProcedure="false">"c6714"</definedName>
    <definedName function="false" hidden="true" name="IQ_CHARGE_OFFS_AUTO_LOANS_FDIC" vbProcedure="false">"c6708"</definedName>
    <definedName function="false" hidden="true" name="IQ_CHARGE_OFFS_CL_LOANS_FDIC" vbProcedure="false">"c6709"</definedName>
    <definedName function="false" hidden="true" name="IQ_CHARGE_OFFS_COMMERCIAL_INDUSTRIAL_FDIC" vbProcedure="false">"c6759"</definedName>
    <definedName function="false" hidden="true" name="IQ_CHARGE_OFFS_COMMERCIAL_RE_FDIC" vbProcedure="false">"c6754"</definedName>
    <definedName function="false" hidden="true" name="IQ_CHARGE_OFFS_COMMERCIAL_RE_NOT_SECURED_FDIC" vbProcedure="false">"c6764"</definedName>
    <definedName function="false" hidden="true" name="IQ_CHARGE_OFFS_CONSTRUCTION_DEVELOPMENT_FDIC" vbProcedure="false">"c6753"</definedName>
    <definedName function="false" hidden="true" name="IQ_CHARGE_OFFS_CREDIT_CARDS_FDIC" vbProcedure="false">"c6761"</definedName>
    <definedName function="false" hidden="true" name="IQ_CHARGE_OFFS_CREDIT_CARDS_RECEIVABLES_FDIC" vbProcedure="false">"c6711"</definedName>
    <definedName function="false" hidden="true" name="IQ_CHARGE_OFFS_GROSS" vbProcedure="false">"c162"</definedName>
    <definedName function="false" hidden="true" name="IQ_CHARGE_OFFS_HOME_EQUITY_FDIC" vbProcedure="false">"c6757"</definedName>
    <definedName function="false" hidden="true" name="IQ_CHARGE_OFFS_HOME_EQUITY_LINES_FDIC" vbProcedure="false">"c6712"</definedName>
    <definedName function="false" hidden="true" name="IQ_CHARGE_OFFS_INDIVIDUALS_FDIC" vbProcedure="false">"c6760"</definedName>
    <definedName function="false" hidden="true" name="IQ_CHARGE_OFFS_MULTI_FAMILY_FDIC" vbProcedure="false">"c6755"</definedName>
    <definedName function="false" hidden="true" name="IQ_CHARGE_OFFS_NET" vbProcedure="false">"c163"</definedName>
    <definedName function="false" hidden="true" name="IQ_CHARGE_OFFS_OTHER_1_4_FAMILY_FDIC" vbProcedure="false">"c6758"</definedName>
    <definedName function="false" hidden="true" name="IQ_CHARGE_OFFS_OTHER_CONSUMER_LOANS_FDIC" vbProcedure="false">"c6710"</definedName>
    <definedName function="false" hidden="true" name="IQ_CHARGE_OFFS_OTHER_INDIVIDUAL_FDIC" vbProcedure="false">"c6762"</definedName>
    <definedName function="false" hidden="true" name="IQ_CHARGE_OFFS_OTHER_LOANS_FDIC" vbProcedure="false">"c6763"</definedName>
    <definedName function="false" hidden="true" name="IQ_CHARGE_OFFS_OTHER_LOANS_OTHER_FDIC" vbProcedure="false">"c6713"</definedName>
    <definedName function="false" hidden="true" name="IQ_CHARGE_OFFS_RECOVERED" vbProcedure="false">"c164"</definedName>
    <definedName function="false" hidden="true" name="IQ_CHARGE_OFFS_RE_LOANS_FDIC" vbProcedure="false">"c6752"</definedName>
    <definedName function="false" hidden="true" name="IQ_CHARGE_OFFS_TOTAL_AVG_LOANS" vbProcedure="false">"c165"</definedName>
    <definedName function="false" hidden="true" name="IQ_CITY" vbProcedure="false">"c166"</definedName>
    <definedName function="false" hidden="true" name="IQ_CLASSA_OPTIONS_BEG_OS" vbProcedure="false">"c2679"</definedName>
    <definedName function="false" hidden="true" name="IQ_CLASSA_OPTIONS_CANCELLED" vbProcedure="false">"c2682"</definedName>
    <definedName function="false" hidden="true" name="IQ_CLASSA_OPTIONS_END_OS" vbProcedure="false">"c2683"</definedName>
    <definedName function="false" hidden="true" name="IQ_CLASSA_OPTIONS_EXERCISABLE_END_OS" vbProcedure="false">"c5809"</definedName>
    <definedName function="false" hidden="true" name="IQ_CLASSA_OPTIONS_EXERCISED" vbProcedure="false">"c2681"</definedName>
    <definedName function="false" hidden="true" name="IQ_CLASSA_OPTIONS_GRANTED" vbProcedure="false">"c2680"</definedName>
    <definedName function="false" hidden="true" name="IQ_CLASSA_OPTIONS_STRIKE_PRICE_BEG_OS" vbProcedure="false">"c5810"</definedName>
    <definedName function="false" hidden="true" name="IQ_CLASSA_OPTIONS_STRIKE_PRICE_CANCELLED" vbProcedure="false">"c5812"</definedName>
    <definedName function="false" hidden="true" name="IQ_CLASSA_OPTIONS_STRIKE_PRICE_EXERCISABLE" vbProcedure="false">"c5813"</definedName>
    <definedName function="false" hidden="true" name="IQ_CLASSA_OPTIONS_STRIKE_PRICE_EXERCISED" vbProcedure="false">"c5811"</definedName>
    <definedName function="false" hidden="true" name="IQ_CLASSA_OPTIONS_STRIKE_PRICE_OS" vbProcedure="false">"c2684"</definedName>
    <definedName function="false" hidden="true" name="IQ_CLASSA_OUTSTANDING_BS_DATE" vbProcedure="false">"c1971"</definedName>
    <definedName function="false" hidden="true" name="IQ_CLASSA_OUTSTANDING_FILING_DATE" vbProcedure="false">"c1973"</definedName>
    <definedName function="false" hidden="true" name="IQ_CLASSA_STRIKE_PRICE_GRANTED" vbProcedure="false">"c2685"</definedName>
    <definedName function="false" hidden="true" name="IQ_CLASSA_WARRANTS_BEG_OS" vbProcedure="false">"c2705"</definedName>
    <definedName function="false" hidden="true" name="IQ_CLASSA_WARRANTS_CANCELLED" vbProcedure="false">"c2708"</definedName>
    <definedName function="false" hidden="true" name="IQ_CLASSA_WARRANTS_END_OS" vbProcedure="false">"c2709"</definedName>
    <definedName function="false" hidden="true" name="IQ_CLASSA_WARRANTS_EXERCISED" vbProcedure="false">"c2707"</definedName>
    <definedName function="false" hidden="true" name="IQ_CLASSA_WARRANTS_ISSUED" vbProcedure="false">"c2706"</definedName>
    <definedName function="false" hidden="true" name="IQ_CLASSA_WARRANTS_STRIKE_PRICE_ISSUED" vbProcedure="false">"c2711"</definedName>
    <definedName function="false" hidden="true" name="IQ_CLASSA_WARRANTS_STRIKE_PRICE_OS" vbProcedure="false">"c2710"</definedName>
    <definedName function="false" hidden="true" name="IQ_CLOSEPRICE" vbProcedure="false">"c174"</definedName>
    <definedName function="false" hidden="true" name="IQ_CLOSEPRICE_ADJ" vbProcedure="false">"c2115"</definedName>
    <definedName function="false" hidden="true" name="IQ_CL_DUE_AFTER_FIVE" vbProcedure="false">"c167"</definedName>
    <definedName function="false" hidden="true" name="IQ_CL_DUE_CY" vbProcedure="false">"c168"</definedName>
    <definedName function="false" hidden="true" name="IQ_CL_DUE_CY1" vbProcedure="false">"c169"</definedName>
    <definedName function="false" hidden="true" name="IQ_CL_DUE_CY2" vbProcedure="false">"c170"</definedName>
    <definedName function="false" hidden="true" name="IQ_CL_DUE_CY3" vbProcedure="false">"c171"</definedName>
    <definedName function="false" hidden="true" name="IQ_CL_DUE_CY4" vbProcedure="false">"c172"</definedName>
    <definedName function="false" hidden="true" name="IQ_CL_DUE_NEXT_FIVE" vbProcedure="false">"c173"</definedName>
    <definedName function="false" hidden="true" name="IQ_CL_OBLIGATION_IMMEDIATE" vbProcedure="false">"c2253"</definedName>
    <definedName function="false" hidden="true" name="IQ_CMO_FDIC" vbProcedure="false">"c6406"</definedName>
    <definedName function="false" hidden="true" name="IQ_COGS" vbProcedure="false">"c175"</definedName>
    <definedName function="false" hidden="true" name="IQ_COLLECTION_DOMESTIC_FDIC" vbProcedure="false">"c6387"</definedName>
    <definedName function="false" hidden="true" name="IQ_COMBINED_RATIO" vbProcedure="false">"c176"</definedName>
    <definedName function="false" hidden="true" name="IQ_COMMERCIAL_BANKS_DEPOSITS_FOREIGN_FDIC" vbProcedure="false">"c6480"</definedName>
    <definedName function="false" hidden="true" name="IQ_COMMERCIAL_BANKS_LOANS_FDIC" vbProcedure="false">"c6434"</definedName>
    <definedName function="false" hidden="true" name="IQ_COMMERCIAL_BANKS_NONTRANSACTION_ACCOUNTS_FDIC" vbProcedure="false">"c6548"</definedName>
    <definedName function="false" hidden="true" name="IQ_COMMERCIAL_BANKS_TOTAL_DEPOSITS_FDIC" vbProcedure="false">"c6474"</definedName>
    <definedName function="false" hidden="true" name="IQ_COMMERCIAL_BANKS_TOTAL_LOANS_FOREIGN_FDIC" vbProcedure="false">"c6444"</definedName>
    <definedName function="false" hidden="true" name="IQ_COMMERCIAL_BANKS_TRANSACTION_ACCOUNTS_FDIC" vbProcedure="false">"c6540"</definedName>
    <definedName function="false" hidden="true" name="IQ_COMMERCIAL_DOM" vbProcedure="false">"c177"</definedName>
    <definedName function="false" hidden="true" name="IQ_COMMERCIAL_FIRE_WRITTEN" vbProcedure="false">"c178"</definedName>
    <definedName function="false" hidden="true" name="IQ_COMMERCIAL_INDUSTRIAL_CHARGE_OFFS_FDIC" vbProcedure="false">"c6598"</definedName>
    <definedName function="false" hidden="true" name="IQ_COMMERCIAL_INDUSTRIAL_LOANS_NET_FDIC" vbProcedure="false">"c6317"</definedName>
    <definedName function="false" hidden="true" name="IQ_COMMERCIAL_INDUSTRIAL_NET_CHARGE_OFFS_FDIC" vbProcedure="false">"c6636"</definedName>
    <definedName function="false" hidden="true" name="IQ_COMMERCIAL_INDUSTRIAL_RECOVERIES_FDIC" vbProcedure="false">"c6617"</definedName>
    <definedName function="false" hidden="true" name="IQ_COMMERCIAL_INDUSTRIAL_TOTAL_LOANS_FOREIGN_FDIC" vbProcedure="false">"c6451"</definedName>
    <definedName function="false" hidden="true" name="IQ_COMMERCIAL_MORT" vbProcedure="false">"c179"</definedName>
    <definedName function="false" hidden="true" name="IQ_COMMERCIAL_RE_CONSTRUCTION_LAND_DEV_FDIC" vbProcedure="false">"c6526"</definedName>
    <definedName function="false" hidden="true" name="IQ_COMMERCIAL_RE_LOANS_FDIC" vbProcedure="false">"c6312"</definedName>
    <definedName function="false" hidden="true" name="IQ_COMMISSION_DEF" vbProcedure="false">"c181"</definedName>
    <definedName function="false" hidden="true" name="IQ_COMMISS_FEES" vbProcedure="false">"c180"</definedName>
    <definedName function="false" hidden="true" name="IQ_COMMITMENTS_MATURITY_EXCEEDING_1YR_FDIC" vbProcedure="false">"c6531"</definedName>
    <definedName function="false" hidden="true" name="IQ_COMMITMENTS_NOT_SECURED_RE_FDIC" vbProcedure="false">"c6528"</definedName>
    <definedName function="false" hidden="true" name="IQ_COMMITMENTS_SECURED_RE_FDIC" vbProcedure="false">"c6527"</definedName>
    <definedName function="false" hidden="true" name="IQ_COMMODITY_EXPOSURES_FDIC" vbProcedure="false">"c6665"</definedName>
    <definedName function="false" hidden="true" name="IQ_COMMON" vbProcedure="false">"c182"</definedName>
    <definedName function="false" hidden="true" name="IQ_COMMON_APIC" vbProcedure="false">"c183"</definedName>
    <definedName function="false" hidden="true" name="IQ_COMMON_APIC_BNK" vbProcedure="false">"c184"</definedName>
    <definedName function="false" hidden="true" name="IQ_COMMON_APIC_BR" vbProcedure="false">"c185"</definedName>
    <definedName function="false" hidden="true" name="IQ_COMMON_APIC_FIN" vbProcedure="false">"c186"</definedName>
    <definedName function="false" hidden="true" name="IQ_COMMON_APIC_INS" vbProcedure="false">"c187"</definedName>
    <definedName function="false" hidden="true" name="IQ_COMMON_APIC_RE" vbProcedure="false">"c6202"</definedName>
    <definedName function="false" hidden="true" name="IQ_COMMON_APIC_REIT" vbProcedure="false">"c188"</definedName>
    <definedName function="false" hidden="true" name="IQ_COMMON_APIC_UTI" vbProcedure="false">"c189"</definedName>
    <definedName function="false" hidden="true" name="IQ_COMMON_DIV" vbProcedure="false">"c3006"</definedName>
    <definedName function="false" hidden="true" name="IQ_COMMON_DIV_CF" vbProcedure="false">"c190"</definedName>
    <definedName function="false" hidden="true" name="IQ_COMMON_EQUITY_10YR_ANN_CAGR" vbProcedure="false">"c6060"</definedName>
    <definedName function="false" hidden="true" name="IQ_COMMON_EQUITY_10YR_ANN_GROWTH" vbProcedure="false">"c191"</definedName>
    <definedName function="false" hidden="true" name="IQ_COMMON_EQUITY_1YR_ANN_GROWTH" vbProcedure="false">"c192"</definedName>
    <definedName function="false" hidden="true" name="IQ_COMMON_EQUITY_2YR_ANN_CAGR" vbProcedure="false">"c6061"</definedName>
    <definedName function="false" hidden="true" name="IQ_COMMON_EQUITY_2YR_ANN_GROWTH" vbProcedure="false">"c193"</definedName>
    <definedName function="false" hidden="true" name="IQ_COMMON_EQUITY_3YR_ANN_CAGR" vbProcedure="false">"c6062"</definedName>
    <definedName function="false" hidden="true" name="IQ_COMMON_EQUITY_3YR_ANN_GROWTH" vbProcedure="false">"c194"</definedName>
    <definedName function="false" hidden="true" name="IQ_COMMON_EQUITY_5YR_ANN_CAGR" vbProcedure="false">"c6063"</definedName>
    <definedName function="false" hidden="true" name="IQ_COMMON_EQUITY_5YR_ANN_GROWTH" vbProcedure="false">"c195"</definedName>
    <definedName function="false" hidden="true" name="IQ_COMMON_EQUITY_7YR_ANN_CAGR" vbProcedure="false">"c6064"</definedName>
    <definedName function="false" hidden="true" name="IQ_COMMON_EQUITY_7YR_ANN_GROWTH" vbProcedure="false">"c196"</definedName>
    <definedName function="false" hidden="true" name="IQ_COMMON_FDIC" vbProcedure="false">"c6350"</definedName>
    <definedName function="false" hidden="true" name="IQ_COMMON_ISSUED" vbProcedure="false">"c197"</definedName>
    <definedName function="false" hidden="true" name="IQ_COMMON_ISSUED_BNK" vbProcedure="false">"c198"</definedName>
    <definedName function="false" hidden="true" name="IQ_COMMON_ISSUED_BR" vbProcedure="false">"c199"</definedName>
    <definedName function="false" hidden="true" name="IQ_COMMON_ISSUED_FIN" vbProcedure="false">"c200"</definedName>
    <definedName function="false" hidden="true" name="IQ_COMMON_ISSUED_INS" vbProcedure="false">"c201"</definedName>
    <definedName function="false" hidden="true" name="IQ_COMMON_ISSUED_RE" vbProcedure="false">"c6203"</definedName>
    <definedName function="false" hidden="true" name="IQ_COMMON_ISSUED_REIT" vbProcedure="false">"c202"</definedName>
    <definedName function="false" hidden="true" name="IQ_COMMON_ISSUED_UTI" vbProcedure="false">"c203"</definedName>
    <definedName function="false" hidden="true" name="IQ_COMMON_PER_ADR" vbProcedure="false">"c204"</definedName>
    <definedName function="false" hidden="true" name="IQ_COMMON_PREF_DIV_CF" vbProcedure="false">"c205"</definedName>
    <definedName function="false" hidden="true" name="IQ_COMMON_REP" vbProcedure="false">"c206"</definedName>
    <definedName function="false" hidden="true" name="IQ_COMMON_REP_BNK" vbProcedure="false">"c207"</definedName>
    <definedName function="false" hidden="true" name="IQ_COMMON_REP_BR" vbProcedure="false">"c208"</definedName>
    <definedName function="false" hidden="true" name="IQ_COMMON_REP_FIN" vbProcedure="false">"c209"</definedName>
    <definedName function="false" hidden="true" name="IQ_COMMON_REP_INS" vbProcedure="false">"c210"</definedName>
    <definedName function="false" hidden="true" name="IQ_COMMON_REP_RE" vbProcedure="false">"c6204"</definedName>
    <definedName function="false" hidden="true" name="IQ_COMMON_REP_REIT" vbProcedure="false">"c211"</definedName>
    <definedName function="false" hidden="true" name="IQ_COMMON_REP_UTI" vbProcedure="false">"c212"</definedName>
    <definedName function="false" hidden="true" name="IQ_COMMON_STOCK" vbProcedure="false">"c1358"</definedName>
    <definedName function="false" hidden="true" name="IQ_COMPANY_ADDRESS" vbProcedure="false">"c214"</definedName>
    <definedName function="false" hidden="true" name="IQ_COMPANY_ID" vbProcedure="false">"c3513"</definedName>
    <definedName function="false" hidden="true" name="IQ_COMPANY_NAME" vbProcedure="false">"c215"</definedName>
    <definedName function="false" hidden="true" name="IQ_COMPANY_NAME_LONG" vbProcedure="false">"c1585"</definedName>
    <definedName function="false" hidden="true" name="IQ_COMPANY_NOTE" vbProcedure="false">"c6792"</definedName>
    <definedName function="false" hidden="true" name="IQ_COMPANY_PHONE" vbProcedure="false">"c216"</definedName>
    <definedName function="false" hidden="true" name="IQ_COMPANY_STATUS" vbProcedure="false">"c2097"</definedName>
    <definedName function="false" hidden="true" name="IQ_COMPANY_STREET1" vbProcedure="false">"c217"</definedName>
    <definedName function="false" hidden="true" name="IQ_COMPANY_STREET2" vbProcedure="false">"c218"</definedName>
    <definedName function="false" hidden="true" name="IQ_COMPANY_TICKER" vbProcedure="false">"c219"</definedName>
    <definedName function="false" hidden="true" name="IQ_COMPANY_TYPE" vbProcedure="false">"c2096"</definedName>
    <definedName function="false" hidden="true" name="IQ_COMPANY_WEBSITE" vbProcedure="false">"c220"</definedName>
    <definedName function="false" hidden="true" name="IQ_COMPANY_ZIP" vbProcedure="false">"c221"</definedName>
    <definedName function="false" hidden="true" name="IQ_COMP_BENEFITS" vbProcedure="false">"c213"</definedName>
    <definedName function="false" hidden="true" name="IQ_CONSTRUCTION_DEV_LOANS_FDIC" vbProcedure="false">"c6313"</definedName>
    <definedName function="false" hidden="true" name="IQ_CONSTRUCTION_LAND_DEVELOPMENT_CHARGE_OFFS_FDIC" vbProcedure="false">"c6594"</definedName>
    <definedName function="false" hidden="true" name="IQ_CONSTRUCTION_LAND_DEVELOPMENT_NET_CHARGE_OFFS_FDIC" vbProcedure="false">"c6632"</definedName>
    <definedName function="false" hidden="true" name="IQ_CONSTRUCTION_LAND_DEVELOPMENT_RECOVERIES_FDIC" vbProcedure="false">"c6613"</definedName>
    <definedName function="false" hidden="true" name="IQ_CONSTRUCTION_LOANS" vbProcedure="false">"c222"</definedName>
    <definedName function="false" hidden="true" name="IQ_CONSUMER_LOANS" vbProcedure="false">"c223"</definedName>
    <definedName function="false" hidden="true" name="IQ_CONTRACTS_OTHER_COMMODITIES_EQUITIES._FDIC" vbProcedure="false">"c6522"</definedName>
    <definedName function="false" hidden="true" name="IQ_CONVERT" vbProcedure="false">"c2536"</definedName>
    <definedName function="false" hidden="true" name="IQ_CONVERT_PCT" vbProcedure="false">"c2537"</definedName>
    <definedName function="false" hidden="true" name="IQ_CONVEXITY" vbProcedure="false">"c2182"</definedName>
    <definedName function="false" hidden="true" name="IQ_CONVEYED_TO_OTHERS_FDIC" vbProcedure="false">"c6534"</definedName>
    <definedName function="false" hidden="true" name="IQ_CONV_DATE" vbProcedure="false">"c2191"</definedName>
    <definedName function="false" hidden="true" name="IQ_CONV_EXP_DATE" vbProcedure="false">"c3043"</definedName>
    <definedName function="false" hidden="true" name="IQ_CONV_PREMIUM" vbProcedure="false">"c2195"</definedName>
    <definedName function="false" hidden="true" name="IQ_CONV_PRICE" vbProcedure="false">"c2193"</definedName>
    <definedName function="false" hidden="true" name="IQ_CONV_RATE" vbProcedure="false">"c2192"</definedName>
    <definedName function="false" hidden="true" name="IQ_CONV_RATIO" vbProcedure="false">"c2192"</definedName>
    <definedName function="false" hidden="true" name="IQ_CONV_SECURITY" vbProcedure="false">"c2189"</definedName>
    <definedName function="false" hidden="true" name="IQ_CONV_SECURITY_ISSUER" vbProcedure="false">"c2190"</definedName>
    <definedName function="false" hidden="true" name="IQ_CONV_SECURITY_PRICE" vbProcedure="false">"c2194"</definedName>
    <definedName function="false" hidden="true" name="IQ_CORE_CAPITAL_RATIO_FDIC" vbProcedure="false">"c6745"</definedName>
    <definedName function="false" hidden="true" name="IQ_COST_BORROWING" vbProcedure="false">"c2936"</definedName>
    <definedName function="false" hidden="true" name="IQ_COST_BORROWINGS" vbProcedure="false">"c225"</definedName>
    <definedName function="false" hidden="true" name="IQ_COST_OF_FUNDING_ASSETS_FDIC" vbProcedure="false">"c6725"</definedName>
    <definedName function="false" hidden="true" name="IQ_COST_REV" vbProcedure="false">"c226"</definedName>
    <definedName function="false" hidden="true" name="IQ_COST_REVENUE" vbProcedure="false">"c1359"</definedName>
    <definedName function="false" hidden="true" name="IQ_COST_SAVINGS" vbProcedure="false">"c227"</definedName>
    <definedName function="false" hidden="true" name="IQ_COST_SERVICE" vbProcedure="false">"c228"</definedName>
    <definedName function="false" hidden="true" name="IQ_COST_TOTAL_BORROWINGS" vbProcedure="false">"c229"</definedName>
    <definedName function="false" hidden="true" name="IQ_COUNTRY_NAME" vbProcedure="false">"c230"</definedName>
    <definedName function="false" hidden="true" name="IQ_COVERED_POPS" vbProcedure="false">"c2124"</definedName>
    <definedName function="false" hidden="true" name="IQ_CP" vbProcedure="false">"c2495"</definedName>
    <definedName function="false" hidden="true" name="IQ_CP_PCT" vbProcedure="false">"c2496"</definedName>
    <definedName function="false" hidden="true" name="IQ_CQ" vbProcedure="false">5000</definedName>
    <definedName function="false" hidden="true" name="IQ_CREDIT_CARD_CHARGE_OFFS_FDIC" vbProcedure="false">"c6652"</definedName>
    <definedName function="false" hidden="true" name="IQ_CREDIT_CARD_FEE_BNK" vbProcedure="false">"c231"</definedName>
    <definedName function="false" hidden="true" name="IQ_CREDIT_CARD_FEE_FIN" vbProcedure="false">"c1583"</definedName>
    <definedName function="false" hidden="true" name="IQ_CREDIT_CARD_LINES_FDIC" vbProcedure="false">"c6525"</definedName>
    <definedName function="false" hidden="true" name="IQ_CREDIT_CARD_LOANS_FDIC" vbProcedure="false">"c6319"</definedName>
    <definedName function="false" hidden="true" name="IQ_CREDIT_CARD_NET_CHARGE_OFFS_FDIC" vbProcedure="false">"c6654"</definedName>
    <definedName function="false" hidden="true" name="IQ_CREDIT_CARD_RECOVERIES_FDIC" vbProcedure="false">"c6653"</definedName>
    <definedName function="false" hidden="true" name="IQ_CREDIT_LOSS_CF" vbProcedure="false">"c232"</definedName>
    <definedName function="false" hidden="true" name="IQ_CREDIT_LOSS_PROVISION_NET_CHARGE_OFFS_FDIC" vbProcedure="false">"c6734"</definedName>
    <definedName function="false" hidden="true" name="IQ_CUMULATIVE_SPLIT_FACTOR" vbProcedure="false">"c2094"</definedName>
    <definedName function="false" hidden="true" name="IQ_CURRENCY_COIN_DOMESTIC_FDIC" vbProcedure="false">"c6388"</definedName>
    <definedName function="false" hidden="true" name="IQ_CURRENCY_FACTOR_BS" vbProcedure="false">"c233"</definedName>
    <definedName function="false" hidden="true" name="IQ_CURRENCY_FACTOR_IS" vbProcedure="false">"c234"</definedName>
    <definedName function="false" hidden="true" name="IQ_CURRENCY_GAIN" vbProcedure="false">"c235"</definedName>
    <definedName function="false" hidden="true" name="IQ_CURRENCY_GAIN_BR" vbProcedure="false">"c236"</definedName>
    <definedName function="false" hidden="true" name="IQ_CURRENCY_GAIN_FIN" vbProcedure="false">"c237"</definedName>
    <definedName function="false" hidden="true" name="IQ_CURRENCY_GAIN_INS" vbProcedure="false">"c238"</definedName>
    <definedName function="false" hidden="true" name="IQ_CURRENCY_GAIN_RE" vbProcedure="false">"c6205"</definedName>
    <definedName function="false" hidden="true" name="IQ_CURRENCY_GAIN_REIT" vbProcedure="false">"c239"</definedName>
    <definedName function="false" hidden="true" name="IQ_CURRENCY_GAIN_UTI" vbProcedure="false">"c240"</definedName>
    <definedName function="false" hidden="true" name="IQ_CURRENT_BENCHMARK" vbProcedure="false">"c6780"</definedName>
    <definedName function="false" hidden="true" name="IQ_CURRENT_BENCHMARK_CIQID" vbProcedure="false">"c6781"</definedName>
    <definedName function="false" hidden="true" name="IQ_CURRENT_BENCHMARK_MATURITY" vbProcedure="false">"c6782"</definedName>
    <definedName function="false" hidden="true" name="IQ_CURRENT_PORT" vbProcedure="false">"c241"</definedName>
    <definedName function="false" hidden="true" name="IQ_CURRENT_PORT_BNK" vbProcedure="false">"c242"</definedName>
    <definedName function="false" hidden="true" name="IQ_CURRENT_PORT_DEBT" vbProcedure="false">"c243"</definedName>
    <definedName function="false" hidden="true" name="IQ_CURRENT_PORT_DEBT_BNK" vbProcedure="false">"c244"</definedName>
    <definedName function="false" hidden="true" name="IQ_CURRENT_PORT_DEBT_BR" vbProcedure="false">"c1567"</definedName>
    <definedName function="false" hidden="true" name="IQ_CURRENT_PORT_DEBT_FIN" vbProcedure="false">"c1568"</definedName>
    <definedName function="false" hidden="true" name="IQ_CURRENT_PORT_DEBT_INS" vbProcedure="false">"c1569"</definedName>
    <definedName function="false" hidden="true" name="IQ_CURRENT_PORT_DEBT_RE" vbProcedure="false">"c6283"</definedName>
    <definedName function="false" hidden="true" name="IQ_CURRENT_PORT_DEBT_REIT" vbProcedure="false">"c1570"</definedName>
    <definedName function="false" hidden="true" name="IQ_CURRENT_PORT_DEBT_UTI" vbProcedure="false">"c1571"</definedName>
    <definedName function="false" hidden="true" name="IQ_CURRENT_PORT_FHLB_DEBT" vbProcedure="false">"c5657"</definedName>
    <definedName function="false" hidden="true" name="IQ_CURRENT_PORT_LEASES" vbProcedure="false">"c245"</definedName>
    <definedName function="false" hidden="true" name="IQ_CURRENT_PORT_PCT" vbProcedure="false">"c2541"</definedName>
    <definedName function="false" hidden="true" name="IQ_CURRENT_RATIO" vbProcedure="false">"c246"</definedName>
    <definedName function="false" hidden="true" name="IQ_CURR_DOMESTIC_TAXES" vbProcedure="false">"c2074"</definedName>
    <definedName function="false" hidden="true" name="IQ_CURR_FOREIGN_TAXES" vbProcedure="false">"c2075"</definedName>
    <definedName function="false" hidden="true" name="IQ_CY" vbProcedure="false">10000</definedName>
    <definedName function="false" hidden="true" name="IQ_DA" vbProcedure="false">"c247"</definedName>
    <definedName function="false" hidden="true" name="IQ_DATED_DATE" vbProcedure="false">"c2185"</definedName>
    <definedName function="false" hidden="true" name="IQ_DAYS_COVER_SHORT" vbProcedure="false">"c1578"</definedName>
    <definedName function="false" hidden="true" name="IQ_DAYS_INVENTORY_OUT" vbProcedure="false">"c273"</definedName>
    <definedName function="false" hidden="true" name="IQ_DAYS_PAYABLE_OUT" vbProcedure="false">"c274"</definedName>
    <definedName function="false" hidden="true" name="IQ_DAYS_PAY_OUTST" vbProcedure="false">"c1362"</definedName>
    <definedName function="false" hidden="true" name="IQ_DAYS_SALES_OUT" vbProcedure="false">"c275"</definedName>
    <definedName function="false" hidden="true" name="IQ_DAYS_SALES_OUTST" vbProcedure="false">"c1363"</definedName>
    <definedName function="false" hidden="true" name="IQ_DAY_COUNT" vbProcedure="false">"c2161"</definedName>
    <definedName function="false" hidden="true" name="IQ_DA_BR" vbProcedure="false">"c248"</definedName>
    <definedName function="false" hidden="true" name="IQ_DA_CF" vbProcedure="false">"c249"</definedName>
    <definedName function="false" hidden="true" name="IQ_DA_CF_BNK" vbProcedure="false">"c250"</definedName>
    <definedName function="false" hidden="true" name="IQ_DA_CF_BR" vbProcedure="false">"c251"</definedName>
    <definedName function="false" hidden="true" name="IQ_DA_CF_FIN" vbProcedure="false">"c252"</definedName>
    <definedName function="false" hidden="true" name="IQ_DA_CF_INS" vbProcedure="false">"c253"</definedName>
    <definedName function="false" hidden="true" name="IQ_DA_CF_RE" vbProcedure="false">"c6206"</definedName>
    <definedName function="false" hidden="true" name="IQ_DA_CF_REIT" vbProcedure="false">"c254"</definedName>
    <definedName function="false" hidden="true" name="IQ_DA_CF_UTI" vbProcedure="false">"c255"</definedName>
    <definedName function="false" hidden="true" name="IQ_DA_EBITDA" vbProcedure="false">"c5528"</definedName>
    <definedName function="false" hidden="true" name="IQ_DA_FIN" vbProcedure="false">"c256"</definedName>
    <definedName function="false" hidden="true" name="IQ_DA_INS" vbProcedure="false">"c257"</definedName>
    <definedName function="false" hidden="true" name="IQ_DA_RE" vbProcedure="false">"c6207"</definedName>
    <definedName function="false" hidden="true" name="IQ_DA_REIT" vbProcedure="false">"c258"</definedName>
    <definedName function="false" hidden="true" name="IQ_DA_SUPPL" vbProcedure="false">"c259"</definedName>
    <definedName function="false" hidden="true" name="IQ_DA_SUPPL_BR" vbProcedure="false">"c260"</definedName>
    <definedName function="false" hidden="true" name="IQ_DA_SUPPL_CF" vbProcedure="false">"c261"</definedName>
    <definedName function="false" hidden="true" name="IQ_DA_SUPPL_CF_BNK" vbProcedure="false">"c262"</definedName>
    <definedName function="false" hidden="true" name="IQ_DA_SUPPL_CF_BR" vbProcedure="false">"c263"</definedName>
    <definedName function="false" hidden="true" name="IQ_DA_SUPPL_CF_FIN" vbProcedure="false">"c264"</definedName>
    <definedName function="false" hidden="true" name="IQ_DA_SUPPL_CF_INS" vbProcedure="false">"c265"</definedName>
    <definedName function="false" hidden="true" name="IQ_DA_SUPPL_CF_RE" vbProcedure="false">"c6208"</definedName>
    <definedName function="false" hidden="true" name="IQ_DA_SUPPL_CF_REIT" vbProcedure="false">"c266"</definedName>
    <definedName function="false" hidden="true" name="IQ_DA_SUPPL_CF_UTI" vbProcedure="false">"c267"</definedName>
    <definedName function="false" hidden="true" name="IQ_DA_SUPPL_FIN" vbProcedure="false">"c268"</definedName>
    <definedName function="false" hidden="true" name="IQ_DA_SUPPL_INS" vbProcedure="false">"c269"</definedName>
    <definedName function="false" hidden="true" name="IQ_DA_SUPPL_RE" vbProcedure="false">"c6209"</definedName>
    <definedName function="false" hidden="true" name="IQ_DA_SUPPL_REIT" vbProcedure="false">"c270"</definedName>
    <definedName function="false" hidden="true" name="IQ_DA_SUPPL_UTI" vbProcedure="false">"c271"</definedName>
    <definedName function="false" hidden="true" name="IQ_DA_UTI" vbProcedure="false">"c272"</definedName>
    <definedName function="false" hidden="true" name="IQ_DEBT_ADJ" vbProcedure="false">"c2515"</definedName>
    <definedName function="false" hidden="true" name="IQ_DEBT_ADJ_PCT" vbProcedure="false">"c2516"</definedName>
    <definedName function="false" hidden="true" name="IQ_DEBT_EQUITY_EST" vbProcedure="false">"c4257"</definedName>
    <definedName function="false" hidden="true" name="IQ_DEBT_EQUITY_EST_CIQ" vbProcedure="false">"c4783"</definedName>
    <definedName function="false" hidden="true" name="IQ_DEBT_EQUITY_HIGH_EST" vbProcedure="false">"c4258"</definedName>
    <definedName function="false" hidden="true" name="IQ_DEBT_EQUITY_HIGH_EST_CIQ" vbProcedure="false">"c4784"</definedName>
    <definedName function="false" hidden="true" name="IQ_DEBT_EQUITY_LOW_EST" vbProcedure="false">"c4259"</definedName>
    <definedName function="false" hidden="true" name="IQ_DEBT_EQUITY_LOW_EST_CIQ" vbProcedure="false">"c4785"</definedName>
    <definedName function="false" hidden="true" name="IQ_DEBT_EQUITY_MEDIAN_EST" vbProcedure="false">"c4260"</definedName>
    <definedName function="false" hidden="true" name="IQ_DEBT_EQUITY_MEDIAN_EST_CIQ" vbProcedure="false">"c4786"</definedName>
    <definedName function="false" hidden="true" name="IQ_DEBT_EQUITY_NUM_EST" vbProcedure="false">"c4261"</definedName>
    <definedName function="false" hidden="true" name="IQ_DEBT_EQUITY_NUM_EST_CIQ" vbProcedure="false">"c4787"</definedName>
    <definedName function="false" hidden="true" name="IQ_DEBT_EQUITY_STDDEV_EST" vbProcedure="false">"c4262"</definedName>
    <definedName function="false" hidden="true" name="IQ_DEBT_EQUITY_STDDEV_EST_CIQ" vbProcedure="false">"c4788"</definedName>
    <definedName function="false" hidden="true" name="IQ_DEBT_EQUIV_NET_PBO" vbProcedure="false">"c2938"</definedName>
    <definedName function="false" hidden="true" name="IQ_DEBT_EQUIV_OPER_LEASE" vbProcedure="false">"c2935"</definedName>
    <definedName function="false" hidden="true" name="IQ_DEFERRED_DOMESTIC_TAXES" vbProcedure="false">"c2077"</definedName>
    <definedName function="false" hidden="true" name="IQ_DEFERRED_FOREIGN_TAXES" vbProcedure="false">"c2078"</definedName>
    <definedName function="false" hidden="true" name="IQ_DEFERRED_INC_TAX" vbProcedure="false">"c1447"</definedName>
    <definedName function="false" hidden="true" name="IQ_DEFERRED_TAXES" vbProcedure="false">"c1356"</definedName>
    <definedName function="false" hidden="true" name="IQ_DEF_ACQ_CST" vbProcedure="false">"c1364"</definedName>
    <definedName function="false" hidden="true" name="IQ_DEF_AMORT" vbProcedure="false">"c276"</definedName>
    <definedName function="false" hidden="true" name="IQ_DEF_AMORT_BNK" vbProcedure="false">"c277"</definedName>
    <definedName function="false" hidden="true" name="IQ_DEF_AMORT_BR" vbProcedure="false">"c278"</definedName>
    <definedName function="false" hidden="true" name="IQ_DEF_AMORT_FIN" vbProcedure="false">"c279"</definedName>
    <definedName function="false" hidden="true" name="IQ_DEF_AMORT_INS" vbProcedure="false">"c280"</definedName>
    <definedName function="false" hidden="true" name="IQ_DEF_AMORT_REIT" vbProcedure="false">"c281"</definedName>
    <definedName function="false" hidden="true" name="IQ_DEF_AMORT_UTI" vbProcedure="false">"c282"</definedName>
    <definedName function="false" hidden="true" name="IQ_DEF_BENEFIT_INTEREST_COST" vbProcedure="false">"c283"</definedName>
    <definedName function="false" hidden="true" name="IQ_DEF_BENEFIT_INTEREST_COST_DOMESTIC" vbProcedure="false">"c2652"</definedName>
    <definedName function="false" hidden="true" name="IQ_DEF_BENEFIT_INTEREST_COST_FOREIGN" vbProcedure="false">"c2660"</definedName>
    <definedName function="false" hidden="true" name="IQ_DEF_BENEFIT_OTHER_COST" vbProcedure="false">"c284"</definedName>
    <definedName function="false" hidden="true" name="IQ_DEF_BENEFIT_OTHER_COST_DOMESTIC" vbProcedure="false">"c2654"</definedName>
    <definedName function="false" hidden="true" name="IQ_DEF_BENEFIT_OTHER_COST_FOREIGN" vbProcedure="false">"c2662"</definedName>
    <definedName function="false" hidden="true" name="IQ_DEF_BENEFIT_ROA" vbProcedure="false">"c285"</definedName>
    <definedName function="false" hidden="true" name="IQ_DEF_BENEFIT_ROA_DOMESTIC" vbProcedure="false">"c2653"</definedName>
    <definedName function="false" hidden="true" name="IQ_DEF_BENEFIT_ROA_FOREIGN" vbProcedure="false">"c2661"</definedName>
    <definedName function="false" hidden="true" name="IQ_DEF_BENEFIT_SERVICE_COST" vbProcedure="false">"c286"</definedName>
    <definedName function="false" hidden="true" name="IQ_DEF_BENEFIT_SERVICE_COST_DOMESTIC" vbProcedure="false">"c2651"</definedName>
    <definedName function="false" hidden="true" name="IQ_DEF_BENEFIT_SERVICE_COST_FOREIGN" vbProcedure="false">"c2659"</definedName>
    <definedName function="false" hidden="true" name="IQ_DEF_BENEFIT_TOTAL_COST" vbProcedure="false">"c287"</definedName>
    <definedName function="false" hidden="true" name="IQ_DEF_BENEFIT_TOTAL_COST_DOMESTIC" vbProcedure="false">"c2655"</definedName>
    <definedName function="false" hidden="true" name="IQ_DEF_BENEFIT_TOTAL_COST_FOREIGN" vbProcedure="false">"c2663"</definedName>
    <definedName function="false" hidden="true" name="IQ_DEF_CHARGES_BR" vbProcedure="false">"c288"</definedName>
    <definedName function="false" hidden="true" name="IQ_DEF_CHARGES_CF" vbProcedure="false">"c289"</definedName>
    <definedName function="false" hidden="true" name="IQ_DEF_CHARGES_FIN" vbProcedure="false">"c290"</definedName>
    <definedName function="false" hidden="true" name="IQ_DEF_CHARGES_INS" vbProcedure="false">"c291"</definedName>
    <definedName function="false" hidden="true" name="IQ_DEF_CHARGES_LT" vbProcedure="false">"c292"</definedName>
    <definedName function="false" hidden="true" name="IQ_DEF_CHARGES_LT_BNK" vbProcedure="false">"c293"</definedName>
    <definedName function="false" hidden="true" name="IQ_DEF_CHARGES_LT_BR" vbProcedure="false">"c294"</definedName>
    <definedName function="false" hidden="true" name="IQ_DEF_CHARGES_LT_FIN" vbProcedure="false">"c295"</definedName>
    <definedName function="false" hidden="true" name="IQ_DEF_CHARGES_LT_INS" vbProcedure="false">"c296"</definedName>
    <definedName function="false" hidden="true" name="IQ_DEF_CHARGES_LT_RE" vbProcedure="false">"c6210"</definedName>
    <definedName function="false" hidden="true" name="IQ_DEF_CHARGES_LT_REIT" vbProcedure="false">"c297"</definedName>
    <definedName function="false" hidden="true" name="IQ_DEF_CHARGES_LT_UTI" vbProcedure="false">"c298"</definedName>
    <definedName function="false" hidden="true" name="IQ_DEF_CHARGES_RE" vbProcedure="false">"c6211"</definedName>
    <definedName function="false" hidden="true" name="IQ_DEF_CHARGES_REIT" vbProcedure="false">"c299"</definedName>
    <definedName function="false" hidden="true" name="IQ_DEF_CONTRIBUTION_TOTAL_COST" vbProcedure="false">"c300"</definedName>
    <definedName function="false" hidden="true" name="IQ_DEF_INC_TAX" vbProcedure="false">"c1365"</definedName>
    <definedName function="false" hidden="true" name="IQ_DEF_POLICY_ACQ_COSTS" vbProcedure="false">"c301"</definedName>
    <definedName function="false" hidden="true" name="IQ_DEF_POLICY_ACQ_COSTS_CF" vbProcedure="false">"c302"</definedName>
    <definedName function="false" hidden="true" name="IQ_DEF_POLICY_AMORT" vbProcedure="false">"c303"</definedName>
    <definedName function="false" hidden="true" name="IQ_DEF_TAX_ASSETS_CURRENT" vbProcedure="false">"c309"</definedName>
    <definedName function="false" hidden="true" name="IQ_DEF_TAX_ASSETS_LT" vbProcedure="false">"c310"</definedName>
    <definedName function="false" hidden="true" name="IQ_DEF_TAX_ASSETS_LT_BNK" vbProcedure="false">"c311"</definedName>
    <definedName function="false" hidden="true" name="IQ_DEF_TAX_ASSET_LT_BR" vbProcedure="false">"c304"</definedName>
    <definedName function="false" hidden="true" name="IQ_DEF_TAX_ASSET_LT_FIN" vbProcedure="false">"c305"</definedName>
    <definedName function="false" hidden="true" name="IQ_DEF_TAX_ASSET_LT_INS" vbProcedure="false">"c306"</definedName>
    <definedName function="false" hidden="true" name="IQ_DEF_TAX_ASSET_LT_RE" vbProcedure="false">"c6212"</definedName>
    <definedName function="false" hidden="true" name="IQ_DEF_TAX_ASSET_LT_REIT" vbProcedure="false">"c307"</definedName>
    <definedName function="false" hidden="true" name="IQ_DEF_TAX_ASSET_LT_UTI" vbProcedure="false">"c308"</definedName>
    <definedName function="false" hidden="true" name="IQ_DEF_TAX_LIAB_CURRENT" vbProcedure="false">"c312"</definedName>
    <definedName function="false" hidden="true" name="IQ_DEF_TAX_LIAB_LT" vbProcedure="false">"c313"</definedName>
    <definedName function="false" hidden="true" name="IQ_DEF_TAX_LIAB_LT_BNK" vbProcedure="false">"c314"</definedName>
    <definedName function="false" hidden="true" name="IQ_DEF_TAX_LIAB_LT_BR" vbProcedure="false">"c315"</definedName>
    <definedName function="false" hidden="true" name="IQ_DEF_TAX_LIAB_LT_FIN" vbProcedure="false">"c316"</definedName>
    <definedName function="false" hidden="true" name="IQ_DEF_TAX_LIAB_LT_INS" vbProcedure="false">"c317"</definedName>
    <definedName function="false" hidden="true" name="IQ_DEF_TAX_LIAB_LT_RE" vbProcedure="false">"c6213"</definedName>
    <definedName function="false" hidden="true" name="IQ_DEF_TAX_LIAB_LT_REIT" vbProcedure="false">"c318"</definedName>
    <definedName function="false" hidden="true" name="IQ_DEF_TAX_LIAB_LT_UTI" vbProcedure="false">"c319"</definedName>
    <definedName function="false" hidden="true" name="IQ_DEMAND_DEP" vbProcedure="false">"c320"</definedName>
    <definedName function="false" hidden="true" name="IQ_DEMAND_DEPOSITS_FDIC" vbProcedure="false">"c6489"</definedName>
    <definedName function="false" hidden="true" name="IQ_DEPOSITORY_INSTITUTIONS_CHARGE_OFFS_FDIC" vbProcedure="false">"c6596"</definedName>
    <definedName function="false" hidden="true" name="IQ_DEPOSITORY_INSTITUTIONS_NET_CHARGE_OFFS_FDIC" vbProcedure="false">"c6634"</definedName>
    <definedName function="false" hidden="true" name="IQ_DEPOSITORY_INSTITUTIONS_RECOVERIES_FDIC" vbProcedure="false">"c6615"</definedName>
    <definedName function="false" hidden="true" name="IQ_DEPOSITS_FIN" vbProcedure="false">"c321"</definedName>
    <definedName function="false" hidden="true" name="IQ_DEPOSITS_HELD_DOMESTIC_FDIC" vbProcedure="false">"c6340"</definedName>
    <definedName function="false" hidden="true" name="IQ_DEPOSITS_HELD_FOREIGN_FDIC" vbProcedure="false">"c6341"</definedName>
    <definedName function="false" hidden="true" name="IQ_DEPOSITS_INTEREST_SECURITIES" vbProcedure="false">"c5509"</definedName>
    <definedName function="false" hidden="true" name="IQ_DEPOSITS_LESS_THAN_100K_AFTER_THREE_YEARS_FDIC" vbProcedure="false">"c6464"</definedName>
    <definedName function="false" hidden="true" name="IQ_DEPOSITS_LESS_THAN_100K_THREE_MONTHS_FDIC" vbProcedure="false">"c6461"</definedName>
    <definedName function="false" hidden="true" name="IQ_DEPOSITS_LESS_THAN_100K_THREE_YEARS_FDIC" vbProcedure="false">"c6463"</definedName>
    <definedName function="false" hidden="true" name="IQ_DEPOSITS_LESS_THAN_100K_TWELVE_MONTHS_FDIC" vbProcedure="false">"c6462"</definedName>
    <definedName function="false" hidden="true" name="IQ_DEPOSITS_MORE_THAN_100K_AFTER_THREE_YEARS_FDIC" vbProcedure="false">"c6469"</definedName>
    <definedName function="false" hidden="true" name="IQ_DEPOSITS_MORE_THAN_100K_THREE_MONTHS_FDIC" vbProcedure="false">"c6466"</definedName>
    <definedName function="false" hidden="true" name="IQ_DEPOSITS_MORE_THAN_100K_THREE_YEARS_FDIC" vbProcedure="false">"c6468"</definedName>
    <definedName function="false" hidden="true" name="IQ_DEPOSITS_MORE_THAN_100K_TWELVE_MONTHS_FDIC" vbProcedure="false">"c6467"</definedName>
    <definedName function="false" hidden="true" name="IQ_DEPOSIT_ACCOUNTS_LESS_THAN_100K_FDIC" vbProcedure="false">"c6494"</definedName>
    <definedName function="false" hidden="true" name="IQ_DEPOSIT_ACCOUNTS_MORE_THAN_100K_FDIC" vbProcedure="false">"c6492"</definedName>
    <definedName function="false" hidden="true" name="IQ_DEPRE_AMORT" vbProcedure="false">"c1360"</definedName>
    <definedName function="false" hidden="true" name="IQ_DEPRE_AMORT_SUPPL" vbProcedure="false">"c1593"</definedName>
    <definedName function="false" hidden="true" name="IQ_DEPRE_DEPLE" vbProcedure="false">"c1361"</definedName>
    <definedName function="false" hidden="true" name="IQ_DEPRE_SUPP" vbProcedure="false">"c1443"</definedName>
    <definedName function="false" hidden="true" name="IQ_DERIVATIVES_FDIC" vbProcedure="false">"c6523"</definedName>
    <definedName function="false" hidden="true" name="IQ_DESCRIPTION_LONG" vbProcedure="false">"c1520"</definedName>
    <definedName function="false" hidden="true" name="IQ_DEVELOP_LAND" vbProcedure="false">"c323"</definedName>
    <definedName function="false" hidden="true" name="IQ_DIFF_LASTCLOSE_TARGET_PRICE" vbProcedure="false">"c1854"</definedName>
    <definedName function="false" hidden="true" name="IQ_DIFF_LASTCLOSE_TARGET_PRICE_CIQ" vbProcedure="false">"c4767"</definedName>
    <definedName function="false" hidden="true" name="IQ_DILUT_ADJUST" vbProcedure="false">"c1621"</definedName>
    <definedName function="false" hidden="true" name="IQ_DILUT_EPS_EXCL" vbProcedure="false">"c324"</definedName>
    <definedName function="false" hidden="true" name="IQ_DILUT_EPS_INCL" vbProcedure="false">"c325"</definedName>
    <definedName function="false" hidden="true" name="IQ_DILUT_EPS_NORM" vbProcedure="false">"c1903"</definedName>
    <definedName function="false" hidden="true" name="IQ_DILUT_NI" vbProcedure="false">"c2079"</definedName>
    <definedName function="false" hidden="true" name="IQ_DILUT_NORMAL_EPS" vbProcedure="false">"c1594"</definedName>
    <definedName function="false" hidden="true" name="IQ_DILUT_OUTSTANDING_CURRENT_EST" vbProcedure="false">"c4263"</definedName>
    <definedName function="false" hidden="true" name="IQ_DILUT_OUTSTANDING_CURRENT_EST_CIQ" vbProcedure="false">"c4789"</definedName>
    <definedName function="false" hidden="true" name="IQ_DILUT_OUTSTANDING_CURRENT_HIGH_EST" vbProcedure="false">"c4264"</definedName>
    <definedName function="false" hidden="true" name="IQ_DILUT_OUTSTANDING_CURRENT_HIGH_EST_CIQ" vbProcedure="false">"c4790"</definedName>
    <definedName function="false" hidden="true" name="IQ_DILUT_OUTSTANDING_CURRENT_LOW_EST" vbProcedure="false">"c4265"</definedName>
    <definedName function="false" hidden="true" name="IQ_DILUT_OUTSTANDING_CURRENT_LOW_EST_CIQ" vbProcedure="false">"c4791"</definedName>
    <definedName function="false" hidden="true" name="IQ_DILUT_OUTSTANDING_CURRENT_MEDIAN_EST" vbProcedure="false">"c4266"</definedName>
    <definedName function="false" hidden="true" name="IQ_DILUT_OUTSTANDING_CURRENT_MEDIAN_EST_CIQ" vbProcedure="false">"c4792"</definedName>
    <definedName function="false" hidden="true" name="IQ_DILUT_OUTSTANDING_CURRENT_NUM_EST" vbProcedure="false">"c4267"</definedName>
    <definedName function="false" hidden="true" name="IQ_DILUT_OUTSTANDING_CURRENT_NUM_EST_CIQ" vbProcedure="false">"c4793"</definedName>
    <definedName function="false" hidden="true" name="IQ_DILUT_OUTSTANDING_CURRENT_STDDEV_EST" vbProcedure="false">"c4268"</definedName>
    <definedName function="false" hidden="true" name="IQ_DILUT_OUTSTANDING_CURRENT_STDDEV_EST_CIQ" vbProcedure="false">"c4794"</definedName>
    <definedName function="false" hidden="true" name="IQ_DILUT_WEIGHT" vbProcedure="false">"c326"</definedName>
    <definedName function="false" hidden="true" name="IQ_DILUT_WEIGHT_EST" vbProcedure="false">"c4269"</definedName>
    <definedName function="false" hidden="true" name="IQ_DILUT_WEIGHT_EST_CIQ" vbProcedure="false">"c4795"</definedName>
    <definedName function="false" hidden="true" name="IQ_DILUT_WEIGHT_GUIDANCE" vbProcedure="false">"c4270"</definedName>
    <definedName function="false" hidden="true" name="IQ_DILUT_WEIGHT_HIGH_EST" vbProcedure="false">"c4271"</definedName>
    <definedName function="false" hidden="true" name="IQ_DILUT_WEIGHT_HIGH_EST_CIQ" vbProcedure="false">"c4796"</definedName>
    <definedName function="false" hidden="true" name="IQ_DILUT_WEIGHT_LOW_EST" vbProcedure="false">"c4272"</definedName>
    <definedName function="false" hidden="true" name="IQ_DILUT_WEIGHT_LOW_EST_CIQ" vbProcedure="false">"c4797"</definedName>
    <definedName function="false" hidden="true" name="IQ_DILUT_WEIGHT_MEDIAN_EST" vbProcedure="false">"c4273"</definedName>
    <definedName function="false" hidden="true" name="IQ_DILUT_WEIGHT_MEDIAN_EST_CIQ" vbProcedure="false">"c4798"</definedName>
    <definedName function="false" hidden="true" name="IQ_DILUT_WEIGHT_NUM_EST" vbProcedure="false">"c4274"</definedName>
    <definedName function="false" hidden="true" name="IQ_DILUT_WEIGHT_NUM_EST_CIQ" vbProcedure="false">"c4799"</definedName>
    <definedName function="false" hidden="true" name="IQ_DILUT_WEIGHT_STDDEV_EST" vbProcedure="false">"c4275"</definedName>
    <definedName function="false" hidden="true" name="IQ_DILUT_WEIGHT_STDDEV_EST_CIQ" vbProcedure="false">"c4800"</definedName>
    <definedName function="false" hidden="true" name="IQ_DIRECT_AH_EARNED" vbProcedure="false">"c2740"</definedName>
    <definedName function="false" hidden="true" name="IQ_DIRECT_EARNED" vbProcedure="false">"c2730"</definedName>
    <definedName function="false" hidden="true" name="IQ_DIRECT_LIFE_EARNED" vbProcedure="false">"c2735"</definedName>
    <definedName function="false" hidden="true" name="IQ_DIRECT_LIFE_IN_FORCE" vbProcedure="false">"c2765"</definedName>
    <definedName function="false" hidden="true" name="IQ_DIRECT_PC_EARNED" vbProcedure="false">"c2745"</definedName>
    <definedName function="false" hidden="true" name="IQ_DIRECT_WRITTEN" vbProcedure="false">"c2724"</definedName>
    <definedName function="false" hidden="true" name="IQ_DISCONT_OPER" vbProcedure="false">"c1367"</definedName>
    <definedName function="false" hidden="true" name="IQ_DISCOUNT_RATE_PENSION_DOMESTIC" vbProcedure="false">"c327"</definedName>
    <definedName function="false" hidden="true" name="IQ_DISCOUNT_RATE_PENSION_FOREIGN" vbProcedure="false">"c328"</definedName>
    <definedName function="false" hidden="true" name="IQ_DISTRIBUTABLE_CASH" vbProcedure="false">"c3002"</definedName>
    <definedName function="false" hidden="true" name="IQ_DISTRIBUTABLE_CASH_ACT_OR_EST" vbProcedure="false">"c4278"</definedName>
    <definedName function="false" hidden="true" name="IQ_DISTRIBUTABLE_CASH_ACT_OR_EST_CIQ" vbProcedure="false">"c4803"</definedName>
    <definedName function="false" hidden="true" name="IQ_DISTRIBUTABLE_CASH_EST" vbProcedure="false">"c4277"</definedName>
    <definedName function="false" hidden="true" name="IQ_DISTRIBUTABLE_CASH_EST_CIQ" vbProcedure="false">"c4802"</definedName>
    <definedName function="false" hidden="true" name="IQ_DISTRIBUTABLE_CASH_GUIDANCE" vbProcedure="false">"c4279"</definedName>
    <definedName function="false" hidden="true" name="IQ_DISTRIBUTABLE_CASH_GUIDANCE_CIQ" vbProcedure="false">"c4804"</definedName>
    <definedName function="false" hidden="true" name="IQ_DISTRIBUTABLE_CASH_HIGH_EST" vbProcedure="false">"c4280"</definedName>
    <definedName function="false" hidden="true" name="IQ_DISTRIBUTABLE_CASH_HIGH_EST_CIQ" vbProcedure="false">"c4805"</definedName>
    <definedName function="false" hidden="true" name="IQ_DISTRIBUTABLE_CASH_HIGH_GUIDANCE" vbProcedure="false">"c4198"</definedName>
    <definedName function="false" hidden="true" name="IQ_DISTRIBUTABLE_CASH_HIGH_GUIDANCE_CIQ" vbProcedure="false">"c4610"</definedName>
    <definedName function="false" hidden="true" name="IQ_DISTRIBUTABLE_CASH_LOW_EST" vbProcedure="false">"c4281"</definedName>
    <definedName function="false" hidden="true" name="IQ_DISTRIBUTABLE_CASH_LOW_EST_CIQ" vbProcedure="false">"c4806"</definedName>
    <definedName function="false" hidden="true" name="IQ_DISTRIBUTABLE_CASH_LOW_GUIDANCE" vbProcedure="false">"c4238"</definedName>
    <definedName function="false" hidden="true" name="IQ_DISTRIBUTABLE_CASH_LOW_GUIDANCE_CIQ" vbProcedure="false">"c4650"</definedName>
    <definedName function="false" hidden="true" name="IQ_DISTRIBUTABLE_CASH_MEDIAN_EST" vbProcedure="false">"c4282"</definedName>
    <definedName function="false" hidden="true" name="IQ_DISTRIBUTABLE_CASH_MEDIAN_EST_CIQ" vbProcedure="false">"c4807"</definedName>
    <definedName function="false" hidden="true" name="IQ_DISTRIBUTABLE_CASH_NUM_EST" vbProcedure="false">"c4283"</definedName>
    <definedName function="false" hidden="true" name="IQ_DISTRIBUTABLE_CASH_NUM_EST_CIQ" vbProcedure="false">"c4808"</definedName>
    <definedName function="false" hidden="true" name="IQ_DISTRIBUTABLE_CASH_PAYOUT" vbProcedure="false">"c3005"</definedName>
    <definedName function="false" hidden="true" name="IQ_DISTRIBUTABLE_CASH_SHARE" vbProcedure="false">"c3003"</definedName>
    <definedName function="false" hidden="true" name="IQ_DISTRIBUTABLE_CASH_SHARE_ACT_OR_EST" vbProcedure="false">"c4286"</definedName>
    <definedName function="false" hidden="true" name="IQ_DISTRIBUTABLE_CASH_SHARE_ACT_OR_EST_CIQ" vbProcedure="false">"c4811"</definedName>
    <definedName function="false" hidden="true" name="IQ_DISTRIBUTABLE_CASH_SHARE_EST" vbProcedure="false">"c4285"</definedName>
    <definedName function="false" hidden="true" name="IQ_DISTRIBUTABLE_CASH_SHARE_EST_CIQ" vbProcedure="false">"c4810"</definedName>
    <definedName function="false" hidden="true" name="IQ_DISTRIBUTABLE_CASH_SHARE_GUIDANCE" vbProcedure="false">"c4287"</definedName>
    <definedName function="false" hidden="true" name="IQ_DISTRIBUTABLE_CASH_SHARE_GUIDANCE_CIQ" vbProcedure="false">"c4812"</definedName>
    <definedName function="false" hidden="true" name="IQ_DISTRIBUTABLE_CASH_SHARE_HIGH_EST" vbProcedure="false">"c4288"</definedName>
    <definedName function="false" hidden="true" name="IQ_DISTRIBUTABLE_CASH_SHARE_HIGH_EST_CIQ" vbProcedure="false">"c4813"</definedName>
    <definedName function="false" hidden="true" name="IQ_DISTRIBUTABLE_CASH_SHARE_HIGH_GUIDANCE" vbProcedure="false">"c4199"</definedName>
    <definedName function="false" hidden="true" name="IQ_DISTRIBUTABLE_CASH_SHARE_HIGH_GUIDANCE_CIQ" vbProcedure="false">"c4611"</definedName>
    <definedName function="false" hidden="true" name="IQ_DISTRIBUTABLE_CASH_SHARE_LOW_EST" vbProcedure="false">"c4289"</definedName>
    <definedName function="false" hidden="true" name="IQ_DISTRIBUTABLE_CASH_SHARE_LOW_EST_CIQ" vbProcedure="false">"c4814"</definedName>
    <definedName function="false" hidden="true" name="IQ_DISTRIBUTABLE_CASH_SHARE_LOW_GUIDANCE" vbProcedure="false">"c4239"</definedName>
    <definedName function="false" hidden="true" name="IQ_DISTRIBUTABLE_CASH_SHARE_LOW_GUIDANCE_CIQ" vbProcedure="false">"c4651"</definedName>
    <definedName function="false" hidden="true" name="IQ_DISTRIBUTABLE_CASH_SHARE_MEDIAN_EST" vbProcedure="false">"c4290"</definedName>
    <definedName function="false" hidden="true" name="IQ_DISTRIBUTABLE_CASH_SHARE_MEDIAN_EST_CIQ" vbProcedure="false">"c4815"</definedName>
    <definedName function="false" hidden="true" name="IQ_DISTRIBUTABLE_CASH_SHARE_NUM_EST" vbProcedure="false">"c4291"</definedName>
    <definedName function="false" hidden="true" name="IQ_DISTRIBUTABLE_CASH_SHARE_NUM_EST_CIQ" vbProcedure="false">"c4816"</definedName>
    <definedName function="false" hidden="true" name="IQ_DISTRIBUTABLE_CASH_SHARE_STDDEV_EST" vbProcedure="false">"c4292"</definedName>
    <definedName function="false" hidden="true" name="IQ_DISTRIBUTABLE_CASH_SHARE_STDDEV_EST_CIQ" vbProcedure="false">"c4817"</definedName>
    <definedName function="false" hidden="true" name="IQ_DISTRIBUTABLE_CASH_STDDEV_EST" vbProcedure="false">"c4294"</definedName>
    <definedName function="false" hidden="true" name="IQ_DISTRIBUTABLE_CASH_STDDEV_EST_CIQ" vbProcedure="false">"c4819"</definedName>
    <definedName function="false" hidden="true" name="IQ_DISTR_EXCESS_EARN" vbProcedure="false">"c329"</definedName>
    <definedName function="false" hidden="true" name="IQ_DIVEST_CF" vbProcedure="false">"c331"</definedName>
    <definedName function="false" hidden="true" name="IQ_DIVIDENDS_DECLARED_COMMON_FDIC" vbProcedure="false">"c6659"</definedName>
    <definedName function="false" hidden="true" name="IQ_DIVIDENDS_DECLARED_PREFERRED_FDIC" vbProcedure="false">"c6658"</definedName>
    <definedName function="false" hidden="true" name="IQ_DIVIDENDS_FDIC" vbProcedure="false">"c6660"</definedName>
    <definedName function="false" hidden="true" name="IQ_DIVIDEND_EST" vbProcedure="false">"c4296"</definedName>
    <definedName function="false" hidden="true" name="IQ_DIVIDEND_EST_CIQ" vbProcedure="false">"c4821"</definedName>
    <definedName function="false" hidden="true" name="IQ_DIVIDEND_HIGH_EST" vbProcedure="false">"c4297"</definedName>
    <definedName function="false" hidden="true" name="IQ_DIVIDEND_HIGH_EST_CIQ" vbProcedure="false">"c4822"</definedName>
    <definedName function="false" hidden="true" name="IQ_DIVIDEND_LOW_EST" vbProcedure="false">"c4298"</definedName>
    <definedName function="false" hidden="true" name="IQ_DIVIDEND_LOW_EST_CIQ" vbProcedure="false">"c4823"</definedName>
    <definedName function="false" hidden="true" name="IQ_DIVIDEND_MEDIAN_EST" vbProcedure="false">"c4299"</definedName>
    <definedName function="false" hidden="true" name="IQ_DIVIDEND_MEDIAN_EST_CIQ" vbProcedure="false">"c4824"</definedName>
    <definedName function="false" hidden="true" name="IQ_DIVIDEND_NUM_EST" vbProcedure="false">"c4300"</definedName>
    <definedName function="false" hidden="true" name="IQ_DIVIDEND_NUM_EST_CIQ" vbProcedure="false">"c4825"</definedName>
    <definedName function="false" hidden="true" name="IQ_DIVIDEND_STDDEV_EST" vbProcedure="false">"c4301"</definedName>
    <definedName function="false" hidden="true" name="IQ_DIVIDEND_STDDEV_EST_CIQ" vbProcedure="false">"c4826"</definedName>
    <definedName function="false" hidden="true" name="IQ_DIVIDEND_YIELD" vbProcedure="false">"c332"</definedName>
    <definedName function="false" hidden="true" name="IQ_DIVID_SHARE" vbProcedure="false">"c1366"</definedName>
    <definedName function="false" hidden="true" name="IQ_DIV_AMOUNT" vbProcedure="false">"c3041"</definedName>
    <definedName function="false" hidden="true" name="IQ_DIV_PAYMENT_DATE" vbProcedure="false">"c2205"</definedName>
    <definedName function="false" hidden="true" name="IQ_DIV_RECORD_DATE" vbProcedure="false">"c2204"</definedName>
    <definedName function="false" hidden="true" name="IQ_DIV_SHARE" vbProcedure="false">"c330"</definedName>
    <definedName function="false" hidden="true" name="IQ_DNB_OTHER_EXP_INC_TAX_US" vbProcedure="false">"c6787"</definedName>
    <definedName function="false" hidden="true" name="IQ_DO" vbProcedure="false">"c333"</definedName>
    <definedName function="false" hidden="true" name="IQ_DOC_CLAUSE" vbProcedure="false">"c6032"</definedName>
    <definedName function="false" hidden="true" name="IQ_DO_ASSETS_CURRENT" vbProcedure="false">"c334"</definedName>
    <definedName function="false" hidden="true" name="IQ_DO_ASSETS_LT" vbProcedure="false">"c335"</definedName>
    <definedName function="false" hidden="true" name="IQ_DO_CF" vbProcedure="false">"c336"</definedName>
    <definedName function="false" hidden="true" name="IQ_DPAC_ACC" vbProcedure="false">"c2799"</definedName>
    <definedName function="false" hidden="true" name="IQ_DPAC_AMORT" vbProcedure="false">"c2795"</definedName>
    <definedName function="false" hidden="true" name="IQ_DPAC_BEG" vbProcedure="false">"c2791"</definedName>
    <definedName function="false" hidden="true" name="IQ_DPAC_COMMISSIONS" vbProcedure="false">"c2792"</definedName>
    <definedName function="false" hidden="true" name="IQ_DPAC_END" vbProcedure="false">"c2801"</definedName>
    <definedName function="false" hidden="true" name="IQ_DPAC_FX" vbProcedure="false">"c2798"</definedName>
    <definedName function="false" hidden="true" name="IQ_DPAC_OTHERS" vbProcedure="false">"c2793"</definedName>
    <definedName function="false" hidden="true" name="IQ_DPAC_OTHER_ADJ" vbProcedure="false">"c2800"</definedName>
    <definedName function="false" hidden="true" name="IQ_DPAC_PERIOD" vbProcedure="false">"c2794"</definedName>
    <definedName function="false" hidden="true" name="IQ_DPAC_REAL_GAIN" vbProcedure="false">"c2797"</definedName>
    <definedName function="false" hidden="true" name="IQ_DPAC_UNREAL_GAIN" vbProcedure="false">"c2796"</definedName>
    <definedName function="false" hidden="true" name="IQ_DPS_10YR_ANN_CAGR" vbProcedure="false">"c6065"</definedName>
    <definedName function="false" hidden="true" name="IQ_DPS_10YR_ANN_GROWTH" vbProcedure="false">"c337"</definedName>
    <definedName function="false" hidden="true" name="IQ_DPS_1YR_ANN_GROWTH" vbProcedure="false">"c338"</definedName>
    <definedName function="false" hidden="true" name="IQ_DPS_2YR_ANN_CAGR" vbProcedure="false">"c6066"</definedName>
    <definedName function="false" hidden="true" name="IQ_DPS_2YR_ANN_GROWTH" vbProcedure="false">"c339"</definedName>
    <definedName function="false" hidden="true" name="IQ_DPS_3YR_ANN_CAGR" vbProcedure="false">"c6067"</definedName>
    <definedName function="false" hidden="true" name="IQ_DPS_3YR_ANN_GROWTH" vbProcedure="false">"c340"</definedName>
    <definedName function="false" hidden="true" name="IQ_DPS_5YR_ANN_CAGR" vbProcedure="false">"c6068"</definedName>
    <definedName function="false" hidden="true" name="IQ_DPS_5YR_ANN_GROWTH" vbProcedure="false">"c341"</definedName>
    <definedName function="false" hidden="true" name="IQ_DPS_7YR_ANN_CAGR" vbProcedure="false">"c6069"</definedName>
    <definedName function="false" hidden="true" name="IQ_DPS_7YR_ANN_GROWTH" vbProcedure="false">"c342"</definedName>
    <definedName function="false" hidden="true" name="IQ_DPS_ACT_OR_EST" vbProcedure="false">"c2218"</definedName>
    <definedName function="false" hidden="true" name="IQ_DPS_ACT_OR_EST_CIQ" vbProcedure="false">"c5062"</definedName>
    <definedName function="false" hidden="true" name="IQ_DPS_EST" vbProcedure="false">"c1674"</definedName>
    <definedName function="false" hidden="true" name="IQ_DPS_EST_BOTTOM_UP" vbProcedure="false">"c5493"</definedName>
    <definedName function="false" hidden="true" name="IQ_DPS_EST_CIQ" vbProcedure="false">"c3682"</definedName>
    <definedName function="false" hidden="true" name="IQ_DPS_GUIDANCE" vbProcedure="false">"c4302"</definedName>
    <definedName function="false" hidden="true" name="IQ_DPS_GUIDANCE_CIQ" vbProcedure="false">"c4827"</definedName>
    <definedName function="false" hidden="true" name="IQ_DPS_HIGH_EST" vbProcedure="false">"c1676"</definedName>
    <definedName function="false" hidden="true" name="IQ_DPS_HIGH_EST_CIQ" vbProcedure="false">"c3684"</definedName>
    <definedName function="false" hidden="true" name="IQ_DPS_HIGH_GUIDANCE" vbProcedure="false">"c4168"</definedName>
    <definedName function="false" hidden="true" name="IQ_DPS_HIGH_GUIDANCE_CIQ" vbProcedure="false">"c4580"</definedName>
    <definedName function="false" hidden="true" name="IQ_DPS_LOW_EST" vbProcedure="false">"c1677"</definedName>
    <definedName function="false" hidden="true" name="IQ_DPS_LOW_EST_CIQ" vbProcedure="false">"c3685"</definedName>
    <definedName function="false" hidden="true" name="IQ_DPS_LOW_GUIDANCE" vbProcedure="false">"c4208"</definedName>
    <definedName function="false" hidden="true" name="IQ_DPS_LOW_GUIDANCE_CIQ" vbProcedure="false">"c4620"</definedName>
    <definedName function="false" hidden="true" name="IQ_DPS_MEDIAN_EST" vbProcedure="false">"c1675"</definedName>
    <definedName function="false" hidden="true" name="IQ_DPS_MEDIAN_EST_CIQ" vbProcedure="false">"c3683"</definedName>
    <definedName function="false" hidden="true" name="IQ_DPS_NUM_EST" vbProcedure="false">"c1678"</definedName>
    <definedName function="false" hidden="true" name="IQ_DPS_NUM_EST_CIQ" vbProcedure="false">"c3686"</definedName>
    <definedName function="false" hidden="true" name="IQ_DPS_STDDEV_EST" vbProcedure="false">"c1679"</definedName>
    <definedName function="false" hidden="true" name="IQ_DPS_STDDEV_EST_CIQ" vbProcedure="false">"c3687"</definedName>
    <definedName function="false" hidden="true" name="IQ_DURATION" vbProcedure="false">"c2181"</definedName>
    <definedName function="false" hidden="true" name="IQ_EARNINGS_ANNOUNCE_DATE" vbProcedure="false">"c1649"</definedName>
    <definedName function="false" hidden="true" name="IQ_EARNINGS_ANNOUNCE_DATE_CIQ" vbProcedure="false">"c4656"</definedName>
    <definedName function="false" hidden="true" name="IQ_EARNINGS_ANNOUNCE_DATE_REUT" vbProcedure="false">"c5314"</definedName>
    <definedName function="false" hidden="true" name="IQ_EARNINGS_COVERAGE_NET_CHARGE_OFFS_FDIC" vbProcedure="false">"c6735"</definedName>
    <definedName function="false" hidden="true" name="IQ_EARNING_ASSETS_FDIC" vbProcedure="false">"c6360"</definedName>
    <definedName function="false" hidden="true" name="IQ_EARNING_ASSETS_YIELD_FDIC" vbProcedure="false">"c6724"</definedName>
    <definedName function="false" hidden="true" name="IQ_EARNING_ASSET_YIELD" vbProcedure="false">"c343"</definedName>
    <definedName function="false" hidden="true" name="IQ_EARNING_CO" vbProcedure="false">"c344"</definedName>
    <definedName function="false" hidden="true" name="IQ_EARNING_CO_10YR_ANN_CAGR" vbProcedure="false">"c6070"</definedName>
    <definedName function="false" hidden="true" name="IQ_EARNING_CO_10YR_ANN_GROWTH" vbProcedure="false">"c345"</definedName>
    <definedName function="false" hidden="true" name="IQ_EARNING_CO_1YR_ANN_GROWTH" vbProcedure="false">"c346"</definedName>
    <definedName function="false" hidden="true" name="IQ_EARNING_CO_2YR_ANN_CAGR" vbProcedure="false">"c6071"</definedName>
    <definedName function="false" hidden="true" name="IQ_EARNING_CO_2YR_ANN_GROWTH" vbProcedure="false">"c347"</definedName>
    <definedName function="false" hidden="true" name="IQ_EARNING_CO_3YR_ANN_CAGR" vbProcedure="false">"c6072"</definedName>
    <definedName function="false" hidden="true" name="IQ_EARNING_CO_3YR_ANN_GROWTH" vbProcedure="false">"c348"</definedName>
    <definedName function="false" hidden="true" name="IQ_EARNING_CO_5YR_ANN_CAGR" vbProcedure="false">"c6073"</definedName>
    <definedName function="false" hidden="true" name="IQ_EARNING_CO_5YR_ANN_GROWTH" vbProcedure="false">"c349"</definedName>
    <definedName function="false" hidden="true" name="IQ_EARNING_CO_7YR_ANN_CAGR" vbProcedure="false">"c6074"</definedName>
    <definedName function="false" hidden="true" name="IQ_EARNING_CO_7YR_ANN_GROWTH" vbProcedure="false">"c350"</definedName>
    <definedName function="false" hidden="true" name="IQ_EARNING_CO_MARGIN" vbProcedure="false">"c351"</definedName>
    <definedName function="false" hidden="true" name="IQ_EBIT" vbProcedure="false">"c352"</definedName>
    <definedName function="false" hidden="true" name="IQ_EBITA" vbProcedure="false">"c1910"</definedName>
    <definedName function="false" hidden="true" name="IQ_EBITA_10YR_ANN_CAGR" vbProcedure="false">"c6184"</definedName>
    <definedName function="false" hidden="true" name="IQ_EBITA_10YR_ANN_GROWTH" vbProcedure="false">"c1954"</definedName>
    <definedName function="false" hidden="true" name="IQ_EBITA_1YR_ANN_GROWTH" vbProcedure="false">"c1949"</definedName>
    <definedName function="false" hidden="true" name="IQ_EBITA_2YR_ANN_CAGR" vbProcedure="false">"c6180"</definedName>
    <definedName function="false" hidden="true" name="IQ_EBITA_2YR_ANN_GROWTH" vbProcedure="false">"c1950"</definedName>
    <definedName function="false" hidden="true" name="IQ_EBITA_3YR_ANN_CAGR" vbProcedure="false">"c6181"</definedName>
    <definedName function="false" hidden="true" name="IQ_EBITA_3YR_ANN_GROWTH" vbProcedure="false">"c1951"</definedName>
    <definedName function="false" hidden="true" name="IQ_EBITA_5YR_ANN_CAGR" vbProcedure="false">"c6182"</definedName>
    <definedName function="false" hidden="true" name="IQ_EBITA_5YR_ANN_GROWTH" vbProcedure="false">"c1952"</definedName>
    <definedName function="false" hidden="true" name="IQ_EBITA_7YR_ANN_CAGR" vbProcedure="false">"c6183"</definedName>
    <definedName function="false" hidden="true" name="IQ_EBITA_7YR_ANN_GROWTH" vbProcedure="false">"c1953"</definedName>
    <definedName function="false" hidden="true" name="IQ_EBITA_EQ_INC" vbProcedure="false">"c3497"</definedName>
    <definedName function="false" hidden="true" name="IQ_EBITA_EQ_INC_EXCL_SBC" vbProcedure="false">"c3501"</definedName>
    <definedName function="false" hidden="true" name="IQ_EBITA_EXCL_SBC" vbProcedure="false">"c3080"</definedName>
    <definedName function="false" hidden="true" name="IQ_EBITA_MARGIN" vbProcedure="false">"c1963"</definedName>
    <definedName function="false" hidden="true" name="IQ_EBITDA" vbProcedure="false">"c361"</definedName>
    <definedName function="false" hidden="true" name="IQ_EBITDAR" vbProcedure="false">"c2989"</definedName>
    <definedName function="false" hidden="true" name="IQ_EBITDAR_EQ_INC" vbProcedure="false">"c3499"</definedName>
    <definedName function="false" hidden="true" name="IQ_EBITDAR_EQ_INC_EXCL_SBC" vbProcedure="false">"c3503"</definedName>
    <definedName function="false" hidden="true" name="IQ_EBITDAR_EXCL_SBC" vbProcedure="false">"c3083"</definedName>
    <definedName function="false" hidden="true" name="IQ_EBITDA_10YR_ANN_CAGR" vbProcedure="false">"c6080"</definedName>
    <definedName function="false" hidden="true" name="IQ_EBITDA_10YR_ANN_GROWTH" vbProcedure="false">"c362"</definedName>
    <definedName function="false" hidden="true" name="IQ_EBITDA_1YR_ANN_GROWTH" vbProcedure="false">"c363"</definedName>
    <definedName function="false" hidden="true" name="IQ_EBITDA_2YR_ANN_CAGR" vbProcedure="false">"c6081"</definedName>
    <definedName function="false" hidden="true" name="IQ_EBITDA_2YR_ANN_GROWTH" vbProcedure="false">"c364"</definedName>
    <definedName function="false" hidden="true" name="IQ_EBITDA_3YR_ANN_CAGR" vbProcedure="false">"c6082"</definedName>
    <definedName function="false" hidden="true" name="IQ_EBITDA_3YR_ANN_GROWTH" vbProcedure="false">"c365"</definedName>
    <definedName function="false" hidden="true" name="IQ_EBITDA_5YR_ANN_CAGR" vbProcedure="false">"c6083"</definedName>
    <definedName function="false" hidden="true" name="IQ_EBITDA_5YR_ANN_GROWTH" vbProcedure="false">"c366"</definedName>
    <definedName function="false" hidden="true" name="IQ_EBITDA_7YR_ANN_CAGR" vbProcedure="false">"c6084"</definedName>
    <definedName function="false" hidden="true" name="IQ_EBITDA_7YR_ANN_GROWTH" vbProcedure="false">"c367"</definedName>
    <definedName function="false" hidden="true" name="IQ_EBITDA_ACT_OR_EST" vbProcedure="false">"c2215"</definedName>
    <definedName function="false" hidden="true" name="IQ_EBITDA_ACT_OR_EST_CIQ" vbProcedure="false">"c5060"</definedName>
    <definedName function="false" hidden="true" name="IQ_EBITDA_CAPEX_INT" vbProcedure="false">"c368"</definedName>
    <definedName function="false" hidden="true" name="IQ_EBITDA_CAPEX_OVER_TOTAL_IE" vbProcedure="false">"c1370"</definedName>
    <definedName function="false" hidden="true" name="IQ_EBITDA_EQ_INC" vbProcedure="false">"c3496"</definedName>
    <definedName function="false" hidden="true" name="IQ_EBITDA_EQ_INC_EXCL_SBC" vbProcedure="false">"c3500"</definedName>
    <definedName function="false" hidden="true" name="IQ_EBITDA_EST" vbProcedure="false">"c369"</definedName>
    <definedName function="false" hidden="true" name="IQ_EBITDA_EST_CIQ" vbProcedure="false">"c3622"</definedName>
    <definedName function="false" hidden="true" name="IQ_EBITDA_EST_REUT" vbProcedure="false">"c3640"</definedName>
    <definedName function="false" hidden="true" name="IQ_EBITDA_EXCL_SBC" vbProcedure="false">"c3081"</definedName>
    <definedName function="false" hidden="true" name="IQ_EBITDA_GUIDANCE" vbProcedure="false">"c4334"</definedName>
    <definedName function="false" hidden="true" name="IQ_EBITDA_GUIDANCE_CIQ" vbProcedure="false">"c4859"</definedName>
    <definedName function="false" hidden="true" name="IQ_EBITDA_HIGH_EST" vbProcedure="false">"c370"</definedName>
    <definedName function="false" hidden="true" name="IQ_EBITDA_HIGH_EST_CIQ" vbProcedure="false">"c3624"</definedName>
    <definedName function="false" hidden="true" name="IQ_EBITDA_HIGH_EST_REUT" vbProcedure="false">"c3642"</definedName>
    <definedName function="false" hidden="true" name="IQ_EBITDA_HIGH_GUIDANCE" vbProcedure="false">"c4170"</definedName>
    <definedName function="false" hidden="true" name="IQ_EBITDA_HIGH_GUIDANCE_CIQ" vbProcedure="false">"c4582"</definedName>
    <definedName function="false" hidden="true" name="IQ_EBITDA_INT" vbProcedure="false">"c373"</definedName>
    <definedName function="false" hidden="true" name="IQ_EBITDA_LOW_EST" vbProcedure="false">"c371"</definedName>
    <definedName function="false" hidden="true" name="IQ_EBITDA_LOW_EST_CIQ" vbProcedure="false">"c3625"</definedName>
    <definedName function="false" hidden="true" name="IQ_EBITDA_LOW_EST_REUT" vbProcedure="false">"c3643"</definedName>
    <definedName function="false" hidden="true" name="IQ_EBITDA_LOW_GUIDANCE" vbProcedure="false">"c4210"</definedName>
    <definedName function="false" hidden="true" name="IQ_EBITDA_LOW_GUIDANCE_CIQ" vbProcedure="false">"c4622"</definedName>
    <definedName function="false" hidden="true" name="IQ_EBITDA_MARGIN" vbProcedure="false">"c372"</definedName>
    <definedName function="false" hidden="true" name="IQ_EBITDA_MEDIAN_EST" vbProcedure="false">"c1663"</definedName>
    <definedName function="false" hidden="true" name="IQ_EBITDA_MEDIAN_EST_CIQ" vbProcedure="false">"c3623"</definedName>
    <definedName function="false" hidden="true" name="IQ_EBITDA_MEDIAN_EST_REUT" vbProcedure="false">"c3641"</definedName>
    <definedName function="false" hidden="true" name="IQ_EBITDA_NUM_EST" vbProcedure="false">"c374"</definedName>
    <definedName function="false" hidden="true" name="IQ_EBITDA_NUM_EST_CIQ" vbProcedure="false">"c3626"</definedName>
    <definedName function="false" hidden="true" name="IQ_EBITDA_NUM_EST_REUT" vbProcedure="false">"c3644"</definedName>
    <definedName function="false" hidden="true" name="IQ_EBITDA_OVER_TOTAL_IE" vbProcedure="false">"c1371"</definedName>
    <definedName function="false" hidden="true" name="IQ_EBITDA_SBC_ACT_OR_EST" vbProcedure="false">"c4337"</definedName>
    <definedName function="false" hidden="true" name="IQ_EBITDA_SBC_ACT_OR_EST_CIQ" vbProcedure="false">"c4862"</definedName>
    <definedName function="false" hidden="true" name="IQ_EBITDA_SBC_EST" vbProcedure="false">"c4336"</definedName>
    <definedName function="false" hidden="true" name="IQ_EBITDA_SBC_EST_CIQ" vbProcedure="false">"c4861"</definedName>
    <definedName function="false" hidden="true" name="IQ_EBITDA_SBC_GUIDANCE" vbProcedure="false">"c4338"</definedName>
    <definedName function="false" hidden="true" name="IQ_EBITDA_SBC_GUIDANCE_CIQ" vbProcedure="false">"c4863"</definedName>
    <definedName function="false" hidden="true" name="IQ_EBITDA_SBC_HIGH_EST" vbProcedure="false">"c4339"</definedName>
    <definedName function="false" hidden="true" name="IQ_EBITDA_SBC_HIGH_EST_CIQ" vbProcedure="false">"c4864"</definedName>
    <definedName function="false" hidden="true" name="IQ_EBITDA_SBC_HIGH_GUIDANCE" vbProcedure="false">"c4194"</definedName>
    <definedName function="false" hidden="true" name="IQ_EBITDA_SBC_HIGH_GUIDANCE_CIQ" vbProcedure="false">"c4606"</definedName>
    <definedName function="false" hidden="true" name="IQ_EBITDA_SBC_LOW_EST" vbProcedure="false">"c4340"</definedName>
    <definedName function="false" hidden="true" name="IQ_EBITDA_SBC_LOW_EST_CIQ" vbProcedure="false">"c4865"</definedName>
    <definedName function="false" hidden="true" name="IQ_EBITDA_SBC_LOW_GUIDANCE" vbProcedure="false">"c4234"</definedName>
    <definedName function="false" hidden="true" name="IQ_EBITDA_SBC_LOW_GUIDANCE_CIQ" vbProcedure="false">"c4646"</definedName>
    <definedName function="false" hidden="true" name="IQ_EBITDA_SBC_MEDIAN_EST" vbProcedure="false">"c4341"</definedName>
    <definedName function="false" hidden="true" name="IQ_EBITDA_SBC_MEDIAN_EST_CIQ" vbProcedure="false">"c4866"</definedName>
    <definedName function="false" hidden="true" name="IQ_EBITDA_SBC_NUM_EST" vbProcedure="false">"c4342"</definedName>
    <definedName function="false" hidden="true" name="IQ_EBITDA_SBC_NUM_EST_CIQ" vbProcedure="false">"c4867"</definedName>
    <definedName function="false" hidden="true" name="IQ_EBITDA_SBC_STDDEV_EST" vbProcedure="false">"c4343"</definedName>
    <definedName function="false" hidden="true" name="IQ_EBITDA_SBC_STDDEV_EST_CIQ" vbProcedure="false">"c4868"</definedName>
    <definedName function="false" hidden="true" name="IQ_EBITDA_STDDEV_EST" vbProcedure="false">"c375"</definedName>
    <definedName function="false" hidden="true" name="IQ_EBITDA_STDDEV_EST_CIQ" vbProcedure="false">"c3627"</definedName>
    <definedName function="false" hidden="true" name="IQ_EBITDA_STDDEV_EST_REUT" vbProcedure="false">"c3645"</definedName>
    <definedName function="false" hidden="true" name="IQ_EBIT_10YR_ANN_CAGR" vbProcedure="false">"c6075"</definedName>
    <definedName function="false" hidden="true" name="IQ_EBIT_10YR_ANN_GROWTH" vbProcedure="false">"c353"</definedName>
    <definedName function="false" hidden="true" name="IQ_EBIT_1YR_ANN_GROWTH" vbProcedure="false">"c354"</definedName>
    <definedName function="false" hidden="true" name="IQ_EBIT_2YR_ANN_CAGR" vbProcedure="false">"c6076"</definedName>
    <definedName function="false" hidden="true" name="IQ_EBIT_2YR_ANN_GROWTH" vbProcedure="false">"c355"</definedName>
    <definedName function="false" hidden="true" name="IQ_EBIT_3YR_ANN_CAGR" vbProcedure="false">"c6077"</definedName>
    <definedName function="false" hidden="true" name="IQ_EBIT_3YR_ANN_GROWTH" vbProcedure="false">"c356"</definedName>
    <definedName function="false" hidden="true" name="IQ_EBIT_5YR_ANN_CAGR" vbProcedure="false">"c6078"</definedName>
    <definedName function="false" hidden="true" name="IQ_EBIT_5YR_ANN_GROWTH" vbProcedure="false">"c357"</definedName>
    <definedName function="false" hidden="true" name="IQ_EBIT_7YR_ANN_CAGR" vbProcedure="false">"c6079"</definedName>
    <definedName function="false" hidden="true" name="IQ_EBIT_7YR_ANN_GROWTH" vbProcedure="false">"c358"</definedName>
    <definedName function="false" hidden="true" name="IQ_EBIT_ACT_OR_EST" vbProcedure="false">"c2219"</definedName>
    <definedName function="false" hidden="true" name="IQ_EBIT_ACT_OR_EST_CIQ" vbProcedure="false">"c5063"</definedName>
    <definedName function="false" hidden="true" name="IQ_EBIT_EQ_INC" vbProcedure="false">"c3498"</definedName>
    <definedName function="false" hidden="true" name="IQ_EBIT_EQ_INC_EXCL_SBC" vbProcedure="false">"c3502"</definedName>
    <definedName function="false" hidden="true" name="IQ_EBIT_EST" vbProcedure="false">"c1681"</definedName>
    <definedName function="false" hidden="true" name="IQ_EBIT_EST_CIQ" vbProcedure="false">"c4674"</definedName>
    <definedName function="false" hidden="true" name="IQ_EBIT_EXCL_SBC" vbProcedure="false">"c3082"</definedName>
    <definedName function="false" hidden="true" name="IQ_EBIT_GUIDANCE" vbProcedure="false">"c4303"</definedName>
    <definedName function="false" hidden="true" name="IQ_EBIT_GUIDANCE_CIQ" vbProcedure="false">"c4828"</definedName>
    <definedName function="false" hidden="true" name="IQ_EBIT_GW_ACT_OR_EST" vbProcedure="false">"c4306"</definedName>
    <definedName function="false" hidden="true" name="IQ_EBIT_GW_ACT_OR_EST_CIQ" vbProcedure="false">"c4831"</definedName>
    <definedName function="false" hidden="true" name="IQ_EBIT_GW_EST" vbProcedure="false">"c4305"</definedName>
    <definedName function="false" hidden="true" name="IQ_EBIT_GW_EST_CIQ" vbProcedure="false">"c4830"</definedName>
    <definedName function="false" hidden="true" name="IQ_EBIT_GW_GUIDANCE" vbProcedure="false">"c4307"</definedName>
    <definedName function="false" hidden="true" name="IQ_EBIT_GW_GUIDANCE_CIQ" vbProcedure="false">"c4832"</definedName>
    <definedName function="false" hidden="true" name="IQ_EBIT_GW_HIGH_EST" vbProcedure="false">"c4308"</definedName>
    <definedName function="false" hidden="true" name="IQ_EBIT_GW_HIGH_EST_CIQ" vbProcedure="false">"c4833"</definedName>
    <definedName function="false" hidden="true" name="IQ_EBIT_GW_HIGH_GUIDANCE" vbProcedure="false">"c4171"</definedName>
    <definedName function="false" hidden="true" name="IQ_EBIT_GW_HIGH_GUIDANCE_CIQ" vbProcedure="false">"c4583"</definedName>
    <definedName function="false" hidden="true" name="IQ_EBIT_GW_LOW_EST" vbProcedure="false">"c4309"</definedName>
    <definedName function="false" hidden="true" name="IQ_EBIT_GW_LOW_EST_CIQ" vbProcedure="false">"c4834"</definedName>
    <definedName function="false" hidden="true" name="IQ_EBIT_GW_LOW_GUIDANCE" vbProcedure="false">"c4211"</definedName>
    <definedName function="false" hidden="true" name="IQ_EBIT_GW_LOW_GUIDANCE_CIQ" vbProcedure="false">"c4623"</definedName>
    <definedName function="false" hidden="true" name="IQ_EBIT_GW_MEDIAN_EST" vbProcedure="false">"c4310"</definedName>
    <definedName function="false" hidden="true" name="IQ_EBIT_GW_MEDIAN_EST_CIQ" vbProcedure="false">"c4835"</definedName>
    <definedName function="false" hidden="true" name="IQ_EBIT_GW_NUM_EST" vbProcedure="false">"c4311"</definedName>
    <definedName function="false" hidden="true" name="IQ_EBIT_GW_NUM_EST_CIQ" vbProcedure="false">"c4836"</definedName>
    <definedName function="false" hidden="true" name="IQ_EBIT_GW_STDDEV_EST" vbProcedure="false">"c4312"</definedName>
    <definedName function="false" hidden="true" name="IQ_EBIT_GW_STDDEV_EST_CIQ" vbProcedure="false">"c4837"</definedName>
    <definedName function="false" hidden="true" name="IQ_EBIT_HIGH_EST" vbProcedure="false">"c1683"</definedName>
    <definedName function="false" hidden="true" name="IQ_EBIT_HIGH_EST_CIQ" vbProcedure="false">"c4676"</definedName>
    <definedName function="false" hidden="true" name="IQ_EBIT_HIGH_GUIDANCE" vbProcedure="false">"c4172"</definedName>
    <definedName function="false" hidden="true" name="IQ_EBIT_HIGH_GUIDANCE_CIQ" vbProcedure="false">"c4584"</definedName>
    <definedName function="false" hidden="true" name="IQ_EBIT_INT" vbProcedure="false">"c360"</definedName>
    <definedName function="false" hidden="true" name="IQ_EBIT_LOW_EST" vbProcedure="false">"c1684"</definedName>
    <definedName function="false" hidden="true" name="IQ_EBIT_LOW_EST_CIQ" vbProcedure="false">"c4677"</definedName>
    <definedName function="false" hidden="true" name="IQ_EBIT_LOW_GUIDANCE" vbProcedure="false">"c4212"</definedName>
    <definedName function="false" hidden="true" name="IQ_EBIT_LOW_GUIDANCE_CIQ" vbProcedure="false">"c4624"</definedName>
    <definedName function="false" hidden="true" name="IQ_EBIT_MARGIN" vbProcedure="false">"c359"</definedName>
    <definedName function="false" hidden="true" name="IQ_EBIT_MEDIAN_EST" vbProcedure="false">"c1682"</definedName>
    <definedName function="false" hidden="true" name="IQ_EBIT_MEDIAN_EST_CIQ" vbProcedure="false">"c4675"</definedName>
    <definedName function="false" hidden="true" name="IQ_EBIT_NUM_EST" vbProcedure="false">"c1685"</definedName>
    <definedName function="false" hidden="true" name="IQ_EBIT_NUM_EST_CIQ" vbProcedure="false">"c4678"</definedName>
    <definedName function="false" hidden="true" name="IQ_EBIT_OVER_IE" vbProcedure="false">"c1369"</definedName>
    <definedName function="false" hidden="true" name="IQ_EBIT_SBC_ACT_OR_EST" vbProcedure="false">"c4316"</definedName>
    <definedName function="false" hidden="true" name="IQ_EBIT_SBC_ACT_OR_EST_CIQ" vbProcedure="false">"c4841"</definedName>
    <definedName function="false" hidden="true" name="IQ_EBIT_SBC_EST" vbProcedure="false">"c4315"</definedName>
    <definedName function="false" hidden="true" name="IQ_EBIT_SBC_EST_CIQ" vbProcedure="false">"c4840"</definedName>
    <definedName function="false" hidden="true" name="IQ_EBIT_SBC_GUIDANCE" vbProcedure="false">"c4317"</definedName>
    <definedName function="false" hidden="true" name="IQ_EBIT_SBC_GUIDANCE_CIQ" vbProcedure="false">"c4842"</definedName>
    <definedName function="false" hidden="true" name="IQ_EBIT_SBC_GW_ACT_OR_EST" vbProcedure="false">"c4320"</definedName>
    <definedName function="false" hidden="true" name="IQ_EBIT_SBC_GW_ACT_OR_EST_CIQ" vbProcedure="false">"c4845"</definedName>
    <definedName function="false" hidden="true" name="IQ_EBIT_SBC_GW_EST" vbProcedure="false">"c4319"</definedName>
    <definedName function="false" hidden="true" name="IQ_EBIT_SBC_GW_EST_CIQ" vbProcedure="false">"c4844"</definedName>
    <definedName function="false" hidden="true" name="IQ_EBIT_SBC_GW_GUIDANCE" vbProcedure="false">"c4321"</definedName>
    <definedName function="false" hidden="true" name="IQ_EBIT_SBC_GW_GUIDANCE_CIQ" vbProcedure="false">"c4846"</definedName>
    <definedName function="false" hidden="true" name="IQ_EBIT_SBC_GW_HIGH_EST" vbProcedure="false">"c4322"</definedName>
    <definedName function="false" hidden="true" name="IQ_EBIT_SBC_GW_HIGH_EST_CIQ" vbProcedure="false">"c4847"</definedName>
    <definedName function="false" hidden="true" name="IQ_EBIT_SBC_GW_HIGH_GUIDANCE" vbProcedure="false">"c4193"</definedName>
    <definedName function="false" hidden="true" name="IQ_EBIT_SBC_GW_HIGH_GUIDANCE_CIQ" vbProcedure="false">"c4605"</definedName>
    <definedName function="false" hidden="true" name="IQ_EBIT_SBC_GW_LOW_EST" vbProcedure="false">"c4323"</definedName>
    <definedName function="false" hidden="true" name="IQ_EBIT_SBC_GW_LOW_EST_CIQ" vbProcedure="false">"c4848"</definedName>
    <definedName function="false" hidden="true" name="IQ_EBIT_SBC_GW_LOW_GUIDANCE" vbProcedure="false">"c4233"</definedName>
    <definedName function="false" hidden="true" name="IQ_EBIT_SBC_GW_LOW_GUIDANCE_CIQ" vbProcedure="false">"c4645"</definedName>
    <definedName function="false" hidden="true" name="IQ_EBIT_SBC_GW_MEDIAN_EST" vbProcedure="false">"c4324"</definedName>
    <definedName function="false" hidden="true" name="IQ_EBIT_SBC_GW_MEDIAN_EST_CIQ" vbProcedure="false">"c4849"</definedName>
    <definedName function="false" hidden="true" name="IQ_EBIT_SBC_GW_NUM_EST" vbProcedure="false">"c4325"</definedName>
    <definedName function="false" hidden="true" name="IQ_EBIT_SBC_GW_NUM_EST_CIQ" vbProcedure="false">"c4850"</definedName>
    <definedName function="false" hidden="true" name="IQ_EBIT_SBC_GW_STDDEV_EST" vbProcedure="false">"c4326"</definedName>
    <definedName function="false" hidden="true" name="IQ_EBIT_SBC_GW_STDDEV_EST_CIQ" vbProcedure="false">"c4851"</definedName>
    <definedName function="false" hidden="true" name="IQ_EBIT_SBC_HIGH_EST" vbProcedure="false">"c4328"</definedName>
    <definedName function="false" hidden="true" name="IQ_EBIT_SBC_HIGH_EST_CIQ" vbProcedure="false">"c4853"</definedName>
    <definedName function="false" hidden="true" name="IQ_EBIT_SBC_HIGH_GUIDANCE" vbProcedure="false">"c4192"</definedName>
    <definedName function="false" hidden="true" name="IQ_EBIT_SBC_HIGH_GUIDANCE_CIQ" vbProcedure="false">"c4604"</definedName>
    <definedName function="false" hidden="true" name="IQ_EBIT_SBC_LOW_EST" vbProcedure="false">"c4329"</definedName>
    <definedName function="false" hidden="true" name="IQ_EBIT_SBC_LOW_EST_CIQ" vbProcedure="false">"c4854"</definedName>
    <definedName function="false" hidden="true" name="IQ_EBIT_SBC_LOW_GUIDANCE" vbProcedure="false">"c4232"</definedName>
    <definedName function="false" hidden="true" name="IQ_EBIT_SBC_LOW_GUIDANCE_CIQ" vbProcedure="false">"c4644"</definedName>
    <definedName function="false" hidden="true" name="IQ_EBIT_SBC_MEDIAN_EST" vbProcedure="false">"c4330"</definedName>
    <definedName function="false" hidden="true" name="IQ_EBIT_SBC_MEDIAN_EST_CIQ" vbProcedure="false">"c4855"</definedName>
    <definedName function="false" hidden="true" name="IQ_EBIT_SBC_NUM_EST" vbProcedure="false">"c4331"</definedName>
    <definedName function="false" hidden="true" name="IQ_EBIT_SBC_NUM_EST_CIQ" vbProcedure="false">"c4856"</definedName>
    <definedName function="false" hidden="true" name="IQ_EBIT_SBC_STDDEV_EST" vbProcedure="false">"c4332"</definedName>
    <definedName function="false" hidden="true" name="IQ_EBIT_SBC_STDDEV_EST_CIQ" vbProcedure="false">"c4857"</definedName>
    <definedName function="false" hidden="true" name="IQ_EBIT_STDDEV_EST" vbProcedure="false">"c1686"</definedName>
    <definedName function="false" hidden="true" name="IQ_EBIT_STDDEV_EST_CIQ" vbProcedure="false">"c4679"</definedName>
    <definedName function="false" hidden="true" name="IQ_EBT" vbProcedure="false">"c376"</definedName>
    <definedName function="false" hidden="true" name="IQ_EBT_BNK" vbProcedure="false">"c377"</definedName>
    <definedName function="false" hidden="true" name="IQ_EBT_BR" vbProcedure="false">"c378"</definedName>
    <definedName function="false" hidden="true" name="IQ_EBT_EXCL" vbProcedure="false">"c379"</definedName>
    <definedName function="false" hidden="true" name="IQ_EBT_EXCL_BNK" vbProcedure="false">"c380"</definedName>
    <definedName function="false" hidden="true" name="IQ_EBT_EXCL_BR" vbProcedure="false">"c381"</definedName>
    <definedName function="false" hidden="true" name="IQ_EBT_EXCL_FIN" vbProcedure="false">"c382"</definedName>
    <definedName function="false" hidden="true" name="IQ_EBT_EXCL_INS" vbProcedure="false">"c383"</definedName>
    <definedName function="false" hidden="true" name="IQ_EBT_EXCL_MARGIN" vbProcedure="false">"c1462"</definedName>
    <definedName function="false" hidden="true" name="IQ_EBT_EXCL_RE" vbProcedure="false">"c6214"</definedName>
    <definedName function="false" hidden="true" name="IQ_EBT_EXCL_REIT" vbProcedure="false">"c384"</definedName>
    <definedName function="false" hidden="true" name="IQ_EBT_EXCL_UTI" vbProcedure="false">"c385"</definedName>
    <definedName function="false" hidden="true" name="IQ_EBT_FIN" vbProcedure="false">"c386"</definedName>
    <definedName function="false" hidden="true" name="IQ_EBT_GAAP_GUIDANCE" vbProcedure="false">"c4345"</definedName>
    <definedName function="false" hidden="true" name="IQ_EBT_GAAP_GUIDANCE_CIQ" vbProcedure="false">"c4870"</definedName>
    <definedName function="false" hidden="true" name="IQ_EBT_GAAP_HIGH_GUIDANCE" vbProcedure="false">"c4174"</definedName>
    <definedName function="false" hidden="true" name="IQ_EBT_GAAP_HIGH_GUIDANCE_CIQ" vbProcedure="false">"c4586"</definedName>
    <definedName function="false" hidden="true" name="IQ_EBT_GAAP_LOW_GUIDANCE" vbProcedure="false">"c4214"</definedName>
    <definedName function="false" hidden="true" name="IQ_EBT_GAAP_LOW_GUIDANCE_CIQ" vbProcedure="false">"c4626"</definedName>
    <definedName function="false" hidden="true" name="IQ_EBT_GUIDANCE" vbProcedure="false">"c4346"</definedName>
    <definedName function="false" hidden="true" name="IQ_EBT_GUIDANCE_CIQ" vbProcedure="false">"c4871"</definedName>
    <definedName function="false" hidden="true" name="IQ_EBT_GW_GUIDANCE" vbProcedure="false">"c4347"</definedName>
    <definedName function="false" hidden="true" name="IQ_EBT_GW_GUIDANCE_CIQ" vbProcedure="false">"c4872"</definedName>
    <definedName function="false" hidden="true" name="IQ_EBT_GW_HIGH_GUIDANCE" vbProcedure="false">"c4175"</definedName>
    <definedName function="false" hidden="true" name="IQ_EBT_GW_HIGH_GUIDANCE_CIQ" vbProcedure="false">"c4587"</definedName>
    <definedName function="false" hidden="true" name="IQ_EBT_GW_LOW_GUIDANCE" vbProcedure="false">"c4215"</definedName>
    <definedName function="false" hidden="true" name="IQ_EBT_GW_LOW_GUIDANCE_CIQ" vbProcedure="false">"c4627"</definedName>
    <definedName function="false" hidden="true" name="IQ_EBT_HIGH_GUIDANCE" vbProcedure="false">"c4173"</definedName>
    <definedName function="false" hidden="true" name="IQ_EBT_HIGH_GUIDANCE_CIQ" vbProcedure="false">"c4585"</definedName>
    <definedName function="false" hidden="true" name="IQ_EBT_INCL_MARGIN" vbProcedure="false">"c387"</definedName>
    <definedName function="false" hidden="true" name="IQ_EBT_INS" vbProcedure="false">"c388"</definedName>
    <definedName function="false" hidden="true" name="IQ_EBT_LOW_GUIDANCE" vbProcedure="false">"c4213"</definedName>
    <definedName function="false" hidden="true" name="IQ_EBT_LOW_GUIDANCE_CIQ" vbProcedure="false">"c4625"</definedName>
    <definedName function="false" hidden="true" name="IQ_EBT_RE" vbProcedure="false">"c6215"</definedName>
    <definedName function="false" hidden="true" name="IQ_EBT_REIT" vbProcedure="false">"c389"</definedName>
    <definedName function="false" hidden="true" name="IQ_EBT_SBC_ACT_OR_EST" vbProcedure="false">"c4350"</definedName>
    <definedName function="false" hidden="true" name="IQ_EBT_SBC_ACT_OR_EST_CIQ" vbProcedure="false">"c4875"</definedName>
    <definedName function="false" hidden="true" name="IQ_EBT_SBC_EST" vbProcedure="false">"c4349"</definedName>
    <definedName function="false" hidden="true" name="IQ_EBT_SBC_EST_CIQ" vbProcedure="false">"c4874"</definedName>
    <definedName function="false" hidden="true" name="IQ_EBT_SBC_GUIDANCE" vbProcedure="false">"c4351"</definedName>
    <definedName function="false" hidden="true" name="IQ_EBT_SBC_GUIDANCE_CIQ" vbProcedure="false">"c4876"</definedName>
    <definedName function="false" hidden="true" name="IQ_EBT_SBC_GW_ACT_OR_EST" vbProcedure="false">"c4354"</definedName>
    <definedName function="false" hidden="true" name="IQ_EBT_SBC_GW_ACT_OR_EST_CIQ" vbProcedure="false">"c4879"</definedName>
    <definedName function="false" hidden="true" name="IQ_EBT_SBC_GW_EST" vbProcedure="false">"c4353"</definedName>
    <definedName function="false" hidden="true" name="IQ_EBT_SBC_GW_EST_CIQ" vbProcedure="false">"c4878"</definedName>
    <definedName function="false" hidden="true" name="IQ_EBT_SBC_GW_GUIDANCE" vbProcedure="false">"c4355"</definedName>
    <definedName function="false" hidden="true" name="IQ_EBT_SBC_GW_GUIDANCE_CIQ" vbProcedure="false">"c4880"</definedName>
    <definedName function="false" hidden="true" name="IQ_EBT_SBC_GW_HIGH_EST" vbProcedure="false">"c4356"</definedName>
    <definedName function="false" hidden="true" name="IQ_EBT_SBC_GW_HIGH_EST_CIQ" vbProcedure="false">"c4881"</definedName>
    <definedName function="false" hidden="true" name="IQ_EBT_SBC_GW_HIGH_GUIDANCE" vbProcedure="false">"c4191"</definedName>
    <definedName function="false" hidden="true" name="IQ_EBT_SBC_GW_HIGH_GUIDANCE_CIQ" vbProcedure="false">"c4603"</definedName>
    <definedName function="false" hidden="true" name="IQ_EBT_SBC_GW_LOW_EST" vbProcedure="false">"c4357"</definedName>
    <definedName function="false" hidden="true" name="IQ_EBT_SBC_GW_LOW_EST_CIQ" vbProcedure="false">"c4882"</definedName>
    <definedName function="false" hidden="true" name="IQ_EBT_SBC_GW_LOW_GUIDANCE" vbProcedure="false">"c4231"</definedName>
    <definedName function="false" hidden="true" name="IQ_EBT_SBC_GW_LOW_GUIDANCE_CIQ" vbProcedure="false">"c4643"</definedName>
    <definedName function="false" hidden="true" name="IQ_EBT_SBC_GW_MEDIAN_EST" vbProcedure="false">"c4358"</definedName>
    <definedName function="false" hidden="true" name="IQ_EBT_SBC_GW_MEDIAN_EST_CIQ" vbProcedure="false">"c4883"</definedName>
    <definedName function="false" hidden="true" name="IQ_EBT_SBC_GW_NUM_EST" vbProcedure="false">"c4359"</definedName>
    <definedName function="false" hidden="true" name="IQ_EBT_SBC_GW_NUM_EST_CIQ" vbProcedure="false">"c4884"</definedName>
    <definedName function="false" hidden="true" name="IQ_EBT_SBC_GW_STDDEV_EST" vbProcedure="false">"c4360"</definedName>
    <definedName function="false" hidden="true" name="IQ_EBT_SBC_GW_STDDEV_EST_CIQ" vbProcedure="false">"c4885"</definedName>
    <definedName function="false" hidden="true" name="IQ_EBT_SBC_HIGH_EST" vbProcedure="false">"c4362"</definedName>
    <definedName function="false" hidden="true" name="IQ_EBT_SBC_HIGH_EST_CIQ" vbProcedure="false">"c4887"</definedName>
    <definedName function="false" hidden="true" name="IQ_EBT_SBC_HIGH_GUIDANCE" vbProcedure="false">"c4190"</definedName>
    <definedName function="false" hidden="true" name="IQ_EBT_SBC_HIGH_GUIDANCE_CIQ" vbProcedure="false">"c4602"</definedName>
    <definedName function="false" hidden="true" name="IQ_EBT_SBC_LOW_EST" vbProcedure="false">"c4363"</definedName>
    <definedName function="false" hidden="true" name="IQ_EBT_SBC_LOW_EST_CIQ" vbProcedure="false">"c4888"</definedName>
    <definedName function="false" hidden="true" name="IQ_EBT_SBC_LOW_GUIDANCE" vbProcedure="false">"c4230"</definedName>
    <definedName function="false" hidden="true" name="IQ_EBT_SBC_LOW_GUIDANCE_CIQ" vbProcedure="false">"c4642"</definedName>
    <definedName function="false" hidden="true" name="IQ_EBT_SBC_MEDIAN_EST" vbProcedure="false">"c4364"</definedName>
    <definedName function="false" hidden="true" name="IQ_EBT_SBC_MEDIAN_EST_CIQ" vbProcedure="false">"c4889"</definedName>
    <definedName function="false" hidden="true" name="IQ_EBT_SBC_NUM_EST" vbProcedure="false">"c4365"</definedName>
    <definedName function="false" hidden="true" name="IQ_EBT_SBC_NUM_EST_CIQ" vbProcedure="false">"c4890"</definedName>
    <definedName function="false" hidden="true" name="IQ_EBT_SBC_STDDEV_EST" vbProcedure="false">"c4366"</definedName>
    <definedName function="false" hidden="true" name="IQ_EBT_SBC_STDDEV_EST_CIQ" vbProcedure="false">"c4891"</definedName>
    <definedName function="false" hidden="true" name="IQ_EBT_UTI" vbProcedure="false">"c390"</definedName>
    <definedName function="false" hidden="true" name="IQ_ECS_AUTHORIZED_SHARES" vbProcedure="false">"c5583"</definedName>
    <definedName function="false" hidden="true" name="IQ_ECS_AUTHORIZED_SHARES_ABS" vbProcedure="false">"c5597"</definedName>
    <definedName function="false" hidden="true" name="IQ_ECS_CONVERT_FACTOR" vbProcedure="false">"c5581"</definedName>
    <definedName function="false" hidden="true" name="IQ_ECS_CONVERT_FACTOR_ABS" vbProcedure="false">"c5595"</definedName>
    <definedName function="false" hidden="true" name="IQ_ECS_CONVERT_INTO" vbProcedure="false">"c5580"</definedName>
    <definedName function="false" hidden="true" name="IQ_ECS_CONVERT_INTO_ABS" vbProcedure="false">"c5594"</definedName>
    <definedName function="false" hidden="true" name="IQ_ECS_CONVERT_TYPE" vbProcedure="false">"c5579"</definedName>
    <definedName function="false" hidden="true" name="IQ_ECS_CONVERT_TYPE_ABS" vbProcedure="false">"c5593"</definedName>
    <definedName function="false" hidden="true" name="IQ_ECS_INACTIVE_DATE" vbProcedure="false">"c5576"</definedName>
    <definedName function="false" hidden="true" name="IQ_ECS_INACTIVE_DATE_ABS" vbProcedure="false">"c5590"</definedName>
    <definedName function="false" hidden="true" name="IQ_ECS_NAME" vbProcedure="false">"c5571"</definedName>
    <definedName function="false" hidden="true" name="IQ_ECS_NAME_ABS" vbProcedure="false">"c5585"</definedName>
    <definedName function="false" hidden="true" name="IQ_ECS_NUM_SHAREHOLDERS" vbProcedure="false">"c5584"</definedName>
    <definedName function="false" hidden="true" name="IQ_ECS_NUM_SHAREHOLDERS_ABS" vbProcedure="false">"c5598"</definedName>
    <definedName function="false" hidden="true" name="IQ_ECS_PAR_VALUE" vbProcedure="false">"c5577"</definedName>
    <definedName function="false" hidden="true" name="IQ_ECS_PAR_VALUE_ABS" vbProcedure="false">"c5591"</definedName>
    <definedName function="false" hidden="true" name="IQ_ECS_PAR_VALUE_CURRENCY" vbProcedure="false">"c5578"</definedName>
    <definedName function="false" hidden="true" name="IQ_ECS_PAR_VALUE_CURRENCY_ABS" vbProcedure="false">"c5592"</definedName>
    <definedName function="false" hidden="true" name="IQ_ECS_SHARES_OUT_BS_DATE" vbProcedure="false">"c5572"</definedName>
    <definedName function="false" hidden="true" name="IQ_ECS_SHARES_OUT_BS_DATE_ABS" vbProcedure="false">"c5586"</definedName>
    <definedName function="false" hidden="true" name="IQ_ECS_SHARES_OUT_FILING_DATE" vbProcedure="false">"c5573"</definedName>
    <definedName function="false" hidden="true" name="IQ_ECS_SHARES_OUT_FILING_DATE_ABS" vbProcedure="false">"c5587"</definedName>
    <definedName function="false" hidden="true" name="IQ_ECS_START_DATE" vbProcedure="false">"c5575"</definedName>
    <definedName function="false" hidden="true" name="IQ_ECS_START_DATE_ABS" vbProcedure="false">"c5589"</definedName>
    <definedName function="false" hidden="true" name="IQ_ECS_TYPE" vbProcedure="false">"c5574"</definedName>
    <definedName function="false" hidden="true" name="IQ_ECS_TYPE_ABS" vbProcedure="false">"c5588"</definedName>
    <definedName function="false" hidden="true" name="IQ_ECS_VOTING" vbProcedure="false">"c5582"</definedName>
    <definedName function="false" hidden="true" name="IQ_ECS_VOTING_ABS" vbProcedure="false">"c5596"</definedName>
    <definedName function="false" hidden="true" name="IQ_EFFECT_SPECIAL_CHARGE" vbProcedure="false">"c1595"</definedName>
    <definedName function="false" hidden="true" name="IQ_EFFECT_TAX_RATE" vbProcedure="false">"c1899"</definedName>
    <definedName function="false" hidden="true" name="IQ_EFFICIENCY_RATIO" vbProcedure="false">"c391"</definedName>
    <definedName function="false" hidden="true" name="IQ_EFFICIENCY_RATIO_FDIC" vbProcedure="false">"c6736"</definedName>
    <definedName function="false" hidden="true" name="IQ_EMPLOYEES" vbProcedure="false">"c392"</definedName>
    <definedName function="false" hidden="true" name="IQ_ENTERPRISE_VALUE" vbProcedure="false">"c1348"</definedName>
    <definedName function="false" hidden="true" name="IQ_EPS_10YR_ANN_CAGR" vbProcedure="false">"c6085"</definedName>
    <definedName function="false" hidden="true" name="IQ_EPS_10YR_ANN_GROWTH" vbProcedure="false">"c393"</definedName>
    <definedName function="false" hidden="true" name="IQ_EPS_1YR_ANN_GROWTH" vbProcedure="false">"c394"</definedName>
    <definedName function="false" hidden="true" name="IQ_EPS_2YR_ANN_CAGR" vbProcedure="false">"c6086"</definedName>
    <definedName function="false" hidden="true" name="IQ_EPS_2YR_ANN_GROWTH" vbProcedure="false">"c395"</definedName>
    <definedName function="false" hidden="true" name="IQ_EPS_3YR_ANN_CAGR" vbProcedure="false">"c6087"</definedName>
    <definedName function="false" hidden="true" name="IQ_EPS_3YR_ANN_GROWTH" vbProcedure="false">"c396"</definedName>
    <definedName function="false" hidden="true" name="IQ_EPS_5YR_ANN_CAGR" vbProcedure="false">"c6088"</definedName>
    <definedName function="false" hidden="true" name="IQ_EPS_5YR_ANN_GROWTH" vbProcedure="false">"c397"</definedName>
    <definedName function="false" hidden="true" name="IQ_EPS_7YR_ANN_CAGR" vbProcedure="false">"c6089"</definedName>
    <definedName function="false" hidden="true" name="IQ_EPS_7YR_ANN_GROWTH" vbProcedure="false">"c398"</definedName>
    <definedName function="false" hidden="true" name="IQ_EPS_ACT_OR_EST" vbProcedure="false">"c2213"</definedName>
    <definedName function="false" hidden="true" name="IQ_EPS_ACT_OR_EST_CIQ" vbProcedure="false">"c5058"</definedName>
    <definedName function="false" hidden="true" name="IQ_EPS_EST" vbProcedure="false">"c399"</definedName>
    <definedName function="false" hidden="true" name="IQ_EPS_EST_BOTTOM_UP" vbProcedure="false">"c5489"</definedName>
    <definedName function="false" hidden="true" name="IQ_EPS_EST_CIQ" vbProcedure="false">"c4994"</definedName>
    <definedName function="false" hidden="true" name="IQ_EPS_EST_REUT" vbProcedure="false">"c5453"</definedName>
    <definedName function="false" hidden="true" name="IQ_EPS_EXCL_GUIDANCE" vbProcedure="false">"c4368"</definedName>
    <definedName function="false" hidden="true" name="IQ_EPS_EXCL_GUIDANCE_CIQ" vbProcedure="false">"c4893"</definedName>
    <definedName function="false" hidden="true" name="IQ_EPS_EXCL_HIGH_GUIDANCE" vbProcedure="false">"c4369"</definedName>
    <definedName function="false" hidden="true" name="IQ_EPS_EXCL_HIGH_GUIDANCE_CIQ" vbProcedure="false">"c4894"</definedName>
    <definedName function="false" hidden="true" name="IQ_EPS_EXCL_LOW_GUIDANCE" vbProcedure="false">"c4204"</definedName>
    <definedName function="false" hidden="true" name="IQ_EPS_EXCL_LOW_GUIDANCE_CIQ" vbProcedure="false">"c4616"</definedName>
    <definedName function="false" hidden="true" name="IQ_EPS_GAAP_GUIDANCE" vbProcedure="false">"c4370"</definedName>
    <definedName function="false" hidden="true" name="IQ_EPS_GAAP_GUIDANCE_CIQ" vbProcedure="false">"c4895"</definedName>
    <definedName function="false" hidden="true" name="IQ_EPS_GAAP_HIGH_GUIDANCE" vbProcedure="false">"c4371"</definedName>
    <definedName function="false" hidden="true" name="IQ_EPS_GAAP_HIGH_GUIDANCE_CIQ" vbProcedure="false">"c4896"</definedName>
    <definedName function="false" hidden="true" name="IQ_EPS_GAAP_LOW_GUIDANCE" vbProcedure="false">"c4205"</definedName>
    <definedName function="false" hidden="true" name="IQ_EPS_GAAP_LOW_GUIDANCE_CIQ" vbProcedure="false">"c4617"</definedName>
    <definedName function="false" hidden="true" name="IQ_EPS_GW_ACT_OR_EST" vbProcedure="false">"c2223"</definedName>
    <definedName function="false" hidden="true" name="IQ_EPS_GW_ACT_OR_EST_CIQ" vbProcedure="false">"c5066"</definedName>
    <definedName function="false" hidden="true" name="IQ_EPS_GW_EST" vbProcedure="false">"c1737"</definedName>
    <definedName function="false" hidden="true" name="IQ_EPS_GW_EST_BOTTOM_UP" vbProcedure="false">"c5491"</definedName>
    <definedName function="false" hidden="true" name="IQ_EPS_GW_EST_CIQ" vbProcedure="false">"c4723"</definedName>
    <definedName function="false" hidden="true" name="IQ_EPS_GW_EST_REUT" vbProcedure="false">"c5389"</definedName>
    <definedName function="false" hidden="true" name="IQ_EPS_GW_GUIDANCE" vbProcedure="false">"c4372"</definedName>
    <definedName function="false" hidden="true" name="IQ_EPS_GW_GUIDANCE_CIQ" vbProcedure="false">"c4897"</definedName>
    <definedName function="false" hidden="true" name="IQ_EPS_GW_HIGH_EST" vbProcedure="false">"c1739"</definedName>
    <definedName function="false" hidden="true" name="IQ_EPS_GW_HIGH_EST_CIQ" vbProcedure="false">"c4725"</definedName>
    <definedName function="false" hidden="true" name="IQ_EPS_GW_HIGH_EST_REUT" vbProcedure="false">"c5391"</definedName>
    <definedName function="false" hidden="true" name="IQ_EPS_GW_HIGH_GUIDANCE" vbProcedure="false">"c4373"</definedName>
    <definedName function="false" hidden="true" name="IQ_EPS_GW_HIGH_GUIDANCE_CIQ" vbProcedure="false">"c4898"</definedName>
    <definedName function="false" hidden="true" name="IQ_EPS_GW_LOW_EST" vbProcedure="false">"c1740"</definedName>
    <definedName function="false" hidden="true" name="IQ_EPS_GW_LOW_EST_CIQ" vbProcedure="false">"c4726"</definedName>
    <definedName function="false" hidden="true" name="IQ_EPS_GW_LOW_EST_REUT" vbProcedure="false">"c5392"</definedName>
    <definedName function="false" hidden="true" name="IQ_EPS_GW_LOW_GUIDANCE" vbProcedure="false">"c4206"</definedName>
    <definedName function="false" hidden="true" name="IQ_EPS_GW_LOW_GUIDANCE_CIQ" vbProcedure="false">"c4618"</definedName>
    <definedName function="false" hidden="true" name="IQ_EPS_GW_MEDIAN_EST" vbProcedure="false">"c1738"</definedName>
    <definedName function="false" hidden="true" name="IQ_EPS_GW_MEDIAN_EST_CIQ" vbProcedure="false">"c4724"</definedName>
    <definedName function="false" hidden="true" name="IQ_EPS_GW_MEDIAN_EST_REUT" vbProcedure="false">"c5390"</definedName>
    <definedName function="false" hidden="true" name="IQ_EPS_GW_NUM_EST" vbProcedure="false">"c1741"</definedName>
    <definedName function="false" hidden="true" name="IQ_EPS_GW_NUM_EST_CIQ" vbProcedure="false">"c4727"</definedName>
    <definedName function="false" hidden="true" name="IQ_EPS_GW_NUM_EST_REUT" vbProcedure="false">"c5393"</definedName>
    <definedName function="false" hidden="true" name="IQ_EPS_GW_STDDEV_EST" vbProcedure="false">"c1742"</definedName>
    <definedName function="false" hidden="true" name="IQ_EPS_GW_STDDEV_EST_CIQ" vbProcedure="false">"c4728"</definedName>
    <definedName function="false" hidden="true" name="IQ_EPS_GW_STDDEV_EST_REUT" vbProcedure="false">"c5394"</definedName>
    <definedName function="false" hidden="true" name="IQ_EPS_HIGH_EST" vbProcedure="false">"c400"</definedName>
    <definedName function="false" hidden="true" name="IQ_EPS_HIGH_EST_CIQ" vbProcedure="false">"c4995"</definedName>
    <definedName function="false" hidden="true" name="IQ_EPS_HIGH_EST_REUT" vbProcedure="false">"c5454"</definedName>
    <definedName function="false" hidden="true" name="IQ_EPS_LOW_EST" vbProcedure="false">"c401"</definedName>
    <definedName function="false" hidden="true" name="IQ_EPS_LOW_EST_CIQ" vbProcedure="false">"c4996"</definedName>
    <definedName function="false" hidden="true" name="IQ_EPS_LOW_EST_REUT" vbProcedure="false">"c5455"</definedName>
    <definedName function="false" hidden="true" name="IQ_EPS_MEDIAN_EST" vbProcedure="false">"c1661"</definedName>
    <definedName function="false" hidden="true" name="IQ_EPS_MEDIAN_EST_CIQ" vbProcedure="false">"c4997"</definedName>
    <definedName function="false" hidden="true" name="IQ_EPS_MEDIAN_EST_REUT" vbProcedure="false">"c5456"</definedName>
    <definedName function="false" hidden="true" name="IQ_EPS_NORM" vbProcedure="false">"c1902"</definedName>
    <definedName function="false" hidden="true" name="IQ_EPS_NORM_EST" vbProcedure="false">"c2226"</definedName>
    <definedName function="false" hidden="true" name="IQ_EPS_NORM_EST_BOTTOM_UP" vbProcedure="false">"c5490"</definedName>
    <definedName function="false" hidden="true" name="IQ_EPS_NORM_EST_CIQ" vbProcedure="false">"c4667"</definedName>
    <definedName function="false" hidden="true" name="IQ_EPS_NORM_EST_REUT" vbProcedure="false">"c5326"</definedName>
    <definedName function="false" hidden="true" name="IQ_EPS_NORM_HIGH_EST" vbProcedure="false">"c2228"</definedName>
    <definedName function="false" hidden="true" name="IQ_EPS_NORM_HIGH_EST_CIQ" vbProcedure="false">"c4669"</definedName>
    <definedName function="false" hidden="true" name="IQ_EPS_NORM_HIGH_EST_REUT" vbProcedure="false">"c5328"</definedName>
    <definedName function="false" hidden="true" name="IQ_EPS_NORM_LOW_EST" vbProcedure="false">"c2229"</definedName>
    <definedName function="false" hidden="true" name="IQ_EPS_NORM_LOW_EST_CIQ" vbProcedure="false">"c4670"</definedName>
    <definedName function="false" hidden="true" name="IQ_EPS_NORM_LOW_EST_REUT" vbProcedure="false">"c5329"</definedName>
    <definedName function="false" hidden="true" name="IQ_EPS_NORM_MEDIAN_EST" vbProcedure="false">"c2227"</definedName>
    <definedName function="false" hidden="true" name="IQ_EPS_NORM_MEDIAN_EST_CIQ" vbProcedure="false">"c4668"</definedName>
    <definedName function="false" hidden="true" name="IQ_EPS_NORM_MEDIAN_EST_REUT" vbProcedure="false">"c5327"</definedName>
    <definedName function="false" hidden="true" name="IQ_EPS_NORM_NUM_EST" vbProcedure="false">"c2230"</definedName>
    <definedName function="false" hidden="true" name="IQ_EPS_NORM_NUM_EST_CIQ" vbProcedure="false">"c4671"</definedName>
    <definedName function="false" hidden="true" name="IQ_EPS_NORM_NUM_EST_REUT" vbProcedure="false">"c5330"</definedName>
    <definedName function="false" hidden="true" name="IQ_EPS_NORM_STDDEV_EST" vbProcedure="false">"c2231"</definedName>
    <definedName function="false" hidden="true" name="IQ_EPS_NORM_STDDEV_EST_CIQ" vbProcedure="false">"c4672"</definedName>
    <definedName function="false" hidden="true" name="IQ_EPS_NORM_STDDEV_EST_REUT" vbProcedure="false">"c5331"</definedName>
    <definedName function="false" hidden="true" name="IQ_EPS_NUM_EST" vbProcedure="false">"c402"</definedName>
    <definedName function="false" hidden="true" name="IQ_EPS_NUM_EST_CIQ" vbProcedure="false">"c4992"</definedName>
    <definedName function="false" hidden="true" name="IQ_EPS_NUM_EST_REUT" vbProcedure="false">"c5451"</definedName>
    <definedName function="false" hidden="true" name="IQ_EPS_REPORTED_EST" vbProcedure="false">"c1744"</definedName>
    <definedName function="false" hidden="true" name="IQ_EPS_REPORTED_EST_BOTTOM_UP" vbProcedure="false">"c5492"</definedName>
    <definedName function="false" hidden="true" name="IQ_EPS_REPORTED_EST_CIQ" vbProcedure="false">"c4730"</definedName>
    <definedName function="false" hidden="true" name="IQ_EPS_REPORTED_EST_REUT" vbProcedure="false">"c5396"</definedName>
    <definedName function="false" hidden="true" name="IQ_EPS_REPORTED_HIGH_EST" vbProcedure="false">"c1746"</definedName>
    <definedName function="false" hidden="true" name="IQ_EPS_REPORTED_HIGH_EST_CIQ" vbProcedure="false">"c4732"</definedName>
    <definedName function="false" hidden="true" name="IQ_EPS_REPORTED_HIGH_EST_REUT" vbProcedure="false">"c5398"</definedName>
    <definedName function="false" hidden="true" name="IQ_EPS_REPORTED_LOW_EST" vbProcedure="false">"c1747"</definedName>
    <definedName function="false" hidden="true" name="IQ_EPS_REPORTED_LOW_EST_CIQ" vbProcedure="false">"c4733"</definedName>
    <definedName function="false" hidden="true" name="IQ_EPS_REPORTED_LOW_EST_REUT" vbProcedure="false">"c5399"</definedName>
    <definedName function="false" hidden="true" name="IQ_EPS_REPORTED_MEDIAN_EST" vbProcedure="false">"c1745"</definedName>
    <definedName function="false" hidden="true" name="IQ_EPS_REPORTED_MEDIAN_EST_CIQ" vbProcedure="false">"c4731"</definedName>
    <definedName function="false" hidden="true" name="IQ_EPS_REPORTED_MEDIAN_EST_REUT" vbProcedure="false">"c5397"</definedName>
    <definedName function="false" hidden="true" name="IQ_EPS_REPORTED_NUM_EST" vbProcedure="false">"c1748"</definedName>
    <definedName function="false" hidden="true" name="IQ_EPS_REPORTED_NUM_EST_CIQ" vbProcedure="false">"c4734"</definedName>
    <definedName function="false" hidden="true" name="IQ_EPS_REPORTED_NUM_EST_REUT" vbProcedure="false">"c5400"</definedName>
    <definedName function="false" hidden="true" name="IQ_EPS_REPORTED_STDDEV_EST" vbProcedure="false">"c1749"</definedName>
    <definedName function="false" hidden="true" name="IQ_EPS_REPORTED_STDDEV_EST_CIQ" vbProcedure="false">"c4735"</definedName>
    <definedName function="false" hidden="true" name="IQ_EPS_REPORTED_STDDEV_EST_REUT" vbProcedure="false">"c5401"</definedName>
    <definedName function="false" hidden="true" name="IQ_EPS_REPORT_ACT_OR_EST" vbProcedure="false">"c2224"</definedName>
    <definedName function="false" hidden="true" name="IQ_EPS_REPORT_ACT_OR_EST_CIQ" vbProcedure="false">"c5067"</definedName>
    <definedName function="false" hidden="true" name="IQ_EPS_SBC_ACT_OR_EST" vbProcedure="false">"c4376"</definedName>
    <definedName function="false" hidden="true" name="IQ_EPS_SBC_ACT_OR_EST_CIQ" vbProcedure="false">"c4901"</definedName>
    <definedName function="false" hidden="true" name="IQ_EPS_SBC_EST" vbProcedure="false">"c4375"</definedName>
    <definedName function="false" hidden="true" name="IQ_EPS_SBC_EST_CIQ" vbProcedure="false">"c4900"</definedName>
    <definedName function="false" hidden="true" name="IQ_EPS_SBC_GUIDANCE" vbProcedure="false">"c4377"</definedName>
    <definedName function="false" hidden="true" name="IQ_EPS_SBC_GUIDANCE_CIQ" vbProcedure="false">"c4902"</definedName>
    <definedName function="false" hidden="true" name="IQ_EPS_SBC_GW_ACT_OR_EST" vbProcedure="false">"c4380"</definedName>
    <definedName function="false" hidden="true" name="IQ_EPS_SBC_GW_ACT_OR_EST_CIQ" vbProcedure="false">"c4905"</definedName>
    <definedName function="false" hidden="true" name="IQ_EPS_SBC_GW_EST" vbProcedure="false">"c4379"</definedName>
    <definedName function="false" hidden="true" name="IQ_EPS_SBC_GW_EST_CIQ" vbProcedure="false">"c4904"</definedName>
    <definedName function="false" hidden="true" name="IQ_EPS_SBC_GW_GUIDANCE" vbProcedure="false">"c4381"</definedName>
    <definedName function="false" hidden="true" name="IQ_EPS_SBC_GW_GUIDANCE_CIQ" vbProcedure="false">"c4906"</definedName>
    <definedName function="false" hidden="true" name="IQ_EPS_SBC_GW_HIGH_EST" vbProcedure="false">"c4382"</definedName>
    <definedName function="false" hidden="true" name="IQ_EPS_SBC_GW_HIGH_EST_CIQ" vbProcedure="false">"c4907"</definedName>
    <definedName function="false" hidden="true" name="IQ_EPS_SBC_GW_HIGH_GUIDANCE" vbProcedure="false">"c4189"</definedName>
    <definedName function="false" hidden="true" name="IQ_EPS_SBC_GW_HIGH_GUIDANCE_CIQ" vbProcedure="false">"c4601"</definedName>
    <definedName function="false" hidden="true" name="IQ_EPS_SBC_GW_LOW_EST" vbProcedure="false">"c4383"</definedName>
    <definedName function="false" hidden="true" name="IQ_EPS_SBC_GW_LOW_EST_CIQ" vbProcedure="false">"c4908"</definedName>
    <definedName function="false" hidden="true" name="IQ_EPS_SBC_GW_LOW_GUIDANCE" vbProcedure="false">"c4229"</definedName>
    <definedName function="false" hidden="true" name="IQ_EPS_SBC_GW_LOW_GUIDANCE_CIQ" vbProcedure="false">"c4641"</definedName>
    <definedName function="false" hidden="true" name="IQ_EPS_SBC_GW_MEDIAN_EST" vbProcedure="false">"c4384"</definedName>
    <definedName function="false" hidden="true" name="IQ_EPS_SBC_GW_MEDIAN_EST_CIQ" vbProcedure="false">"c4909"</definedName>
    <definedName function="false" hidden="true" name="IQ_EPS_SBC_GW_NUM_EST" vbProcedure="false">"c4385"</definedName>
    <definedName function="false" hidden="true" name="IQ_EPS_SBC_GW_NUM_EST_CIQ" vbProcedure="false">"c4910"</definedName>
    <definedName function="false" hidden="true" name="IQ_EPS_SBC_GW_STDDEV_EST" vbProcedure="false">"c4386"</definedName>
    <definedName function="false" hidden="true" name="IQ_EPS_SBC_GW_STDDEV_EST_CIQ" vbProcedure="false">"c4911"</definedName>
    <definedName function="false" hidden="true" name="IQ_EPS_SBC_HIGH_EST" vbProcedure="false">"c4388"</definedName>
    <definedName function="false" hidden="true" name="IQ_EPS_SBC_HIGH_EST_CIQ" vbProcedure="false">"c4913"</definedName>
    <definedName function="false" hidden="true" name="IQ_EPS_SBC_HIGH_GUIDANCE" vbProcedure="false">"c4188"</definedName>
    <definedName function="false" hidden="true" name="IQ_EPS_SBC_HIGH_GUIDANCE_CIQ" vbProcedure="false">"c4600"</definedName>
    <definedName function="false" hidden="true" name="IQ_EPS_SBC_LOW_EST" vbProcedure="false">"c4389"</definedName>
    <definedName function="false" hidden="true" name="IQ_EPS_SBC_LOW_EST_CIQ" vbProcedure="false">"c4914"</definedName>
    <definedName function="false" hidden="true" name="IQ_EPS_SBC_LOW_GUIDANCE" vbProcedure="false">"c4228"</definedName>
    <definedName function="false" hidden="true" name="IQ_EPS_SBC_LOW_GUIDANCE_CIQ" vbProcedure="false">"c4640"</definedName>
    <definedName function="false" hidden="true" name="IQ_EPS_SBC_MEDIAN_EST" vbProcedure="false">"c4390"</definedName>
    <definedName function="false" hidden="true" name="IQ_EPS_SBC_MEDIAN_EST_CIQ" vbProcedure="false">"c4915"</definedName>
    <definedName function="false" hidden="true" name="IQ_EPS_SBC_NUM_EST" vbProcedure="false">"c4391"</definedName>
    <definedName function="false" hidden="true" name="IQ_EPS_SBC_NUM_EST_CIQ" vbProcedure="false">"c4916"</definedName>
    <definedName function="false" hidden="true" name="IQ_EPS_SBC_STDDEV_EST" vbProcedure="false">"c4392"</definedName>
    <definedName function="false" hidden="true" name="IQ_EPS_SBC_STDDEV_EST_CIQ" vbProcedure="false">"c4917"</definedName>
    <definedName function="false" hidden="true" name="IQ_EPS_STDDEV_EST" vbProcedure="false">"c403"</definedName>
    <definedName function="false" hidden="true" name="IQ_EPS_STDDEV_EST_CIQ" vbProcedure="false">"c4993"</definedName>
    <definedName function="false" hidden="true" name="IQ_EPS_STDDEV_EST_REUT" vbProcedure="false">"c5452"</definedName>
    <definedName function="false" hidden="true" name="IQ_EQUITY_AFFIL" vbProcedure="false">"c1451"</definedName>
    <definedName function="false" hidden="true" name="IQ_EQUITY_CAPITAL_ASSETS_FDIC" vbProcedure="false">"c6744"</definedName>
    <definedName function="false" hidden="true" name="IQ_EQUITY_FDIC" vbProcedure="false">"c6353"</definedName>
    <definedName function="false" hidden="true" name="IQ_EQUITY_METHOD" vbProcedure="false">"c404"</definedName>
    <definedName function="false" hidden="true" name="IQ_EQUITY_SECURITIES_FDIC" vbProcedure="false">"c6304"</definedName>
    <definedName function="false" hidden="true" name="IQ_EQUITY_SECURITY_EXPOSURES_FDIC" vbProcedure="false">"c6664"</definedName>
    <definedName function="false" hidden="true" name="IQ_EQV_OVER_BV" vbProcedure="false">"c1596"</definedName>
    <definedName function="false" hidden="true" name="IQ_EQV_OVER_LTM_PRETAX_INC" vbProcedure="false">"c1390"</definedName>
    <definedName function="false" hidden="true" name="IQ_ESOP_DEBT" vbProcedure="false">"c1597"</definedName>
    <definedName function="false" hidden="true" name="IQ_ESTIMATED_ASSESSABLE_DEPOSITS_FDIC" vbProcedure="false">"c6490"</definedName>
    <definedName function="false" hidden="true" name="IQ_ESTIMATED_INSURED_DEPOSITS_FDIC" vbProcedure="false">"c6491"</definedName>
    <definedName function="false" hidden="true" name="IQ_EST_ACT_BV" vbProcedure="false">"c5630"</definedName>
    <definedName function="false" hidden="true" name="IQ_EST_ACT_BV_CIQ" vbProcedure="false">"c4743"</definedName>
    <definedName function="false" hidden="true" name="IQ_EST_ACT_BV_SHARE" vbProcedure="false">"c3549"</definedName>
    <definedName function="false" hidden="true" name="IQ_EST_ACT_BV_SHARE_CIQ" vbProcedure="false">"c3806"</definedName>
    <definedName function="false" hidden="true" name="IQ_EST_ACT_CAPEX" vbProcedure="false">"c3546"</definedName>
    <definedName function="false" hidden="true" name="IQ_EST_ACT_CAPEX_CIQ" vbProcedure="false">"c3813"</definedName>
    <definedName function="false" hidden="true" name="IQ_EST_ACT_CASH_EPS" vbProcedure="false">"c5637"</definedName>
    <definedName function="false" hidden="true" name="IQ_EST_ACT_CASH_FLOW" vbProcedure="false">"c4394"</definedName>
    <definedName function="false" hidden="true" name="IQ_EST_ACT_CASH_FLOW_CIQ" vbProcedure="false">"c4919"</definedName>
    <definedName function="false" hidden="true" name="IQ_EST_ACT_CASH_OPER" vbProcedure="false">"c4395"</definedName>
    <definedName function="false" hidden="true" name="IQ_EST_ACT_CASH_OPER_CIQ" vbProcedure="false">"c4920"</definedName>
    <definedName function="false" hidden="true" name="IQ_EST_ACT_CFPS" vbProcedure="false">"c1673"</definedName>
    <definedName function="false" hidden="true" name="IQ_EST_ACT_CFPS_CIQ" vbProcedure="false">"c3681"</definedName>
    <definedName function="false" hidden="true" name="IQ_EST_ACT_DISTRIBUTABLE_CASH" vbProcedure="false">"c4396"</definedName>
    <definedName function="false" hidden="true" name="IQ_EST_ACT_DISTRIBUTABLE_CASH_CIQ" vbProcedure="false">"c4921"</definedName>
    <definedName function="false" hidden="true" name="IQ_EST_ACT_DISTRIBUTABLE_CASH_SHARE" vbProcedure="false">"c4397"</definedName>
    <definedName function="false" hidden="true" name="IQ_EST_ACT_DISTRIBUTABLE_CASH_SHARE_CIQ" vbProcedure="false">"c4922"</definedName>
    <definedName function="false" hidden="true" name="IQ_EST_ACT_DPS" vbProcedure="false">"c1680"</definedName>
    <definedName function="false" hidden="true" name="IQ_EST_ACT_DPS_CIQ" vbProcedure="false">"c3688"</definedName>
    <definedName function="false" hidden="true" name="IQ_EST_ACT_EBIT" vbProcedure="false">"c1687"</definedName>
    <definedName function="false" hidden="true" name="IQ_EST_ACT_EBITDA" vbProcedure="false">"c1664"</definedName>
    <definedName function="false" hidden="true" name="IQ_EST_ACT_EBITDA_CIQ" vbProcedure="false">"c3667"</definedName>
    <definedName function="false" hidden="true" name="IQ_EST_ACT_EBITDA_SBC" vbProcedure="false">"c4401"</definedName>
    <definedName function="false" hidden="true" name="IQ_EST_ACT_EBITDA_SBC_CIQ" vbProcedure="false">"c4926"</definedName>
    <definedName function="false" hidden="true" name="IQ_EST_ACT_EBIT_CIQ" vbProcedure="false">"c4680"</definedName>
    <definedName function="false" hidden="true" name="IQ_EST_ACT_EBIT_GW" vbProcedure="false">"c4398"</definedName>
    <definedName function="false" hidden="true" name="IQ_EST_ACT_EBIT_GW_CIQ" vbProcedure="false">"c4923"</definedName>
    <definedName function="false" hidden="true" name="IQ_EST_ACT_EBIT_SBC" vbProcedure="false">"c4399"</definedName>
    <definedName function="false" hidden="true" name="IQ_EST_ACT_EBIT_SBC_CIQ" vbProcedure="false">"c4924"</definedName>
    <definedName function="false" hidden="true" name="IQ_EST_ACT_EBIT_SBC_GW" vbProcedure="false">"c4400"</definedName>
    <definedName function="false" hidden="true" name="IQ_EST_ACT_EBIT_SBC_GW_CIQ" vbProcedure="false">"c4925"</definedName>
    <definedName function="false" hidden="true" name="IQ_EST_ACT_EBT_SBC" vbProcedure="false">"c4402"</definedName>
    <definedName function="false" hidden="true" name="IQ_EST_ACT_EBT_SBC_CIQ" vbProcedure="false">"c4927"</definedName>
    <definedName function="false" hidden="true" name="IQ_EST_ACT_EBT_SBC_GW" vbProcedure="false">"c4403"</definedName>
    <definedName function="false" hidden="true" name="IQ_EST_ACT_EBT_SBC_GW_CIQ" vbProcedure="false">"c4928"</definedName>
    <definedName function="false" hidden="true" name="IQ_EST_ACT_EPS" vbProcedure="false">"c1648"</definedName>
    <definedName function="false" hidden="true" name="IQ_EST_ACT_EPS_CIQ" vbProcedure="false">"c4998"</definedName>
    <definedName function="false" hidden="true" name="IQ_EST_ACT_EPS_GW" vbProcedure="false">"c1743"</definedName>
    <definedName function="false" hidden="true" name="IQ_EST_ACT_EPS_GW_CIQ" vbProcedure="false">"c4729"</definedName>
    <definedName function="false" hidden="true" name="IQ_EST_ACT_EPS_GW_REUT" vbProcedure="false">"c5395"</definedName>
    <definedName function="false" hidden="true" name="IQ_EST_ACT_EPS_NORM" vbProcedure="false">"c2232"</definedName>
    <definedName function="false" hidden="true" name="IQ_EST_ACT_EPS_NORM_CIQ" vbProcedure="false">"c4673"</definedName>
    <definedName function="false" hidden="true" name="IQ_EST_ACT_EPS_NORM_REUT" vbProcedure="false">"c5332"</definedName>
    <definedName function="false" hidden="true" name="IQ_EST_ACT_EPS_REPORTED" vbProcedure="false">"c1750"</definedName>
    <definedName function="false" hidden="true" name="IQ_EST_ACT_EPS_REPORTED_CIQ" vbProcedure="false">"c4736"</definedName>
    <definedName function="false" hidden="true" name="IQ_EST_ACT_EPS_REPORTED_REUT" vbProcedure="false">"c5402"</definedName>
    <definedName function="false" hidden="true" name="IQ_EST_ACT_EPS_SBC" vbProcedure="false">"c4404"</definedName>
    <definedName function="false" hidden="true" name="IQ_EST_ACT_EPS_SBC_CIQ" vbProcedure="false">"c4929"</definedName>
    <definedName function="false" hidden="true" name="IQ_EST_ACT_EPS_SBC_GW" vbProcedure="false">"c4405"</definedName>
    <definedName function="false" hidden="true" name="IQ_EST_ACT_EPS_SBC_GW_CIQ" vbProcedure="false">"c4930"</definedName>
    <definedName function="false" hidden="true" name="IQ_EST_ACT_FFO" vbProcedure="false">"c1666"</definedName>
    <definedName function="false" hidden="true" name="IQ_EST_ACT_FFO_ADJ" vbProcedure="false">"c4406"</definedName>
    <definedName function="false" hidden="true" name="IQ_EST_ACT_FFO_ADJ_CIQ" vbProcedure="false">"c4931"</definedName>
    <definedName function="false" hidden="true" name="IQ_EST_ACT_FFO_CIQ" vbProcedure="false">"c3674"</definedName>
    <definedName function="false" hidden="true" name="IQ_EST_ACT_FFO_SHARE" vbProcedure="false">"c4407"</definedName>
    <definedName function="false" hidden="true" name="IQ_EST_ACT_FFO_SHARE_CIQ" vbProcedure="false">"c4932"</definedName>
    <definedName function="false" hidden="true" name="IQ_EST_ACT_GROSS_MARGIN" vbProcedure="false">"c5553"</definedName>
    <definedName function="false" hidden="true" name="IQ_EST_ACT_MAINT_CAPEX" vbProcedure="false">"c4408"</definedName>
    <definedName function="false" hidden="true" name="IQ_EST_ACT_MAINT_CAPEX_CIQ" vbProcedure="false">"c4933"</definedName>
    <definedName function="false" hidden="true" name="IQ_EST_ACT_NAV" vbProcedure="false">"c1757"</definedName>
    <definedName function="false" hidden="true" name="IQ_EST_ACT_NAV_SHARE" vbProcedure="false">"c5608"</definedName>
    <definedName function="false" hidden="true" name="IQ_EST_ACT_NET_DEBT" vbProcedure="false">"c3545"</definedName>
    <definedName function="false" hidden="true" name="IQ_EST_ACT_NET_DEBT_CIQ" vbProcedure="false">"c3820"</definedName>
    <definedName function="false" hidden="true" name="IQ_EST_ACT_NI" vbProcedure="false">"c1722"</definedName>
    <definedName function="false" hidden="true" name="IQ_EST_ACT_NI_CIQ" vbProcedure="false">"c4708"</definedName>
    <definedName function="false" hidden="true" name="IQ_EST_ACT_NI_GW_CIQ" vbProcedure="false">"c4715"</definedName>
    <definedName function="false" hidden="true" name="IQ_EST_ACT_NI_REPORTED" vbProcedure="false">"c1736"</definedName>
    <definedName function="false" hidden="true" name="IQ_EST_ACT_NI_REPORTED_CIQ" vbProcedure="false">"c4722"</definedName>
    <definedName function="false" hidden="true" name="IQ_EST_ACT_NI_SBC" vbProcedure="false">"c4409"</definedName>
    <definedName function="false" hidden="true" name="IQ_EST_ACT_NI_SBC_CIQ" vbProcedure="false">"c4934"</definedName>
    <definedName function="false" hidden="true" name="IQ_EST_ACT_NI_SBC_GW" vbProcedure="false">"c4410"</definedName>
    <definedName function="false" hidden="true" name="IQ_EST_ACT_NI_SBC_GW_CIQ" vbProcedure="false">"c4935"</definedName>
    <definedName function="false" hidden="true" name="IQ_EST_ACT_OPER_INC" vbProcedure="false">"c1694"</definedName>
    <definedName function="false" hidden="true" name="IQ_EST_ACT_PRETAX_GW_INC" vbProcedure="false">"c1708"</definedName>
    <definedName function="false" hidden="true" name="IQ_EST_ACT_PRETAX_GW_INC_CIQ" vbProcedure="false">"c4694"</definedName>
    <definedName function="false" hidden="true" name="IQ_EST_ACT_PRETAX_INC" vbProcedure="false">"c1701"</definedName>
    <definedName function="false" hidden="true" name="IQ_EST_ACT_PRETAX_INC_CIQ" vbProcedure="false">"c4687"</definedName>
    <definedName function="false" hidden="true" name="IQ_EST_ACT_PRETAX_REPORT_INC" vbProcedure="false">"c1715"</definedName>
    <definedName function="false" hidden="true" name="IQ_EST_ACT_PRETAX_REPORT_INC_CIQ" vbProcedure="false">"c4701"</definedName>
    <definedName function="false" hidden="true" name="IQ_EST_ACT_RECURRING_PROFIT" vbProcedure="false">"c4411"</definedName>
    <definedName function="false" hidden="true" name="IQ_EST_ACT_RECURRING_PROFIT_CIQ" vbProcedure="false">"c4936"</definedName>
    <definedName function="false" hidden="true" name="IQ_EST_ACT_RECURRING_PROFIT_SHARE" vbProcedure="false">"c4412"</definedName>
    <definedName function="false" hidden="true" name="IQ_EST_ACT_RECURRING_PROFIT_SHARE_CIQ" vbProcedure="false">"c4937"</definedName>
    <definedName function="false" hidden="true" name="IQ_EST_ACT_RETURN_ASSETS" vbProcedure="false">"c3547"</definedName>
    <definedName function="false" hidden="true" name="IQ_EST_ACT_RETURN_EQUITY" vbProcedure="false">"c3548"</definedName>
    <definedName function="false" hidden="true" name="IQ_EST_ACT_REV" vbProcedure="false">"c2113"</definedName>
    <definedName function="false" hidden="true" name="IQ_EST_ACT_REV_CIQ" vbProcedure="false">"c3666"</definedName>
    <definedName function="false" hidden="true" name="IQ_EST_BV_SHARE_DIFF" vbProcedure="false">"c4147"</definedName>
    <definedName function="false" hidden="true" name="IQ_EST_BV_SHARE_DIFF_CIQ" vbProcedure="false">"c4559"</definedName>
    <definedName function="false" hidden="true" name="IQ_EST_BV_SHARE_SURPRISE_PERCENT" vbProcedure="false">"c4148"</definedName>
    <definedName function="false" hidden="true" name="IQ_EST_BV_SHARE_SURPRISE_PERCENT_CIQ" vbProcedure="false">"c4560"</definedName>
    <definedName function="false" hidden="true" name="IQ_EST_CAPEX_DIFF" vbProcedure="false">"c4149"</definedName>
    <definedName function="false" hidden="true" name="IQ_EST_CAPEX_DIFF_CIQ" vbProcedure="false">"c4561"</definedName>
    <definedName function="false" hidden="true" name="IQ_EST_CAPEX_GROWTH_1YR" vbProcedure="false">"c3588"</definedName>
    <definedName function="false" hidden="true" name="IQ_EST_CAPEX_GROWTH_1YR_CIQ" vbProcedure="false">"c4972"</definedName>
    <definedName function="false" hidden="true" name="IQ_EST_CAPEX_GROWTH_2YR" vbProcedure="false">"c3589"</definedName>
    <definedName function="false" hidden="true" name="IQ_EST_CAPEX_GROWTH_2YR_CIQ" vbProcedure="false">"c4973"</definedName>
    <definedName function="false" hidden="true" name="IQ_EST_CAPEX_GROWTH_Q_1YR" vbProcedure="false">"c3590"</definedName>
    <definedName function="false" hidden="true" name="IQ_EST_CAPEX_GROWTH_Q_1YR_CIQ" vbProcedure="false">"c4974"</definedName>
    <definedName function="false" hidden="true" name="IQ_EST_CAPEX_SEQ_GROWTH_Q" vbProcedure="false">"c3591"</definedName>
    <definedName function="false" hidden="true" name="IQ_EST_CAPEX_SEQ_GROWTH_Q_CIQ" vbProcedure="false">"c4975"</definedName>
    <definedName function="false" hidden="true" name="IQ_EST_CAPEX_SURPRISE_PERCENT" vbProcedure="false">"c4151"</definedName>
    <definedName function="false" hidden="true" name="IQ_EST_CAPEX_SURPRISE_PERCENT_CIQ" vbProcedure="false">"c4563"</definedName>
    <definedName function="false" hidden="true" name="IQ_EST_CASH_FLOW_DIFF" vbProcedure="false">"c4152"</definedName>
    <definedName function="false" hidden="true" name="IQ_EST_CASH_FLOW_DIFF_CIQ" vbProcedure="false">"c4564"</definedName>
    <definedName function="false" hidden="true" name="IQ_EST_CASH_FLOW_SURPRISE_PERCENT" vbProcedure="false">"c4161"</definedName>
    <definedName function="false" hidden="true" name="IQ_EST_CASH_FLOW_SURPRISE_PERCENT_CIQ" vbProcedure="false">"c4573"</definedName>
    <definedName function="false" hidden="true" name="IQ_EST_CASH_OPER_DIFF" vbProcedure="false">"c4162"</definedName>
    <definedName function="false" hidden="true" name="IQ_EST_CASH_OPER_DIFF_CIQ" vbProcedure="false">"c4574"</definedName>
    <definedName function="false" hidden="true" name="IQ_EST_CASH_OPER_SURPRISE_PERCENT" vbProcedure="false">"c4248"</definedName>
    <definedName function="false" hidden="true" name="IQ_EST_CASH_OPER_SURPRISE_PERCENT_CIQ" vbProcedure="false">"c4774"</definedName>
    <definedName function="false" hidden="true" name="IQ_EST_CFPS_DIFF" vbProcedure="false">"c1871"</definedName>
    <definedName function="false" hidden="true" name="IQ_EST_CFPS_DIFF_CIQ" vbProcedure="false">"c3723"</definedName>
    <definedName function="false" hidden="true" name="IQ_EST_CFPS_GROWTH_1YR" vbProcedure="false">"c1774"</definedName>
    <definedName function="false" hidden="true" name="IQ_EST_CFPS_GROWTH_1YR_CIQ" vbProcedure="false">"c3709"</definedName>
    <definedName function="false" hidden="true" name="IQ_EST_CFPS_GROWTH_2YR" vbProcedure="false">"c1775"</definedName>
    <definedName function="false" hidden="true" name="IQ_EST_CFPS_GROWTH_2YR_CIQ" vbProcedure="false">"c3710"</definedName>
    <definedName function="false" hidden="true" name="IQ_EST_CFPS_GROWTH_Q_1YR" vbProcedure="false">"c1776"</definedName>
    <definedName function="false" hidden="true" name="IQ_EST_CFPS_GROWTH_Q_1YR_CIQ" vbProcedure="false">"c3711"</definedName>
    <definedName function="false" hidden="true" name="IQ_EST_CFPS_SEQ_GROWTH_Q" vbProcedure="false">"c1777"</definedName>
    <definedName function="false" hidden="true" name="IQ_EST_CFPS_SEQ_GROWTH_Q_CIQ" vbProcedure="false">"c3712"</definedName>
    <definedName function="false" hidden="true" name="IQ_EST_CFPS_SURPRISE_PERCENT" vbProcedure="false">"c1872"</definedName>
    <definedName function="false" hidden="true" name="IQ_EST_CFPS_SURPRISE_PERCENT_CIQ" vbProcedure="false">"c3724"</definedName>
    <definedName function="false" hidden="true" name="IQ_EST_CURRENCY" vbProcedure="false">"c2140"</definedName>
    <definedName function="false" hidden="true" name="IQ_EST_CURRENCY_CIQ" vbProcedure="false">"c4769"</definedName>
    <definedName function="false" hidden="true" name="IQ_EST_CURRENCY_REUT" vbProcedure="false">"c5437"</definedName>
    <definedName function="false" hidden="true" name="IQ_EST_DATE" vbProcedure="false">"c1634"</definedName>
    <definedName function="false" hidden="true" name="IQ_EST_DATE_CIQ" vbProcedure="false">"c4770"</definedName>
    <definedName function="false" hidden="true" name="IQ_EST_DATE_REUT" vbProcedure="false">"c5438"</definedName>
    <definedName function="false" hidden="true" name="IQ_EST_DISTRIBUTABLE_CASH_DIFF" vbProcedure="false">"c4276"</definedName>
    <definedName function="false" hidden="true" name="IQ_EST_DISTRIBUTABLE_CASH_DIFF_CIQ" vbProcedure="false">"c4801"</definedName>
    <definedName function="false" hidden="true" name="IQ_EST_DISTRIBUTABLE_CASH_GROWTH_1YR" vbProcedure="false">"c4413"</definedName>
    <definedName function="false" hidden="true" name="IQ_EST_DISTRIBUTABLE_CASH_GROWTH_1YR_CIQ" vbProcedure="false">"c4938"</definedName>
    <definedName function="false" hidden="true" name="IQ_EST_DISTRIBUTABLE_CASH_GROWTH_2YR" vbProcedure="false">"c4414"</definedName>
    <definedName function="false" hidden="true" name="IQ_EST_DISTRIBUTABLE_CASH_GROWTH_2YR_CIQ" vbProcedure="false">"c4939"</definedName>
    <definedName function="false" hidden="true" name="IQ_EST_DISTRIBUTABLE_CASH_GROWTH_Q_1YR" vbProcedure="false">"c4415"</definedName>
    <definedName function="false" hidden="true" name="IQ_EST_DISTRIBUTABLE_CASH_GROWTH_Q_1YR_CIQ" vbProcedure="false">"c4940"</definedName>
    <definedName function="false" hidden="true" name="IQ_EST_DISTRIBUTABLE_CASH_SEQ_GROWTH_Q" vbProcedure="false">"c4416"</definedName>
    <definedName function="false" hidden="true" name="IQ_EST_DISTRIBUTABLE_CASH_SEQ_GROWTH_Q_CIQ" vbProcedure="false">"c4941"</definedName>
    <definedName function="false" hidden="true" name="IQ_EST_DISTRIBUTABLE_CASH_SHARE_DIFF" vbProcedure="false">"c4284"</definedName>
    <definedName function="false" hidden="true" name="IQ_EST_DISTRIBUTABLE_CASH_SHARE_DIFF_CIQ" vbProcedure="false">"c4809"</definedName>
    <definedName function="false" hidden="true" name="IQ_EST_DISTRIBUTABLE_CASH_SHARE_GROWTH_1YR" vbProcedure="false">"c4417"</definedName>
    <definedName function="false" hidden="true" name="IQ_EST_DISTRIBUTABLE_CASH_SHARE_GROWTH_1YR_CIQ" vbProcedure="false">"c4942"</definedName>
    <definedName function="false" hidden="true" name="IQ_EST_DISTRIBUTABLE_CASH_SHARE_GROWTH_2YR" vbProcedure="false">"c4418"</definedName>
    <definedName function="false" hidden="true" name="IQ_EST_DISTRIBUTABLE_CASH_SHARE_GROWTH_2YR_CIQ" vbProcedure="false">"c4943"</definedName>
    <definedName function="false" hidden="true" name="IQ_EST_DISTRIBUTABLE_CASH_SHARE_GROWTH_Q_1YR" vbProcedure="false">"c4419"</definedName>
    <definedName function="false" hidden="true" name="IQ_EST_DISTRIBUTABLE_CASH_SHARE_GROWTH_Q_1YR_CIQ" vbProcedure="false">"c4944"</definedName>
    <definedName function="false" hidden="true" name="IQ_EST_DISTRIBUTABLE_CASH_SHARE_SEQ_GROWTH_Q" vbProcedure="false">"c4420"</definedName>
    <definedName function="false" hidden="true" name="IQ_EST_DISTRIBUTABLE_CASH_SHARE_SEQ_GROWTH_Q_CIQ" vbProcedure="false">"c4945"</definedName>
    <definedName function="false" hidden="true" name="IQ_EST_DISTRIBUTABLE_CASH_SHARE_SURPRISE_PERCENT" vbProcedure="false">"c4293"</definedName>
    <definedName function="false" hidden="true" name="IQ_EST_DISTRIBUTABLE_CASH_SHARE_SURPRISE_PERCENT_CIQ" vbProcedure="false">"c4818"</definedName>
    <definedName function="false" hidden="true" name="IQ_EST_DISTRIBUTABLE_CASH_SURPRISE_PERCENT" vbProcedure="false">"c4295"</definedName>
    <definedName function="false" hidden="true" name="IQ_EST_DISTRIBUTABLE_CASH_SURPRISE_PERCENT_CIQ" vbProcedure="false">"c4820"</definedName>
    <definedName function="false" hidden="true" name="IQ_EST_DPS_DIFF" vbProcedure="false">"c1873"</definedName>
    <definedName function="false" hidden="true" name="IQ_EST_DPS_DIFF_CIQ" vbProcedure="false">"c3725"</definedName>
    <definedName function="false" hidden="true" name="IQ_EST_DPS_GROWTH_1YR" vbProcedure="false">"c1778"</definedName>
    <definedName function="false" hidden="true" name="IQ_EST_DPS_GROWTH_1YR_CIQ" vbProcedure="false">"c3713"</definedName>
    <definedName function="false" hidden="true" name="IQ_EST_DPS_GROWTH_2YR" vbProcedure="false">"c1779"</definedName>
    <definedName function="false" hidden="true" name="IQ_EST_DPS_GROWTH_2YR_CIQ" vbProcedure="false">"c3714"</definedName>
    <definedName function="false" hidden="true" name="IQ_EST_DPS_GROWTH_Q_1YR" vbProcedure="false">"c1780"</definedName>
    <definedName function="false" hidden="true" name="IQ_EST_DPS_GROWTH_Q_1YR_CIQ" vbProcedure="false">"c3715"</definedName>
    <definedName function="false" hidden="true" name="IQ_EST_DPS_SEQ_GROWTH_Q" vbProcedure="false">"c1781"</definedName>
    <definedName function="false" hidden="true" name="IQ_EST_DPS_SEQ_GROWTH_Q_CIQ" vbProcedure="false">"c3716"</definedName>
    <definedName function="false" hidden="true" name="IQ_EST_DPS_SURPRISE_PERCENT" vbProcedure="false">"c1874"</definedName>
    <definedName function="false" hidden="true" name="IQ_EST_DPS_SURPRISE_PERCENT_CIQ" vbProcedure="false">"c3726"</definedName>
    <definedName function="false" hidden="true" name="IQ_EST_EBITDA_DIFF" vbProcedure="false">"c1867"</definedName>
    <definedName function="false" hidden="true" name="IQ_EST_EBITDA_DIFF_CIQ" vbProcedure="false">"c3719"</definedName>
    <definedName function="false" hidden="true" name="IQ_EST_EBITDA_GROWTH_1YR" vbProcedure="false">"c1766"</definedName>
    <definedName function="false" hidden="true" name="IQ_EST_EBITDA_GROWTH_1YR_CIQ" vbProcedure="false">"c3695"</definedName>
    <definedName function="false" hidden="true" name="IQ_EST_EBITDA_GROWTH_2YR" vbProcedure="false">"c1767"</definedName>
    <definedName function="false" hidden="true" name="IQ_EST_EBITDA_GROWTH_2YR_CIQ" vbProcedure="false">"c3696"</definedName>
    <definedName function="false" hidden="true" name="IQ_EST_EBITDA_GROWTH_Q_1YR" vbProcedure="false">"c1768"</definedName>
    <definedName function="false" hidden="true" name="IQ_EST_EBITDA_GROWTH_Q_1YR_CIQ" vbProcedure="false">"c3697"</definedName>
    <definedName function="false" hidden="true" name="IQ_EST_EBITDA_SBC_DIFF" vbProcedure="false">"c4335"</definedName>
    <definedName function="false" hidden="true" name="IQ_EST_EBITDA_SBC_DIFF_CIQ" vbProcedure="false">"c4860"</definedName>
    <definedName function="false" hidden="true" name="IQ_EST_EBITDA_SBC_SURPRISE_PERCENT" vbProcedure="false">"c4344"</definedName>
    <definedName function="false" hidden="true" name="IQ_EST_EBITDA_SBC_SURPRISE_PERCENT_CIQ" vbProcedure="false">"c4869"</definedName>
    <definedName function="false" hidden="true" name="IQ_EST_EBITDA_SEQ_GROWTH_Q" vbProcedure="false">"c1769"</definedName>
    <definedName function="false" hidden="true" name="IQ_EST_EBITDA_SEQ_GROWTH_Q_CIQ" vbProcedure="false">"c3698"</definedName>
    <definedName function="false" hidden="true" name="IQ_EST_EBITDA_SURPRISE_PERCENT" vbProcedure="false">"c1868"</definedName>
    <definedName function="false" hidden="true" name="IQ_EST_EBITDA_SURPRISE_PERCENT_CIQ" vbProcedure="false">"c3720"</definedName>
    <definedName function="false" hidden="true" name="IQ_EST_EBIT_DIFF" vbProcedure="false">"c1875"</definedName>
    <definedName function="false" hidden="true" name="IQ_EST_EBIT_DIFF_CIQ" vbProcedure="false">"c4747"</definedName>
    <definedName function="false" hidden="true" name="IQ_EST_EBIT_GW_DIFF" vbProcedure="false">"c4304"</definedName>
    <definedName function="false" hidden="true" name="IQ_EST_EBIT_GW_DIFF_CIQ" vbProcedure="false">"c4829"</definedName>
    <definedName function="false" hidden="true" name="IQ_EST_EBIT_GW_SURPRISE_PERCENT" vbProcedure="false">"c4313"</definedName>
    <definedName function="false" hidden="true" name="IQ_EST_EBIT_GW_SURPRISE_PERCENT_CIQ" vbProcedure="false">"c4838"</definedName>
    <definedName function="false" hidden="true" name="IQ_EST_EBIT_SBC_DIFF" vbProcedure="false">"c4314"</definedName>
    <definedName function="false" hidden="true" name="IQ_EST_EBIT_SBC_DIFF_CIQ" vbProcedure="false">"c4839"</definedName>
    <definedName function="false" hidden="true" name="IQ_EST_EBIT_SBC_GW_DIFF" vbProcedure="false">"c4318"</definedName>
    <definedName function="false" hidden="true" name="IQ_EST_EBIT_SBC_GW_DIFF_CIQ" vbProcedure="false">"c4843"</definedName>
    <definedName function="false" hidden="true" name="IQ_EST_EBIT_SBC_GW_SURPRISE_PERCENT" vbProcedure="false">"c4327"</definedName>
    <definedName function="false" hidden="true" name="IQ_EST_EBIT_SBC_GW_SURPRISE_PERCENT_CIQ" vbProcedure="false">"c4852"</definedName>
    <definedName function="false" hidden="true" name="IQ_EST_EBIT_SBC_SURPRISE_PERCENT" vbProcedure="false">"c4333"</definedName>
    <definedName function="false" hidden="true" name="IQ_EST_EBIT_SBC_SURPRISE_PERCENT_CIQ" vbProcedure="false">"c4858"</definedName>
    <definedName function="false" hidden="true" name="IQ_EST_EBIT_SURPRISE_PERCENT" vbProcedure="false">"c1876"</definedName>
    <definedName function="false" hidden="true" name="IQ_EST_EBIT_SURPRISE_PERCENT_CIQ" vbProcedure="false">"c4748"</definedName>
    <definedName function="false" hidden="true" name="IQ_EST_EBT_SBC_DIFF" vbProcedure="false">"c4348"</definedName>
    <definedName function="false" hidden="true" name="IQ_EST_EBT_SBC_DIFF_CIQ" vbProcedure="false">"c4873"</definedName>
    <definedName function="false" hidden="true" name="IQ_EST_EBT_SBC_GW_DIFF" vbProcedure="false">"c4352"</definedName>
    <definedName function="false" hidden="true" name="IQ_EST_EBT_SBC_GW_DIFF_CIQ" vbProcedure="false">"c4877"</definedName>
    <definedName function="false" hidden="true" name="IQ_EST_EBT_SBC_GW_SURPRISE_PERCENT" vbProcedure="false">"c4361"</definedName>
    <definedName function="false" hidden="true" name="IQ_EST_EBT_SBC_GW_SURPRISE_PERCENT_CIQ" vbProcedure="false">"c4886"</definedName>
    <definedName function="false" hidden="true" name="IQ_EST_EBT_SBC_SURPRISE_PERCENT" vbProcedure="false">"c4367"</definedName>
    <definedName function="false" hidden="true" name="IQ_EST_EBT_SBC_SURPRISE_PERCENT_CIQ" vbProcedure="false">"c4892"</definedName>
    <definedName function="false" hidden="true" name="IQ_EST_EPS_DIFF" vbProcedure="false">"c1864"</definedName>
    <definedName function="false" hidden="true" name="IQ_EST_EPS_DIFF_CIQ" vbProcedure="false">"c4999"</definedName>
    <definedName function="false" hidden="true" name="IQ_EST_EPS_GROWTH_1YR" vbProcedure="false">"c1636"</definedName>
    <definedName function="false" hidden="true" name="IQ_EST_EPS_GROWTH_1YR_CIQ" vbProcedure="false">"c3628"</definedName>
    <definedName function="false" hidden="true" name="IQ_EST_EPS_GROWTH_1YR_REUT" vbProcedure="false">"c3646"</definedName>
    <definedName function="false" hidden="true" name="IQ_EST_EPS_GROWTH_2YR" vbProcedure="false">"c1637"</definedName>
    <definedName function="false" hidden="true" name="IQ_EST_EPS_GROWTH_2YR_CIQ" vbProcedure="false">"c3689"</definedName>
    <definedName function="false" hidden="true" name="IQ_EST_EPS_GROWTH_5YR" vbProcedure="false">"c1655"</definedName>
    <definedName function="false" hidden="true" name="IQ_EST_EPS_GROWTH_5YR_BOTTOM_UP" vbProcedure="false">"c5487"</definedName>
    <definedName function="false" hidden="true" name="IQ_EST_EPS_GROWTH_5YR_CIQ" vbProcedure="false">"c3615"</definedName>
    <definedName function="false" hidden="true" name="IQ_EST_EPS_GROWTH_5YR_HIGH_CIQ" vbProcedure="false">"c4663"</definedName>
    <definedName function="false" hidden="true" name="IQ_EST_EPS_GROWTH_5YR_LOW_CIQ" vbProcedure="false">"c4664"</definedName>
    <definedName function="false" hidden="true" name="IQ_EST_EPS_GROWTH_5YR_MEDIAN_CIQ" vbProcedure="false">"c5480"</definedName>
    <definedName function="false" hidden="true" name="IQ_EST_EPS_GROWTH_5YR_NUM_CIQ" vbProcedure="false">"c4665"</definedName>
    <definedName function="false" hidden="true" name="IQ_EST_EPS_GROWTH_5YR_REUT" vbProcedure="false">"c3633"</definedName>
    <definedName function="false" hidden="true" name="IQ_EST_EPS_GROWTH_5YR_STDDEV_CIQ" vbProcedure="false">"c4666"</definedName>
    <definedName function="false" hidden="true" name="IQ_EST_EPS_GROWTH_Q_1YR" vbProcedure="false">"c1641"</definedName>
    <definedName function="false" hidden="true" name="IQ_EST_EPS_GROWTH_Q_1YR_CIQ" vbProcedure="false">"c4744"</definedName>
    <definedName function="false" hidden="true" name="IQ_EST_EPS_GROWTH_Q_1YR_REUT" vbProcedure="false">"c5410"</definedName>
    <definedName function="false" hidden="true" name="IQ_EST_EPS_GW_DIFF" vbProcedure="false">"c1891"</definedName>
    <definedName function="false" hidden="true" name="IQ_EST_EPS_GW_DIFF_CIQ" vbProcedure="false">"c4761"</definedName>
    <definedName function="false" hidden="true" name="IQ_EST_EPS_GW_DIFF_REUT" vbProcedure="false">"c5429"</definedName>
    <definedName function="false" hidden="true" name="IQ_EST_EPS_GW_SURPRISE_PERCENT" vbProcedure="false">"c1892"</definedName>
    <definedName function="false" hidden="true" name="IQ_EST_EPS_GW_SURPRISE_PERCENT_CIQ" vbProcedure="false">"c4762"</definedName>
    <definedName function="false" hidden="true" name="IQ_EST_EPS_GW_SURPRISE_PERCENT_REUT" vbProcedure="false">"c5430"</definedName>
    <definedName function="false" hidden="true" name="IQ_EST_EPS_NORM_DIFF" vbProcedure="false">"c2247"</definedName>
    <definedName function="false" hidden="true" name="IQ_EST_EPS_NORM_DIFF_CIQ" vbProcedure="false">"c4745"</definedName>
    <definedName function="false" hidden="true" name="IQ_EST_EPS_NORM_DIFF_REUT" vbProcedure="false">"c5411"</definedName>
    <definedName function="false" hidden="true" name="IQ_EST_EPS_NORM_SURPRISE_PERCENT" vbProcedure="false">"c2248"</definedName>
    <definedName function="false" hidden="true" name="IQ_EST_EPS_NORM_SURPRISE_PERCENT_CIQ" vbProcedure="false">"c4746"</definedName>
    <definedName function="false" hidden="true" name="IQ_EST_EPS_NORM_SURPRISE_PERCENT_REUT" vbProcedure="false">"c5412"</definedName>
    <definedName function="false" hidden="true" name="IQ_EST_EPS_REPORT_DIFF" vbProcedure="false">"c1893"</definedName>
    <definedName function="false" hidden="true" name="IQ_EST_EPS_REPORT_DIFF_CIQ" vbProcedure="false">"c4763"</definedName>
    <definedName function="false" hidden="true" name="IQ_EST_EPS_REPORT_DIFF_REUT" vbProcedure="false">"c5431"</definedName>
    <definedName function="false" hidden="true" name="IQ_EST_EPS_REPORT_SURPRISE_PERCENT" vbProcedure="false">"c1894"</definedName>
    <definedName function="false" hidden="true" name="IQ_EST_EPS_REPORT_SURPRISE_PERCENT_CIQ" vbProcedure="false">"c4764"</definedName>
    <definedName function="false" hidden="true" name="IQ_EST_EPS_REPORT_SURPRISE_PERCENT_REUT" vbProcedure="false">"c5432"</definedName>
    <definedName function="false" hidden="true" name="IQ_EST_EPS_SBC_DIFF" vbProcedure="false">"c4374"</definedName>
    <definedName function="false" hidden="true" name="IQ_EST_EPS_SBC_DIFF_CIQ" vbProcedure="false">"c4899"</definedName>
    <definedName function="false" hidden="true" name="IQ_EST_EPS_SBC_GW_DIFF" vbProcedure="false">"c4378"</definedName>
    <definedName function="false" hidden="true" name="IQ_EST_EPS_SBC_GW_DIFF_CIQ" vbProcedure="false">"c4903"</definedName>
    <definedName function="false" hidden="true" name="IQ_EST_EPS_SBC_GW_SURPRISE_PERCENT" vbProcedure="false">"c4387"</definedName>
    <definedName function="false" hidden="true" name="IQ_EST_EPS_SBC_GW_SURPRISE_PERCENT_CIQ" vbProcedure="false">"c4912"</definedName>
    <definedName function="false" hidden="true" name="IQ_EST_EPS_SBC_SURPRISE_PERCENT" vbProcedure="false">"c4393"</definedName>
    <definedName function="false" hidden="true" name="IQ_EST_EPS_SBC_SURPRISE_PERCENT_CIQ" vbProcedure="false">"c4918"</definedName>
    <definedName function="false" hidden="true" name="IQ_EST_EPS_SEQ_GROWTH_Q" vbProcedure="false">"c1764"</definedName>
    <definedName function="false" hidden="true" name="IQ_EST_EPS_SEQ_GROWTH_Q_CIQ" vbProcedure="false">"c3690"</definedName>
    <definedName function="false" hidden="true" name="IQ_EST_EPS_SURPRISE_PERCENT" vbProcedure="false">"c1635"</definedName>
    <definedName function="false" hidden="true" name="IQ_EST_EPS_SURPRISE_PERCENT_CIQ" vbProcedure="false">"c5000"</definedName>
    <definedName function="false" hidden="true" name="IQ_EST_FFO_ADJ_DIFF" vbProcedure="false">"c4433"</definedName>
    <definedName function="false" hidden="true" name="IQ_EST_FFO_ADJ_DIFF_CIQ" vbProcedure="false">"c4958"</definedName>
    <definedName function="false" hidden="true" name="IQ_EST_FFO_ADJ_GROWTH_1YR" vbProcedure="false">"c4421"</definedName>
    <definedName function="false" hidden="true" name="IQ_EST_FFO_ADJ_GROWTH_1YR_CIQ" vbProcedure="false">"c4946"</definedName>
    <definedName function="false" hidden="true" name="IQ_EST_FFO_ADJ_GROWTH_2YR" vbProcedure="false">"c4422"</definedName>
    <definedName function="false" hidden="true" name="IQ_EST_FFO_ADJ_GROWTH_2YR_CIQ" vbProcedure="false">"c4947"</definedName>
    <definedName function="false" hidden="true" name="IQ_EST_FFO_ADJ_GROWTH_Q_1YR" vbProcedure="false">"c4423"</definedName>
    <definedName function="false" hidden="true" name="IQ_EST_FFO_ADJ_GROWTH_Q_1YR_CIQ" vbProcedure="false">"c4948"</definedName>
    <definedName function="false" hidden="true" name="IQ_EST_FFO_ADJ_SEQ_GROWTH_Q" vbProcedure="false">"c4424"</definedName>
    <definedName function="false" hidden="true" name="IQ_EST_FFO_ADJ_SEQ_GROWTH_Q_CIQ" vbProcedure="false">"c4949"</definedName>
    <definedName function="false" hidden="true" name="IQ_EST_FFO_ADJ_SURPRISE_PERCENT" vbProcedure="false">"c4442"</definedName>
    <definedName function="false" hidden="true" name="IQ_EST_FFO_ADJ_SURPRISE_PERCENT_CIQ" vbProcedure="false">"c4967"</definedName>
    <definedName function="false" hidden="true" name="IQ_EST_FFO_DIFF" vbProcedure="false">"c1869"</definedName>
    <definedName function="false" hidden="true" name="IQ_EST_FFO_DIFF_CIQ" vbProcedure="false">"c3721"</definedName>
    <definedName function="false" hidden="true" name="IQ_EST_FFO_GROWTH_1YR" vbProcedure="false">"c1770"</definedName>
    <definedName function="false" hidden="true" name="IQ_EST_FFO_GROWTH_1YR_CIQ" vbProcedure="false">"c3705"</definedName>
    <definedName function="false" hidden="true" name="IQ_EST_FFO_GROWTH_2YR" vbProcedure="false">"c1771"</definedName>
    <definedName function="false" hidden="true" name="IQ_EST_FFO_GROWTH_2YR_CIQ" vbProcedure="false">"c3706"</definedName>
    <definedName function="false" hidden="true" name="IQ_EST_FFO_GROWTH_Q_1YR" vbProcedure="false">"c1772"</definedName>
    <definedName function="false" hidden="true" name="IQ_EST_FFO_GROWTH_Q_1YR_CIQ" vbProcedure="false">"c3707"</definedName>
    <definedName function="false" hidden="true" name="IQ_EST_FFO_SEQ_GROWTH_Q" vbProcedure="false">"c1773"</definedName>
    <definedName function="false" hidden="true" name="IQ_EST_FFO_SEQ_GROWTH_Q_CIQ" vbProcedure="false">"c3708"</definedName>
    <definedName function="false" hidden="true" name="IQ_EST_FFO_SHARE_DIFF" vbProcedure="false">"c4444"</definedName>
    <definedName function="false" hidden="true" name="IQ_EST_FFO_SHARE_DIFF_CIQ" vbProcedure="false">"c4969"</definedName>
    <definedName function="false" hidden="true" name="IQ_EST_FFO_SHARE_GROWTH_1YR" vbProcedure="false">"c4425"</definedName>
    <definedName function="false" hidden="true" name="IQ_EST_FFO_SHARE_GROWTH_1YR_CIQ" vbProcedure="false">"c4950"</definedName>
    <definedName function="false" hidden="true" name="IQ_EST_FFO_SHARE_GROWTH_2YR" vbProcedure="false">"c4426"</definedName>
    <definedName function="false" hidden="true" name="IQ_EST_FFO_SHARE_GROWTH_2YR_CIQ" vbProcedure="false">"c4951"</definedName>
    <definedName function="false" hidden="true" name="IQ_EST_FFO_SHARE_GROWTH_Q_1YR" vbProcedure="false">"c4427"</definedName>
    <definedName function="false" hidden="true" name="IQ_EST_FFO_SHARE_GROWTH_Q_1YR_CIQ" vbProcedure="false">"c4952"</definedName>
    <definedName function="false" hidden="true" name="IQ_EST_FFO_SHARE_SEQ_GROWTH_Q" vbProcedure="false">"c4428"</definedName>
    <definedName function="false" hidden="true" name="IQ_EST_FFO_SHARE_SEQ_GROWTH_Q_CIQ" vbProcedure="false">"c4953"</definedName>
    <definedName function="false" hidden="true" name="IQ_EST_FFO_SHARE_SURPRISE_PERCENT" vbProcedure="false">"c4453"</definedName>
    <definedName function="false" hidden="true" name="IQ_EST_FFO_SHARE_SURPRISE_PERCENT_CIQ" vbProcedure="false">"c4982"</definedName>
    <definedName function="false" hidden="true" name="IQ_EST_FFO_SURPRISE_PERCENT" vbProcedure="false">"c1870"</definedName>
    <definedName function="false" hidden="true" name="IQ_EST_FFO_SURPRISE_PERCENT_CIQ" vbProcedure="false">"c3722"</definedName>
    <definedName function="false" hidden="true" name="IQ_EST_FOOTNOTE" vbProcedure="false">"c4540"</definedName>
    <definedName function="false" hidden="true" name="IQ_EST_MAINT_CAPEX_DIFF" vbProcedure="false">"c4456"</definedName>
    <definedName function="false" hidden="true" name="IQ_EST_MAINT_CAPEX_DIFF_CIQ" vbProcedure="false">"c4985"</definedName>
    <definedName function="false" hidden="true" name="IQ_EST_MAINT_CAPEX_GROWTH_1YR" vbProcedure="false">"c4429"</definedName>
    <definedName function="false" hidden="true" name="IQ_EST_MAINT_CAPEX_GROWTH_1YR_CIQ" vbProcedure="false">"c4954"</definedName>
    <definedName function="false" hidden="true" name="IQ_EST_MAINT_CAPEX_GROWTH_2YR" vbProcedure="false">"c4430"</definedName>
    <definedName function="false" hidden="true" name="IQ_EST_MAINT_CAPEX_GROWTH_2YR_CIQ" vbProcedure="false">"c4955"</definedName>
    <definedName function="false" hidden="true" name="IQ_EST_MAINT_CAPEX_GROWTH_Q_1YR" vbProcedure="false">"c4431"</definedName>
    <definedName function="false" hidden="true" name="IQ_EST_MAINT_CAPEX_GROWTH_Q_1YR_CIQ" vbProcedure="false">"c4956"</definedName>
    <definedName function="false" hidden="true" name="IQ_EST_MAINT_CAPEX_SEQ_GROWTH_Q" vbProcedure="false">"c4432"</definedName>
    <definedName function="false" hidden="true" name="IQ_EST_MAINT_CAPEX_SEQ_GROWTH_Q_CIQ" vbProcedure="false">"c4957"</definedName>
    <definedName function="false" hidden="true" name="IQ_EST_MAINT_CAPEX_SURPRISE_PERCENT" vbProcedure="false">"c4465"</definedName>
    <definedName function="false" hidden="true" name="IQ_EST_MAINT_CAPEX_SURPRISE_PERCENT_CIQ" vbProcedure="false">"c5003"</definedName>
    <definedName function="false" hidden="true" name="IQ_EST_NAV_DIFF" vbProcedure="false">"c1895"</definedName>
    <definedName function="false" hidden="true" name="IQ_EST_NAV_SHARE_SURPRISE_PERCENT" vbProcedure="false">"c1896"</definedName>
    <definedName function="false" hidden="true" name="IQ_EST_NET_DEBT_DIFF" vbProcedure="false">"c4466"</definedName>
    <definedName function="false" hidden="true" name="IQ_EST_NET_DEBT_DIFF_CIQ" vbProcedure="false">"c5004"</definedName>
    <definedName function="false" hidden="true" name="IQ_EST_NET_DEBT_SURPRISE_PERCENT" vbProcedure="false">"c4468"</definedName>
    <definedName function="false" hidden="true" name="IQ_EST_NET_DEBT_SURPRISE_PERCENT_CIQ" vbProcedure="false">"c5006"</definedName>
    <definedName function="false" hidden="true" name="IQ_EST_NI_DIFF" vbProcedure="false">"c1885"</definedName>
    <definedName function="false" hidden="true" name="IQ_EST_NI_DIFF_CIQ" vbProcedure="false">"c4755"</definedName>
    <definedName function="false" hidden="true" name="IQ_EST_NI_GW_DIFF_CIQ" vbProcedure="false">"c4757"</definedName>
    <definedName function="false" hidden="true" name="IQ_EST_NI_GW_SURPRISE_PERCENT_CIQ" vbProcedure="false">"c4758"</definedName>
    <definedName function="false" hidden="true" name="IQ_EST_NI_REPORT_DIFF" vbProcedure="false">"c1889"</definedName>
    <definedName function="false" hidden="true" name="IQ_EST_NI_REPORT_DIFF_CIQ" vbProcedure="false">"c4759"</definedName>
    <definedName function="false" hidden="true" name="IQ_EST_NI_REPORT_SURPRISE_PERCENT" vbProcedure="false">"c1890"</definedName>
    <definedName function="false" hidden="true" name="IQ_EST_NI_REPORT_SURPRISE_PERCENT_CIQ" vbProcedure="false">"c4760"</definedName>
    <definedName function="false" hidden="true" name="IQ_EST_NI_SBC_DIFF" vbProcedure="false">"c4472"</definedName>
    <definedName function="false" hidden="true" name="IQ_EST_NI_SBC_DIFF_CIQ" vbProcedure="false">"c5010"</definedName>
    <definedName function="false" hidden="true" name="IQ_EST_NI_SBC_GW_DIFF" vbProcedure="false">"c4476"</definedName>
    <definedName function="false" hidden="true" name="IQ_EST_NI_SBC_GW_DIFF_CIQ" vbProcedure="false">"c5014"</definedName>
    <definedName function="false" hidden="true" name="IQ_EST_NI_SBC_GW_SURPRISE_PERCENT" vbProcedure="false">"c4485"</definedName>
    <definedName function="false" hidden="true" name="IQ_EST_NI_SBC_GW_SURPRISE_PERCENT_CIQ" vbProcedure="false">"c5023"</definedName>
    <definedName function="false" hidden="true" name="IQ_EST_NI_SBC_SURPRISE_PERCENT" vbProcedure="false">"c4491"</definedName>
    <definedName function="false" hidden="true" name="IQ_EST_NI_SBC_SURPRISE_PERCENT_CIQ" vbProcedure="false">"c5029"</definedName>
    <definedName function="false" hidden="true" name="IQ_EST_NI_SURPRISE_PERCENT" vbProcedure="false">"c1886"</definedName>
    <definedName function="false" hidden="true" name="IQ_EST_NI_SURPRISE_PERCENT_CIQ" vbProcedure="false">"c4756"</definedName>
    <definedName function="false" hidden="true" name="IQ_EST_NUM_BUY" vbProcedure="false">"c1759"</definedName>
    <definedName function="false" hidden="true" name="IQ_EST_NUM_HIGHEST_REC" vbProcedure="false">"c5648"</definedName>
    <definedName function="false" hidden="true" name="IQ_EST_NUM_HIGHEST_REC_CIQ" vbProcedure="false">"c3700"</definedName>
    <definedName function="false" hidden="true" name="IQ_EST_NUM_HIGH_REC" vbProcedure="false">"c5649"</definedName>
    <definedName function="false" hidden="true" name="IQ_EST_NUM_HIGH_REC_CIQ" vbProcedure="false">"c3701"</definedName>
    <definedName function="false" hidden="true" name="IQ_EST_NUM_HOLD" vbProcedure="false">"c1761"</definedName>
    <definedName function="false" hidden="true" name="IQ_EST_NUM_LOWEST_REC" vbProcedure="false">"c5652"</definedName>
    <definedName function="false" hidden="true" name="IQ_EST_NUM_LOWEST_REC_CIQ" vbProcedure="false">"c3704"</definedName>
    <definedName function="false" hidden="true" name="IQ_EST_NUM_LOW_REC" vbProcedure="false">"c5651"</definedName>
    <definedName function="false" hidden="true" name="IQ_EST_NUM_LOW_REC_CIQ" vbProcedure="false">"c3703"</definedName>
    <definedName function="false" hidden="true" name="IQ_EST_NUM_NEUTRAL_REC" vbProcedure="false">"c5650"</definedName>
    <definedName function="false" hidden="true" name="IQ_EST_NUM_NEUTRAL_REC_CIQ" vbProcedure="false">"c3702"</definedName>
    <definedName function="false" hidden="true" name="IQ_EST_NUM_NO_OPINION" vbProcedure="false">"c1758"</definedName>
    <definedName function="false" hidden="true" name="IQ_EST_NUM_NO_OPINION_CIQ" vbProcedure="false">"c3699"</definedName>
    <definedName function="false" hidden="true" name="IQ_EST_NUM_OUTPERFORM" vbProcedure="false">"c1760"</definedName>
    <definedName function="false" hidden="true" name="IQ_EST_NUM_SELL" vbProcedure="false">"c1763"</definedName>
    <definedName function="false" hidden="true" name="IQ_EST_NUM_UNDERPERFORM" vbProcedure="false">"c1762"</definedName>
    <definedName function="false" hidden="true" name="IQ_EST_OPER_INC_DIFF" vbProcedure="false">"c1877"</definedName>
    <definedName function="false" hidden="true" name="IQ_EST_OPER_INC_SURPRISE_PERCENT" vbProcedure="false">"c1878"</definedName>
    <definedName function="false" hidden="true" name="IQ_EST_PRE_TAX_DIFF" vbProcedure="false">"c1879"</definedName>
    <definedName function="false" hidden="true" name="IQ_EST_PRE_TAX_DIFF_CIQ" vbProcedure="false">"c4749"</definedName>
    <definedName function="false" hidden="true" name="IQ_EST_PRE_TAX_GW_DIFF" vbProcedure="false">"c1881"</definedName>
    <definedName function="false" hidden="true" name="IQ_EST_PRE_TAX_GW_DIFF_CIQ" vbProcedure="false">"c4751"</definedName>
    <definedName function="false" hidden="true" name="IQ_EST_PRE_TAX_GW_SURPRISE_PERCENT" vbProcedure="false">"c1882"</definedName>
    <definedName function="false" hidden="true" name="IQ_EST_PRE_TAX_GW_SURPRISE_PERCENT_CIQ" vbProcedure="false">"c4752"</definedName>
    <definedName function="false" hidden="true" name="IQ_EST_PRE_TAX_REPORT_DIFF" vbProcedure="false">"c1883"</definedName>
    <definedName function="false" hidden="true" name="IQ_EST_PRE_TAX_REPORT_DIFF_CIQ" vbProcedure="false">"c4753"</definedName>
    <definedName function="false" hidden="true" name="IQ_EST_PRE_TAX_REPORT_SURPRISE_PERCENT" vbProcedure="false">"c1884"</definedName>
    <definedName function="false" hidden="true" name="IQ_EST_PRE_TAX_REPORT_SURPRISE_PERCENT_CIQ" vbProcedure="false">"c4754"</definedName>
    <definedName function="false" hidden="true" name="IQ_EST_PRE_TAX_SURPRISE_PERCENT" vbProcedure="false">"c1880"</definedName>
    <definedName function="false" hidden="true" name="IQ_EST_PRE_TAX_SURPRISE_PERCENT_CIQ" vbProcedure="false">"c4750"</definedName>
    <definedName function="false" hidden="true" name="IQ_EST_RECURRING_PROFIT_SHARE_DIFF" vbProcedure="false">"c4505"</definedName>
    <definedName function="false" hidden="true" name="IQ_EST_RECURRING_PROFIT_SHARE_DIFF_CIQ" vbProcedure="false">"c5043"</definedName>
    <definedName function="false" hidden="true" name="IQ_EST_RECURRING_PROFIT_SHARE_SURPRISE_PERCENT" vbProcedure="false">"c4515"</definedName>
    <definedName function="false" hidden="true" name="IQ_EST_RECURRING_PROFIT_SHARE_SURPRISE_PERCENT_CIQ" vbProcedure="false">"c5053"</definedName>
    <definedName function="false" hidden="true" name="IQ_EST_REV_DIFF" vbProcedure="false">"c1865"</definedName>
    <definedName function="false" hidden="true" name="IQ_EST_REV_DIFF_CIQ" vbProcedure="false">"c3717"</definedName>
    <definedName function="false" hidden="true" name="IQ_EST_REV_GROWTH_1YR" vbProcedure="false">"c1638"</definedName>
    <definedName function="false" hidden="true" name="IQ_EST_REV_GROWTH_1YR_CIQ" vbProcedure="false">"c3691"</definedName>
    <definedName function="false" hidden="true" name="IQ_EST_REV_GROWTH_2YR" vbProcedure="false">"c1639"</definedName>
    <definedName function="false" hidden="true" name="IQ_EST_REV_GROWTH_2YR_CIQ" vbProcedure="false">"c3692"</definedName>
    <definedName function="false" hidden="true" name="IQ_EST_REV_GROWTH_Q_1YR" vbProcedure="false">"c1640"</definedName>
    <definedName function="false" hidden="true" name="IQ_EST_REV_GROWTH_Q_1YR_CIQ" vbProcedure="false">"c3693"</definedName>
    <definedName function="false" hidden="true" name="IQ_EST_REV_SEQ_GROWTH_Q" vbProcedure="false">"c1765"</definedName>
    <definedName function="false" hidden="true" name="IQ_EST_REV_SEQ_GROWTH_Q_CIQ" vbProcedure="false">"c3694"</definedName>
    <definedName function="false" hidden="true" name="IQ_EST_REV_SURPRISE_PERCENT" vbProcedure="false">"c1866"</definedName>
    <definedName function="false" hidden="true" name="IQ_EST_REV_SURPRISE_PERCENT_CIQ" vbProcedure="false">"c3718"</definedName>
    <definedName function="false" hidden="true" name="IQ_EST_VENDOR" vbProcedure="false">"c5564"</definedName>
    <definedName function="false" hidden="true" name="IQ_EVAL_DATE" vbProcedure="false">"c2180"</definedName>
    <definedName function="false" hidden="true" name="IQ_EV_OVER_EMPLOYEE" vbProcedure="false">"c1428"</definedName>
    <definedName function="false" hidden="true" name="IQ_EV_OVER_LTM_EBIT" vbProcedure="false">"c1426"</definedName>
    <definedName function="false" hidden="true" name="IQ_EV_OVER_LTM_EBITDA" vbProcedure="false">"c1427"</definedName>
    <definedName function="false" hidden="true" name="IQ_EV_OVER_LTM_REVENUE" vbProcedure="false">"c1429"</definedName>
    <definedName function="false" hidden="true" name="IQ_EXCHANGE" vbProcedure="false">"c405"</definedName>
    <definedName function="false" hidden="true" name="IQ_EXCISE_TAXES_EXCL_SALES" vbProcedure="false">"c5515"</definedName>
    <definedName function="false" hidden="true" name="IQ_EXCISE_TAXES_INCL_SALES" vbProcedure="false">"c5514"</definedName>
    <definedName function="false" hidden="true" name="IQ_EXERCISED" vbProcedure="false">"c406"</definedName>
    <definedName function="false" hidden="true" name="IQ_EXERCISE_PRICE" vbProcedure="false">"c1897"</definedName>
    <definedName function="false" hidden="true" name="IQ_EXPLORE_DRILL" vbProcedure="false">"c409"</definedName>
    <definedName function="false" hidden="true" name="IQ_EXP_RETURN_PENSION_DOMESTIC" vbProcedure="false">"c407"</definedName>
    <definedName function="false" hidden="true" name="IQ_EXP_RETURN_PENSION_FOREIGN" vbProcedure="false">"c408"</definedName>
    <definedName function="false" hidden="true" name="IQ_EXTRAORDINARY_GAINS_FDIC" vbProcedure="false">"c6586"</definedName>
    <definedName function="false" hidden="true" name="IQ_EXTRA_ACC_ITEMS" vbProcedure="false">"c410"</definedName>
    <definedName function="false" hidden="true" name="IQ_EXTRA_ACC_ITEMS_BNK" vbProcedure="false">"c411"</definedName>
    <definedName function="false" hidden="true" name="IQ_EXTRA_ACC_ITEMS_BR" vbProcedure="false">"c412"</definedName>
    <definedName function="false" hidden="true" name="IQ_EXTRA_ACC_ITEMS_FIN" vbProcedure="false">"c413"</definedName>
    <definedName function="false" hidden="true" name="IQ_EXTRA_ACC_ITEMS_INS" vbProcedure="false">"c414"</definedName>
    <definedName function="false" hidden="true" name="IQ_EXTRA_ACC_ITEMS_RE" vbProcedure="false">"c6216"</definedName>
    <definedName function="false" hidden="true" name="IQ_EXTRA_ACC_ITEMS_REIT" vbProcedure="false">"c415"</definedName>
    <definedName function="false" hidden="true" name="IQ_EXTRA_ACC_ITEMS_UTI" vbProcedure="false">"c416"</definedName>
    <definedName function="false" hidden="true" name="IQ_EXTRA_ITEMS" vbProcedure="false">"c1459"</definedName>
    <definedName function="false" hidden="true" name="IQ_FAIR_VALUE_FDIC" vbProcedure="false">"c6427"</definedName>
    <definedName function="false" hidden="true" name="IQ_FARMLAND_LOANS_FDIC" vbProcedure="false">"c6314"</definedName>
    <definedName function="false" hidden="true" name="IQ_FARM_LOANS_NET_FDIC" vbProcedure="false">"c6316"</definedName>
    <definedName function="false" hidden="true" name="IQ_FARM_LOANS_TOTAL_LOANS_FOREIGN_FDIC" vbProcedure="false">"c6450"</definedName>
    <definedName function="false" hidden="true" name="IQ_FDIC" vbProcedure="false">"c417"</definedName>
    <definedName function="false" hidden="true" name="IQ_FEDFUNDS_SOLD" vbProcedure="false">"c2256"</definedName>
    <definedName function="false" hidden="true" name="IQ_FED_FUNDS_PURCHASED_FDIC" vbProcedure="false">"c6343"</definedName>
    <definedName function="false" hidden="true" name="IQ_FED_FUNDS_SOLD_FDIC" vbProcedure="false">"c6307"</definedName>
    <definedName function="false" hidden="true" name="IQ_FFO" vbProcedure="false">"c1574"</definedName>
    <definedName function="false" hidden="true" name="IQ_FFO_ACT_OR_EST" vbProcedure="false">"c2216"</definedName>
    <definedName function="false" hidden="true" name="IQ_FFO_ADJ_ACT_OR_EST" vbProcedure="false">"c4435"</definedName>
    <definedName function="false" hidden="true" name="IQ_FFO_ADJ_ACT_OR_EST_CIQ" vbProcedure="false">"c4960"</definedName>
    <definedName function="false" hidden="true" name="IQ_FFO_ADJ_EST" vbProcedure="false">"c4434"</definedName>
    <definedName function="false" hidden="true" name="IQ_FFO_ADJ_EST_CIQ" vbProcedure="false">"c4959"</definedName>
    <definedName function="false" hidden="true" name="IQ_FFO_ADJ_GUIDANCE" vbProcedure="false">"c4436"</definedName>
    <definedName function="false" hidden="true" name="IQ_FFO_ADJ_GUIDANCE_CIQ" vbProcedure="false">"c4961"</definedName>
    <definedName function="false" hidden="true" name="IQ_FFO_ADJ_HIGH_EST" vbProcedure="false">"c4437"</definedName>
    <definedName function="false" hidden="true" name="IQ_FFO_ADJ_HIGH_EST_CIQ" vbProcedure="false">"c4962"</definedName>
    <definedName function="false" hidden="true" name="IQ_FFO_ADJ_HIGH_GUIDANCE" vbProcedure="false">"c4202"</definedName>
    <definedName function="false" hidden="true" name="IQ_FFO_ADJ_HIGH_GUIDANCE_CIQ" vbProcedure="false">"c4614"</definedName>
    <definedName function="false" hidden="true" name="IQ_FFO_ADJ_LOW_EST" vbProcedure="false">"c4438"</definedName>
    <definedName function="false" hidden="true" name="IQ_FFO_ADJ_LOW_EST_CIQ" vbProcedure="false">"c4963"</definedName>
    <definedName function="false" hidden="true" name="IQ_FFO_ADJ_LOW_GUIDANCE" vbProcedure="false">"c4242"</definedName>
    <definedName function="false" hidden="true" name="IQ_FFO_ADJ_LOW_GUIDANCE_CIQ" vbProcedure="false">"c4654"</definedName>
    <definedName function="false" hidden="true" name="IQ_FFO_ADJ_MEDIAN_EST" vbProcedure="false">"c4439"</definedName>
    <definedName function="false" hidden="true" name="IQ_FFO_ADJ_MEDIAN_EST_CIQ" vbProcedure="false">"c4964"</definedName>
    <definedName function="false" hidden="true" name="IQ_FFO_ADJ_NUM_EST" vbProcedure="false">"c4440"</definedName>
    <definedName function="false" hidden="true" name="IQ_FFO_ADJ_NUM_EST_CIQ" vbProcedure="false">"c4965"</definedName>
    <definedName function="false" hidden="true" name="IQ_FFO_ADJ_STDDEV_EST" vbProcedure="false">"c4441"</definedName>
    <definedName function="false" hidden="true" name="IQ_FFO_ADJ_STDDEV_EST_CIQ" vbProcedure="false">"c4966"</definedName>
    <definedName function="false" hidden="true" name="IQ_FFO_EST" vbProcedure="false">"c418"</definedName>
    <definedName function="false" hidden="true" name="IQ_FFO_EST_CIQ" vbProcedure="false">"c3668"</definedName>
    <definedName function="false" hidden="true" name="IQ_FFO_GUIDANCE" vbProcedure="false">"c4443"</definedName>
    <definedName function="false" hidden="true" name="IQ_FFO_GUIDANCE_CIQ" vbProcedure="false">"c4968"</definedName>
    <definedName function="false" hidden="true" name="IQ_FFO_HIGH_EST" vbProcedure="false">"c419"</definedName>
    <definedName function="false" hidden="true" name="IQ_FFO_HIGH_EST_CIQ" vbProcedure="false">"c3670"</definedName>
    <definedName function="false" hidden="true" name="IQ_FFO_HIGH_GUIDANCE" vbProcedure="false">"c4184"</definedName>
    <definedName function="false" hidden="true" name="IQ_FFO_HIGH_GUIDANCE_CIQ" vbProcedure="false">"c4596"</definedName>
    <definedName function="false" hidden="true" name="IQ_FFO_LOW_EST" vbProcedure="false">"c420"</definedName>
    <definedName function="false" hidden="true" name="IQ_FFO_LOW_EST_CIQ" vbProcedure="false">"c3671"</definedName>
    <definedName function="false" hidden="true" name="IQ_FFO_LOW_GUIDANCE" vbProcedure="false">"c4224"</definedName>
    <definedName function="false" hidden="true" name="IQ_FFO_LOW_GUIDANCE_CIQ" vbProcedure="false">"c4636"</definedName>
    <definedName function="false" hidden="true" name="IQ_FFO_MEDIAN_EST" vbProcedure="false">"c1665"</definedName>
    <definedName function="false" hidden="true" name="IQ_FFO_MEDIAN_EST_CIQ" vbProcedure="false">"c3669"</definedName>
    <definedName function="false" hidden="true" name="IQ_FFO_NUM_EST" vbProcedure="false">"c421"</definedName>
    <definedName function="false" hidden="true" name="IQ_FFO_NUM_EST_CIQ" vbProcedure="false">"c3672"</definedName>
    <definedName function="false" hidden="true" name="IQ_FFO_PAYOUT_RATIO" vbProcedure="false">"c3492"</definedName>
    <definedName function="false" hidden="true" name="IQ_FFO_SHARE_ACT_OR_EST" vbProcedure="false">"c4446"</definedName>
    <definedName function="false" hidden="true" name="IQ_FFO_SHARE_ACT_OR_EST_CIQ" vbProcedure="false">"c4971"</definedName>
    <definedName function="false" hidden="true" name="IQ_FFO_SHARE_EST" vbProcedure="false">"c4445"</definedName>
    <definedName function="false" hidden="true" name="IQ_FFO_SHARE_EST_CIQ" vbProcedure="false">"c4970"</definedName>
    <definedName function="false" hidden="true" name="IQ_FFO_SHARE_GUIDANCE" vbProcedure="false">"c4447"</definedName>
    <definedName function="false" hidden="true" name="IQ_FFO_SHARE_GUIDANCE_CIQ" vbProcedure="false">"c4976"</definedName>
    <definedName function="false" hidden="true" name="IQ_FFO_SHARE_HIGH_EST" vbProcedure="false">"c4448"</definedName>
    <definedName function="false" hidden="true" name="IQ_FFO_SHARE_HIGH_EST_CIQ" vbProcedure="false">"c4977"</definedName>
    <definedName function="false" hidden="true" name="IQ_FFO_SHARE_HIGH_GUIDANCE" vbProcedure="false">"c4203"</definedName>
    <definedName function="false" hidden="true" name="IQ_FFO_SHARE_HIGH_GUIDANCE_CIQ" vbProcedure="false">"c4615"</definedName>
    <definedName function="false" hidden="true" name="IQ_FFO_SHARE_LOW_EST" vbProcedure="false">"c4449"</definedName>
    <definedName function="false" hidden="true" name="IQ_FFO_SHARE_LOW_EST_CIQ" vbProcedure="false">"c4978"</definedName>
    <definedName function="false" hidden="true" name="IQ_FFO_SHARE_LOW_GUIDANCE" vbProcedure="false">"c4243"</definedName>
    <definedName function="false" hidden="true" name="IQ_FFO_SHARE_LOW_GUIDANCE_CIQ" vbProcedure="false">"c4655"</definedName>
    <definedName function="false" hidden="true" name="IQ_FFO_SHARE_MEDIAN_EST" vbProcedure="false">"c4450"</definedName>
    <definedName function="false" hidden="true" name="IQ_FFO_SHARE_MEDIAN_EST_CIQ" vbProcedure="false">"c4979"</definedName>
    <definedName function="false" hidden="true" name="IQ_FFO_SHARE_NUM_EST" vbProcedure="false">"c4451"</definedName>
    <definedName function="false" hidden="true" name="IQ_FFO_SHARE_NUM_EST_CIQ" vbProcedure="false">"c4980"</definedName>
    <definedName function="false" hidden="true" name="IQ_FFO_SHARE_STDDEV_EST" vbProcedure="false">"c4452"</definedName>
    <definedName function="false" hidden="true" name="IQ_FFO_SHARE_STDDEV_EST_CIQ" vbProcedure="false">"c4981"</definedName>
    <definedName function="false" hidden="true" name="IQ_FFO_STDDEV_EST" vbProcedure="false">"c422"</definedName>
    <definedName function="false" hidden="true" name="IQ_FFO_STDDEV_EST_CIQ" vbProcedure="false">"c3673"</definedName>
    <definedName function="false" hidden="true" name="IQ_FHLB_ADVANCES_FDIC" vbProcedure="false">"c6366"</definedName>
    <definedName function="false" hidden="true" name="IQ_FHLB_DEBT" vbProcedure="false">"c423"</definedName>
    <definedName function="false" hidden="true" name="IQ_FHLB_DUE_CY" vbProcedure="false">"c2080"</definedName>
    <definedName function="false" hidden="true" name="IQ_FHLB_DUE_CY1" vbProcedure="false">"c2081"</definedName>
    <definedName function="false" hidden="true" name="IQ_FHLB_DUE_CY2" vbProcedure="false">"c2082"</definedName>
    <definedName function="false" hidden="true" name="IQ_FHLB_DUE_CY3" vbProcedure="false">"c2083"</definedName>
    <definedName function="false" hidden="true" name="IQ_FHLB_DUE_CY4" vbProcedure="false">"c2084"</definedName>
    <definedName function="false" hidden="true" name="IQ_FHLB_DUE_NEXT_FIVE" vbProcedure="false">"c2085"</definedName>
    <definedName function="false" hidden="true" name="IQ_FIDUCIARY_ACTIVITIES_FDIC" vbProcedure="false">"c6571"</definedName>
    <definedName function="false" hidden="true" name="IQ_FIFETEEN_YEAR_FIXED_AND_FLOATING_RATE_FDIC" vbProcedure="false">"c6423"</definedName>
    <definedName function="false" hidden="true" name="IQ_FIFETEEN_YEAR_MORTGAGE_PASS_THROUGHS_FDIC" vbProcedure="false">"c6415"</definedName>
    <definedName function="false" hidden="true" name="IQ_FILINGDATE_BS" vbProcedure="false">"c424"</definedName>
    <definedName function="false" hidden="true" name="IQ_FILINGDATE_CF" vbProcedure="false">"c425"</definedName>
    <definedName function="false" hidden="true" name="IQ_FILINGDATE_IS" vbProcedure="false">"c426"</definedName>
    <definedName function="false" hidden="true" name="IQ_FILING_CURRENCY" vbProcedure="false">"c2129"</definedName>
    <definedName function="false" hidden="true" name="IQ_FILM_RIGHTS" vbProcedure="false">"c2254"</definedName>
    <definedName function="false" hidden="true" name="IQ_FINANCING_CASH" vbProcedure="false">"c1405"</definedName>
    <definedName function="false" hidden="true" name="IQ_FINANCING_CASH_SUPPL" vbProcedure="false">"c1406"</definedName>
    <definedName function="false" hidden="true" name="IQ_FINANCING_OBLIG_CURRENT" vbProcedure="false">"c6190"</definedName>
    <definedName function="false" hidden="true" name="IQ_FINANCING_OBLIG_NON_CURRENT" vbProcedure="false">"c6191"</definedName>
    <definedName function="false" hidden="true" name="IQ_FINISHED_INV" vbProcedure="false">"c438"</definedName>
    <definedName function="false" hidden="true" name="IQ_FIN_DATA_SOURCE" vbProcedure="false">"c6788"</definedName>
    <definedName function="false" hidden="true" name="IQ_FIN_DIV_ASSETS_CURRENT" vbProcedure="false">"c427"</definedName>
    <definedName function="false" hidden="true" name="IQ_FIN_DIV_ASSETS_LT" vbProcedure="false">"c428"</definedName>
    <definedName function="false" hidden="true" name="IQ_FIN_DIV_CASH_EQUIV" vbProcedure="false">"c6289"</definedName>
    <definedName function="false" hidden="true" name="IQ_FIN_DIV_DEBT_CURRENT" vbProcedure="false">"c429"</definedName>
    <definedName function="false" hidden="true" name="IQ_FIN_DIV_DEBT_LT" vbProcedure="false">"c430"</definedName>
    <definedName function="false" hidden="true" name="IQ_FIN_DIV_DEBT_TOTAL" vbProcedure="false">"c5656"</definedName>
    <definedName function="false" hidden="true" name="IQ_FIN_DIV_EXP" vbProcedure="false">"c431"</definedName>
    <definedName function="false" hidden="true" name="IQ_FIN_DIV_INT_EXP" vbProcedure="false">"c432"</definedName>
    <definedName function="false" hidden="true" name="IQ_FIN_DIV_LIAB_CURRENT" vbProcedure="false">"c433"</definedName>
    <definedName function="false" hidden="true" name="IQ_FIN_DIV_LIAB_LT" vbProcedure="false">"c434"</definedName>
    <definedName function="false" hidden="true" name="IQ_FIN_DIV_LOANS_CURRENT" vbProcedure="false">"c435"</definedName>
    <definedName function="false" hidden="true" name="IQ_FIN_DIV_LOANS_LT" vbProcedure="false">"c436"</definedName>
    <definedName function="false" hidden="true" name="IQ_FIN_DIV_LT_DEBT_TOTAL" vbProcedure="false">"c5655"</definedName>
    <definedName function="false" hidden="true" name="IQ_FIN_DIV_REV" vbProcedure="false">"c437"</definedName>
    <definedName function="false" hidden="true" name="IQ_FIN_DIV_ST_DEBT_TOTAL" vbProcedure="false">"c5527"</definedName>
    <definedName function="false" hidden="true" name="IQ_FIN_DIV_ST_INVEST" vbProcedure="false">"c6288"</definedName>
    <definedName function="false" hidden="true" name="IQ_FIRSTPRICINGDATE" vbProcedure="false">"c3050"</definedName>
    <definedName function="false" hidden="true" name="IQ_FIRST_INT_DATE" vbProcedure="false">"c2186"</definedName>
    <definedName function="false" hidden="true" name="IQ_FIRST_YEAR_LIFE" vbProcedure="false">"c439"</definedName>
    <definedName function="false" hidden="true" name="IQ_FIRST_YEAR_LIFE_PREM" vbProcedure="false">"c2787"</definedName>
    <definedName function="false" hidden="true" name="IQ_FIRST_YEAR_PREM" vbProcedure="false">"c2786"</definedName>
    <definedName function="false" hidden="true" name="IQ_FISCAL_Q" vbProcedure="false">"c440"</definedName>
    <definedName function="false" hidden="true" name="IQ_FISCAL_Q_EST" vbProcedure="false">"c6794"</definedName>
    <definedName function="false" hidden="true" name="IQ_FISCAL_Q_EST_CIQ" vbProcedure="false">"c6806"</definedName>
    <definedName function="false" hidden="true" name="IQ_FISCAL_Q_EST_REUT" vbProcedure="false">"c6798"</definedName>
    <definedName function="false" hidden="true" name="IQ_FISCAL_Y" vbProcedure="false">"c441"</definedName>
    <definedName function="false" hidden="true" name="IQ_FISCAL_Y_EST" vbProcedure="false">"c6795"</definedName>
    <definedName function="false" hidden="true" name="IQ_FISCAL_Y_EST_CIQ" vbProcedure="false">"c6807"</definedName>
    <definedName function="false" hidden="true" name="IQ_FISCAL_Y_EST_REUT" vbProcedure="false">"c6799"</definedName>
    <definedName function="false" hidden="true" name="IQ_FIVEPERCENT_PERCENT" vbProcedure="false">"c443"</definedName>
    <definedName function="false" hidden="true" name="IQ_FIVEPERCENT_SHARES" vbProcedure="false">"c444"</definedName>
    <definedName function="false" hidden="true" name="IQ_FIVE_PERCENT_OWNER" vbProcedure="false">"c442"</definedName>
    <definedName function="false" hidden="true" name="IQ_FIVE_YEAR_FIXED_AND_FLOATING_RATE_FDIC" vbProcedure="false">"c6422"</definedName>
    <definedName function="false" hidden="true" name="IQ_FIVE_YEAR_MORTGAGE_PASS_THROUGHS_FDIC" vbProcedure="false">"c6414"</definedName>
    <definedName function="false" hidden="true" name="IQ_FIXED_ASSET_TURNS" vbProcedure="false">"c445"</definedName>
    <definedName function="false" hidden="true" name="IQ_FLOAT_PERCENT" vbProcedure="false">"c1575"</definedName>
    <definedName function="false" hidden="true" name="IQ_FNMA_FHLMC_FDIC" vbProcedure="false">"c6397"</definedName>
    <definedName function="false" hidden="true" name="IQ_FNMA_FHLMC_GNMA_FDIC" vbProcedure="false">"c6399"</definedName>
    <definedName function="false" hidden="true" name="IQ_FORECLOSED_PROPERTIES_FDIC" vbProcedure="false">"c6459"</definedName>
    <definedName function="false" hidden="true" name="IQ_FOREIGN_BANKS_DEPOSITS_FOREIGN_FDIC" vbProcedure="false">"c6481"</definedName>
    <definedName function="false" hidden="true" name="IQ_FOREIGN_BANKS_LOAN_CHARG_OFFS_FDIC" vbProcedure="false">"c6645"</definedName>
    <definedName function="false" hidden="true" name="IQ_FOREIGN_BANKS_NET_CHARGE_OFFS_FDIC" vbProcedure="false">"c6647"</definedName>
    <definedName function="false" hidden="true" name="IQ_FOREIGN_BANKS_NONTRANSACTION_ACCOUNTS_FDIC" vbProcedure="false">"c6550"</definedName>
    <definedName function="false" hidden="true" name="IQ_FOREIGN_BANKS_RECOVERIES_FDIC" vbProcedure="false">"c6646"</definedName>
    <definedName function="false" hidden="true" name="IQ_FOREIGN_BANKS_TRANSACTION_ACCOUNTS_FDIC" vbProcedure="false">"c6542"</definedName>
    <definedName function="false" hidden="true" name="IQ_FOREIGN_BANK_LOANS_FDIC" vbProcedure="false">"c6437"</definedName>
    <definedName function="false" hidden="true" name="IQ_FOREIGN_BRANCHES_U.S._BANKS_LOANS_FDIC" vbProcedure="false">"c6438"</definedName>
    <definedName function="false" hidden="true" name="IQ_FOREIGN_BRANCHES_US_BANKS_FDIC" vbProcedure="false">"c6392"</definedName>
    <definedName function="false" hidden="true" name="IQ_FOREIGN_COUNTRIES_BANKS_TOTAL_LOANS_FOREIGN_FDIC" vbProcedure="false">"c6445"</definedName>
    <definedName function="false" hidden="true" name="IQ_FOREIGN_DEBT_SECURITIES_FDIC" vbProcedure="false">"c6303"</definedName>
    <definedName function="false" hidden="true" name="IQ_FOREIGN_DEPOSITS_NONTRANSACTION_ACCOUNTS_FDIC" vbProcedure="false">"c6549"</definedName>
    <definedName function="false" hidden="true" name="IQ_FOREIGN_DEPOSITS_TRANSACTION_ACCOUNTS_FDIC" vbProcedure="false">"c6541"</definedName>
    <definedName function="false" hidden="true" name="IQ_FOREIGN_DEP_IB" vbProcedure="false">"c446"</definedName>
    <definedName function="false" hidden="true" name="IQ_FOREIGN_DEP_NON_IB" vbProcedure="false">"c447"</definedName>
    <definedName function="false" hidden="true" name="IQ_FOREIGN_EXCHANGE" vbProcedure="false">"c1376"</definedName>
    <definedName function="false" hidden="true" name="IQ_FOREIGN_EXCHANGE_EXPOSURES_FDIC" vbProcedure="false">"c6663"</definedName>
    <definedName function="false" hidden="true" name="IQ_FOREIGN_GOVERNMENTS_CHARGE_OFFS_FDIC" vbProcedure="false">"c6600"</definedName>
    <definedName function="false" hidden="true" name="IQ_FOREIGN_GOVERNMENTS_DEPOSITS_FOREIGN_FDIC" vbProcedure="false">"c6482"</definedName>
    <definedName function="false" hidden="true" name="IQ_FOREIGN_GOVERNMENTS_NET_CHARGE_OFFS_FDIC" vbProcedure="false">"c6638"</definedName>
    <definedName function="false" hidden="true" name="IQ_FOREIGN_GOVERNMENTS_NONTRANSACTION_ACCOUNTS_FDIC" vbProcedure="false">"c6551"</definedName>
    <definedName function="false" hidden="true" name="IQ_FOREIGN_GOVERNMENTS_RECOVERIES_FDIC" vbProcedure="false">"c6619"</definedName>
    <definedName function="false" hidden="true" name="IQ_FOREIGN_GOVERNMENTS_TOTAL_DEPOSITS_FDIC" vbProcedure="false">"c6476"</definedName>
    <definedName function="false" hidden="true" name="IQ_FOREIGN_GOVERNMENTS_TRANSACTION_ACCOUNTS_FDIC" vbProcedure="false">"c6543"</definedName>
    <definedName function="false" hidden="true" name="IQ_FOREIGN_GOVERNMENT_LOANS_FDIC" vbProcedure="false">"c6430"</definedName>
    <definedName function="false" hidden="true" name="IQ_FOREIGN_LOANS" vbProcedure="false">"c448"</definedName>
    <definedName function="false" hidden="true" name="IQ_FQ" vbProcedure="false">500</definedName>
    <definedName function="false" hidden="true" name="IQ_FUEL" vbProcedure="false">"c449"</definedName>
    <definedName function="false" hidden="true" name="IQ_FULLY_INSURED_DEPOSITS_FDIC" vbProcedure="false">"c6487"</definedName>
    <definedName function="false" hidden="true" name="IQ_FULL_TIME" vbProcedure="false">"c450"</definedName>
    <definedName function="false" hidden="true" name="IQ_FUTURES_FORWARD_CONTRACTS_NOTIONAL_AMOUNT_FDIC" vbProcedure="false">"c6518"</definedName>
    <definedName function="false" hidden="true" name="IQ_FUTURES_FORWARD_CONTRACTS_RATE_RISK_FDIC" vbProcedure="false">"c6508"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true" name="IQ_FX" vbProcedure="false">"c451"</definedName>
    <definedName function="false" hidden="true" name="IQ_FX_CONTRACTS_FDIC" vbProcedure="false">"c6517"</definedName>
    <definedName function="false" hidden="true" name="IQ_FX_CONTRACTS_SPOT_FDIC" vbProcedure="false">"c6356"</definedName>
    <definedName function="false" hidden="true" name="IQ_FY" vbProcedure="false">1000</definedName>
    <definedName function="false" hidden="true" name="IQ_GAAP_BS" vbProcedure="false">"c6789"</definedName>
    <definedName function="false" hidden="true" name="IQ_GAAP_CF" vbProcedure="false">"c6790"</definedName>
    <definedName function="false" hidden="true" name="IQ_GAAP_IS" vbProcedure="false">"c6194"</definedName>
    <definedName function="false" hidden="true" name="IQ_GAINS_SALE_ASSETS_FDIC" vbProcedure="false">"c6675"</definedName>
    <definedName function="false" hidden="true" name="IQ_GAIN_ASSETS" vbProcedure="false">"c452"</definedName>
    <definedName function="false" hidden="true" name="IQ_GAIN_ASSETS_BNK" vbProcedure="false">"c453"</definedName>
    <definedName function="false" hidden="true" name="IQ_GAIN_ASSETS_BR" vbProcedure="false">"c454"</definedName>
    <definedName function="false" hidden="true" name="IQ_GAIN_ASSETS_CF" vbProcedure="false">"c455"</definedName>
    <definedName function="false" hidden="true" name="IQ_GAIN_ASSETS_CF_BNK" vbProcedure="false">"c456"</definedName>
    <definedName function="false" hidden="true" name="IQ_GAIN_ASSETS_CF_BR" vbProcedure="false">"c457"</definedName>
    <definedName function="false" hidden="true" name="IQ_GAIN_ASSETS_CF_FIN" vbProcedure="false">"c458"</definedName>
    <definedName function="false" hidden="true" name="IQ_GAIN_ASSETS_CF_INS" vbProcedure="false">"c459"</definedName>
    <definedName function="false" hidden="true" name="IQ_GAIN_ASSETS_CF_RE" vbProcedure="false">"c6217"</definedName>
    <definedName function="false" hidden="true" name="IQ_GAIN_ASSETS_CF_REIT" vbProcedure="false">"c460"</definedName>
    <definedName function="false" hidden="true" name="IQ_GAIN_ASSETS_CF_UTI" vbProcedure="false">"c461"</definedName>
    <definedName function="false" hidden="true" name="IQ_GAIN_ASSETS_FIN" vbProcedure="false">"c462"</definedName>
    <definedName function="false" hidden="true" name="IQ_GAIN_ASSETS_INS" vbProcedure="false">"c463"</definedName>
    <definedName function="false" hidden="true" name="IQ_GAIN_ASSETS_RE" vbProcedure="false">"c6218"</definedName>
    <definedName function="false" hidden="true" name="IQ_GAIN_ASSETS_REIT" vbProcedure="false">"c471"</definedName>
    <definedName function="false" hidden="true" name="IQ_GAIN_ASSETS_REV" vbProcedure="false">"c472"</definedName>
    <definedName function="false" hidden="true" name="IQ_GAIN_ASSETS_REV_BNK" vbProcedure="false">"c473"</definedName>
    <definedName function="false" hidden="true" name="IQ_GAIN_ASSETS_REV_BR" vbProcedure="false">"c474"</definedName>
    <definedName function="false" hidden="true" name="IQ_GAIN_ASSETS_REV_FIN" vbProcedure="false">"c475"</definedName>
    <definedName function="false" hidden="true" name="IQ_GAIN_ASSETS_REV_INS" vbProcedure="false">"c476"</definedName>
    <definedName function="false" hidden="true" name="IQ_GAIN_ASSETS_REV_RE" vbProcedure="false">"c6219"</definedName>
    <definedName function="false" hidden="true" name="IQ_GAIN_ASSETS_REV_REIT" vbProcedure="false">"c477"</definedName>
    <definedName function="false" hidden="true" name="IQ_GAIN_ASSETS_REV_UTI" vbProcedure="false">"c478"</definedName>
    <definedName function="false" hidden="true" name="IQ_GAIN_ASSETS_UTI" vbProcedure="false">"c479"</definedName>
    <definedName function="false" hidden="true" name="IQ_GAIN_INVEST" vbProcedure="false">"c1463"</definedName>
    <definedName function="false" hidden="true" name="IQ_GAIN_INVEST_BNK" vbProcedure="false">"c1582"</definedName>
    <definedName function="false" hidden="true" name="IQ_GAIN_INVEST_BR" vbProcedure="false">"c1464"</definedName>
    <definedName function="false" hidden="true" name="IQ_GAIN_INVEST_CF" vbProcedure="false">"c480"</definedName>
    <definedName function="false" hidden="true" name="IQ_GAIN_INVEST_CF_BNK" vbProcedure="false">"c481"</definedName>
    <definedName function="false" hidden="true" name="IQ_GAIN_INVEST_CF_BR" vbProcedure="false">"c482"</definedName>
    <definedName function="false" hidden="true" name="IQ_GAIN_INVEST_CF_FIN" vbProcedure="false">"c483"</definedName>
    <definedName function="false" hidden="true" name="IQ_GAIN_INVEST_CF_INS" vbProcedure="false">"c484"</definedName>
    <definedName function="false" hidden="true" name="IQ_GAIN_INVEST_CF_RE" vbProcedure="false">"c6220"</definedName>
    <definedName function="false" hidden="true" name="IQ_GAIN_INVEST_CF_REIT" vbProcedure="false">"c485"</definedName>
    <definedName function="false" hidden="true" name="IQ_GAIN_INVEST_CF_UTI" vbProcedure="false">"c486"</definedName>
    <definedName function="false" hidden="true" name="IQ_GAIN_INVEST_FIN" vbProcedure="false">"c1465"</definedName>
    <definedName function="false" hidden="true" name="IQ_GAIN_INVEST_INS" vbProcedure="false">"c1466"</definedName>
    <definedName function="false" hidden="true" name="IQ_GAIN_INVEST_RE" vbProcedure="false">"c6278"</definedName>
    <definedName function="false" hidden="true" name="IQ_GAIN_INVEST_REIT" vbProcedure="false">"c1467"</definedName>
    <definedName function="false" hidden="true" name="IQ_GAIN_INVEST_REV" vbProcedure="false">"c494"</definedName>
    <definedName function="false" hidden="true" name="IQ_GAIN_INVEST_REV_BNK" vbProcedure="false">"c495"</definedName>
    <definedName function="false" hidden="true" name="IQ_GAIN_INVEST_REV_BR" vbProcedure="false">"c496"</definedName>
    <definedName function="false" hidden="true" name="IQ_GAIN_INVEST_REV_FIN" vbProcedure="false">"c497"</definedName>
    <definedName function="false" hidden="true" name="IQ_GAIN_INVEST_REV_INS" vbProcedure="false">"c498"</definedName>
    <definedName function="false" hidden="true" name="IQ_GAIN_INVEST_REV_RE" vbProcedure="false">"c6221"</definedName>
    <definedName function="false" hidden="true" name="IQ_GAIN_INVEST_REV_REIT" vbProcedure="false">"c499"</definedName>
    <definedName function="false" hidden="true" name="IQ_GAIN_INVEST_REV_UTI" vbProcedure="false">"c500"</definedName>
    <definedName function="false" hidden="true" name="IQ_GAIN_INVEST_UTI" vbProcedure="false">"c1468"</definedName>
    <definedName function="false" hidden="true" name="IQ_GAIN_LOANS_REC" vbProcedure="false">"c501"</definedName>
    <definedName function="false" hidden="true" name="IQ_GAIN_LOANS_RECEIV" vbProcedure="false">"c502"</definedName>
    <definedName function="false" hidden="true" name="IQ_GAIN_LOANS_RECEIV_REV_FIN" vbProcedure="false">"c503"</definedName>
    <definedName function="false" hidden="true" name="IQ_GAIN_LOANS_REV" vbProcedure="false">"c504"</definedName>
    <definedName function="false" hidden="true" name="IQ_GAIN_SALE_ASSETS" vbProcedure="false">"c1377"</definedName>
    <definedName function="false" hidden="true" name="IQ_GAIN_SALE_LOANS_FDIC" vbProcedure="false">"c6673"</definedName>
    <definedName function="false" hidden="true" name="IQ_GAIN_SALE_RE_FDIC" vbProcedure="false">"c6674"</definedName>
    <definedName function="false" hidden="true" name="IQ_GA_EXP" vbProcedure="false">"c2241"</definedName>
    <definedName function="false" hidden="true" name="IQ_GEO_SEG_ASSETS" vbProcedure="false">"c4069"</definedName>
    <definedName function="false" hidden="true" name="IQ_GEO_SEG_ASSETS_ABS" vbProcedure="false">"c4091"</definedName>
    <definedName function="false" hidden="true" name="IQ_GEO_SEG_ASSETS_TOTAL" vbProcedure="false">"c4123"</definedName>
    <definedName function="false" hidden="true" name="IQ_GEO_SEG_CAPEX" vbProcedure="false">"c4083"</definedName>
    <definedName function="false" hidden="true" name="IQ_GEO_SEG_CAPEX_ABS" vbProcedure="false">"c4105"</definedName>
    <definedName function="false" hidden="true" name="IQ_GEO_SEG_CAPEX_TOTAL" vbProcedure="false">"c4127"</definedName>
    <definedName function="false" hidden="true" name="IQ_GEO_SEG_DA" vbProcedure="false">"c4082"</definedName>
    <definedName function="false" hidden="true" name="IQ_GEO_SEG_DA_ABS" vbProcedure="false">"c4104"</definedName>
    <definedName function="false" hidden="true" name="IQ_GEO_SEG_DA_TOTAL" vbProcedure="false">"c4126"</definedName>
    <definedName function="false" hidden="true" name="IQ_GEO_SEG_EARNINGS_OP" vbProcedure="false">"c4073"</definedName>
    <definedName function="false" hidden="true" name="IQ_GEO_SEG_EARNINGS_OP_ABS" vbProcedure="false">"c4095"</definedName>
    <definedName function="false" hidden="true" name="IQ_GEO_SEG_EARNINGS_OP_TOTAL" vbProcedure="false">"c4119"</definedName>
    <definedName function="false" hidden="true" name="IQ_GEO_SEG_EBT" vbProcedure="false">"c4072"</definedName>
    <definedName function="false" hidden="true" name="IQ_GEO_SEG_EBT_ABS" vbProcedure="false">"c4094"</definedName>
    <definedName function="false" hidden="true" name="IQ_GEO_SEG_EBT_TOTAL" vbProcedure="false">"c4121"</definedName>
    <definedName function="false" hidden="true" name="IQ_GEO_SEG_GP" vbProcedure="false">"c4070"</definedName>
    <definedName function="false" hidden="true" name="IQ_GEO_SEG_GP_ABS" vbProcedure="false">"c4092"</definedName>
    <definedName function="false" hidden="true" name="IQ_GEO_SEG_GP_TOTAL" vbProcedure="false">"c4120"</definedName>
    <definedName function="false" hidden="true" name="IQ_GEO_SEG_INC_TAX" vbProcedure="false">"c4081"</definedName>
    <definedName function="false" hidden="true" name="IQ_GEO_SEG_INC_TAX_ABS" vbProcedure="false">"c4103"</definedName>
    <definedName function="false" hidden="true" name="IQ_GEO_SEG_INC_TAX_TOTAL" vbProcedure="false">"c4125"</definedName>
    <definedName function="false" hidden="true" name="IQ_GEO_SEG_INTEREST_EXP" vbProcedure="false">"c4080"</definedName>
    <definedName function="false" hidden="true" name="IQ_GEO_SEG_INTEREST_EXP_ABS" vbProcedure="false">"c4102"</definedName>
    <definedName function="false" hidden="true" name="IQ_GEO_SEG_INTEREST_EXP_TOTAL" vbProcedure="false">"c4124"</definedName>
    <definedName function="false" hidden="true" name="IQ_GEO_SEG_NAME" vbProcedure="false">"c5484"</definedName>
    <definedName function="false" hidden="true" name="IQ_GEO_SEG_NAME_ABS" vbProcedure="false">"c5485"</definedName>
    <definedName function="false" hidden="true" name="IQ_GEO_SEG_NI" vbProcedure="false">"c4071"</definedName>
    <definedName function="false" hidden="true" name="IQ_GEO_SEG_NI_ABS" vbProcedure="false">"c4093"</definedName>
    <definedName function="false" hidden="true" name="IQ_GEO_SEG_NI_TOTAL" vbProcedure="false">"c4122"</definedName>
    <definedName function="false" hidden="true" name="IQ_GEO_SEG_OPER_INC" vbProcedure="false">"c4075"</definedName>
    <definedName function="false" hidden="true" name="IQ_GEO_SEG_OPER_INC_ABS" vbProcedure="false">"c4097"</definedName>
    <definedName function="false" hidden="true" name="IQ_GEO_SEG_OPER_INC_TOTAL" vbProcedure="false">"c4118"</definedName>
    <definedName function="false" hidden="true" name="IQ_GEO_SEG_REV" vbProcedure="false">"c4074"</definedName>
    <definedName function="false" hidden="true" name="IQ_GEO_SEG_REV_ABS" vbProcedure="false">"c4096"</definedName>
    <definedName function="false" hidden="true" name="IQ_GEO_SEG_REV_TOTAL" vbProcedure="false">"c4117"</definedName>
    <definedName function="false" hidden="true" name="IQ_GNMA_FDIC" vbProcedure="false">"c6398"</definedName>
    <definedName function="false" hidden="true" name="IQ_GOODWILL_FDIC" vbProcedure="false">"c6334"</definedName>
    <definedName function="false" hidden="true" name="IQ_GOODWILL_IMPAIRMENT_FDIC" vbProcedure="false">"c6678"</definedName>
    <definedName function="false" hidden="true" name="IQ_GOODWILL_INTAN_FDIC" vbProcedure="false">"c6333"</definedName>
    <definedName function="false" hidden="true" name="IQ_GOODWILL_NET" vbProcedure="false">"c1380"</definedName>
    <definedName function="false" hidden="true" name="IQ_GP" vbProcedure="false">"c511"</definedName>
    <definedName function="false" hidden="true" name="IQ_GPPE" vbProcedure="false">"c518"</definedName>
    <definedName function="false" hidden="true" name="IQ_GP_10YR_ANN_CAGR" vbProcedure="false">"c6090"</definedName>
    <definedName function="false" hidden="true" name="IQ_GP_10YR_ANN_GROWTH" vbProcedure="false">"c512"</definedName>
    <definedName function="false" hidden="true" name="IQ_GP_1YR_ANN_GROWTH" vbProcedure="false">"c513"</definedName>
    <definedName function="false" hidden="true" name="IQ_GP_2YR_ANN_CAGR" vbProcedure="false">"c6091"</definedName>
    <definedName function="false" hidden="true" name="IQ_GP_2YR_ANN_GROWTH" vbProcedure="false">"c514"</definedName>
    <definedName function="false" hidden="true" name="IQ_GP_3YR_ANN_CAGR" vbProcedure="false">"c6092"</definedName>
    <definedName function="false" hidden="true" name="IQ_GP_3YR_ANN_GROWTH" vbProcedure="false">"c515"</definedName>
    <definedName function="false" hidden="true" name="IQ_GP_5YR_ANN_CAGR" vbProcedure="false">"c6093"</definedName>
    <definedName function="false" hidden="true" name="IQ_GP_5YR_ANN_GROWTH" vbProcedure="false">"c516"</definedName>
    <definedName function="false" hidden="true" name="IQ_GP_7YR_ANN_CAGR" vbProcedure="false">"c6094"</definedName>
    <definedName function="false" hidden="true" name="IQ_GP_7YR_ANN_GROWTH" vbProcedure="false">"c517"</definedName>
    <definedName function="false" hidden="true" name="IQ_GROSS_AH_EARNED" vbProcedure="false">"c2742"</definedName>
    <definedName function="false" hidden="true" name="IQ_GROSS_CLAIM_EXP_INCUR" vbProcedure="false">"c2755"</definedName>
    <definedName function="false" hidden="true" name="IQ_GROSS_CLAIM_EXP_PAID" vbProcedure="false">"c2758"</definedName>
    <definedName function="false" hidden="true" name="IQ_GROSS_CLAIM_EXP_RES" vbProcedure="false">"c2752"</definedName>
    <definedName function="false" hidden="true" name="IQ_GROSS_DIVID" vbProcedure="false">"c1446"</definedName>
    <definedName function="false" hidden="true" name="IQ_GROSS_EARNED" vbProcedure="false">"c2732"</definedName>
    <definedName function="false" hidden="true" name="IQ_GROSS_LIFE_EARNED" vbProcedure="false">"c2737"</definedName>
    <definedName function="false" hidden="true" name="IQ_GROSS_LIFE_IN_FORCE" vbProcedure="false">"c2767"</definedName>
    <definedName function="false" hidden="true" name="IQ_GROSS_LOANS" vbProcedure="false">"c521"</definedName>
    <definedName function="false" hidden="true" name="IQ_GROSS_LOANS_10YR_ANN_CAGR" vbProcedure="false">"c6095"</definedName>
    <definedName function="false" hidden="true" name="IQ_GROSS_LOANS_10YR_ANN_GROWTH" vbProcedure="false">"c522"</definedName>
    <definedName function="false" hidden="true" name="IQ_GROSS_LOANS_1YR_ANN_GROWTH" vbProcedure="false">"c523"</definedName>
    <definedName function="false" hidden="true" name="IQ_GROSS_LOANS_2YR_ANN_CAGR" vbProcedure="false">"c6096"</definedName>
    <definedName function="false" hidden="true" name="IQ_GROSS_LOANS_2YR_ANN_GROWTH" vbProcedure="false">"c524"</definedName>
    <definedName function="false" hidden="true" name="IQ_GROSS_LOANS_3YR_ANN_CAGR" vbProcedure="false">"c6097"</definedName>
    <definedName function="false" hidden="true" name="IQ_GROSS_LOANS_3YR_ANN_GROWTH" vbProcedure="false">"c525"</definedName>
    <definedName function="false" hidden="true" name="IQ_GROSS_LOANS_5YR_ANN_CAGR" vbProcedure="false">"c6098"</definedName>
    <definedName function="false" hidden="true" name="IQ_GROSS_LOANS_5YR_ANN_GROWTH" vbProcedure="false">"c526"</definedName>
    <definedName function="false" hidden="true" name="IQ_GROSS_LOANS_7YR_ANN_CAGR" vbProcedure="false">"c6099"</definedName>
    <definedName function="false" hidden="true" name="IQ_GROSS_LOANS_7YR_ANN_GROWTH" vbProcedure="false">"c527"</definedName>
    <definedName function="false" hidden="true" name="IQ_GROSS_LOANS_TOTAL_DEPOSITS" vbProcedure="false">"c528"</definedName>
    <definedName function="false" hidden="true" name="IQ_GROSS_MARGIN" vbProcedure="false">"c529"</definedName>
    <definedName function="false" hidden="true" name="IQ_GROSS_MARGIN_ACT_OR_EST" vbProcedure="false">"c5554"</definedName>
    <definedName function="false" hidden="true" name="IQ_GROSS_MARGIN_EST" vbProcedure="false">"c5547"</definedName>
    <definedName function="false" hidden="true" name="IQ_GROSS_MARGIN_HIGH_EST" vbProcedure="false">"c5549"</definedName>
    <definedName function="false" hidden="true" name="IQ_GROSS_MARGIN_LOW_EST" vbProcedure="false">"c5550"</definedName>
    <definedName function="false" hidden="true" name="IQ_GROSS_MARGIN_MEDIAN_EST" vbProcedure="false">"c5548"</definedName>
    <definedName function="false" hidden="true" name="IQ_GROSS_MARGIN_NUM_EST" vbProcedure="false">"c5551"</definedName>
    <definedName function="false" hidden="true" name="IQ_GROSS_MARGIN_STDDEV_EST" vbProcedure="false">"c5552"</definedName>
    <definedName function="false" hidden="true" name="IQ_GROSS_PC_EARNED" vbProcedure="false">"c2747"</definedName>
    <definedName function="false" hidden="true" name="IQ_GROSS_PROFIT" vbProcedure="false">"c1378"</definedName>
    <definedName function="false" hidden="true" name="IQ_GROSS_SPRD" vbProcedure="false">"c2155"</definedName>
    <definedName function="false" hidden="true" name="IQ_GROSS_WRITTEN" vbProcedure="false">"c2726"</definedName>
    <definedName function="false" hidden="true" name="IQ_GW" vbProcedure="false">"c530"</definedName>
    <definedName function="false" hidden="true" name="IQ_GW_AMORT_BR" vbProcedure="false">"c532"</definedName>
    <definedName function="false" hidden="true" name="IQ_GW_AMORT_FIN" vbProcedure="false">"c540"</definedName>
    <definedName function="false" hidden="true" name="IQ_GW_AMORT_INS" vbProcedure="false">"c541"</definedName>
    <definedName function="false" hidden="true" name="IQ_GW_AMORT_REIT" vbProcedure="false">"c542"</definedName>
    <definedName function="false" hidden="true" name="IQ_GW_AMORT_UTI" vbProcedure="false">"c543"</definedName>
    <definedName function="false" hidden="true" name="IQ_GW_INTAN_AMORT" vbProcedure="false">"c1469"</definedName>
    <definedName function="false" hidden="true" name="IQ_GW_INTAN_AMORT_BNK" vbProcedure="false">"c544"</definedName>
    <definedName function="false" hidden="true" name="IQ_GW_INTAN_AMORT_BR" vbProcedure="false">"c1470"</definedName>
    <definedName function="false" hidden="true" name="IQ_GW_INTAN_AMORT_CF" vbProcedure="false">"c1471"</definedName>
    <definedName function="false" hidden="true" name="IQ_GW_INTAN_AMORT_CF_BNK" vbProcedure="false">"c1472"</definedName>
    <definedName function="false" hidden="true" name="IQ_GW_INTAN_AMORT_CF_BR" vbProcedure="false">"c1473"</definedName>
    <definedName function="false" hidden="true" name="IQ_GW_INTAN_AMORT_CF_FIN" vbProcedure="false">"c1474"</definedName>
    <definedName function="false" hidden="true" name="IQ_GW_INTAN_AMORT_CF_INS" vbProcedure="false">"c1475"</definedName>
    <definedName function="false" hidden="true" name="IQ_GW_INTAN_AMORT_CF_RE" vbProcedure="false">"c6279"</definedName>
    <definedName function="false" hidden="true" name="IQ_GW_INTAN_AMORT_CF_REIT" vbProcedure="false">"c1476"</definedName>
    <definedName function="false" hidden="true" name="IQ_GW_INTAN_AMORT_CF_UTI" vbProcedure="false">"c1477"</definedName>
    <definedName function="false" hidden="true" name="IQ_GW_INTAN_AMORT_FIN" vbProcedure="false">"c1478"</definedName>
    <definedName function="false" hidden="true" name="IQ_GW_INTAN_AMORT_INS" vbProcedure="false">"c1479"</definedName>
    <definedName function="false" hidden="true" name="IQ_GW_INTAN_AMORT_RE" vbProcedure="false">"c6280"</definedName>
    <definedName function="false" hidden="true" name="IQ_GW_INTAN_AMORT_REIT" vbProcedure="false">"c1480"</definedName>
    <definedName function="false" hidden="true" name="IQ_GW_INTAN_AMORT_UTI" vbProcedure="false">"c1481"</definedName>
    <definedName function="false" hidden="true" name="IQ_HC_ADMISSIONS" vbProcedure="false">"c5953"</definedName>
    <definedName function="false" hidden="true" name="IQ_HC_ADMISSIONS_GROWTH" vbProcedure="false">"c5997"</definedName>
    <definedName function="false" hidden="true" name="IQ_HC_ADMISSIONS_MANAGED_CARE" vbProcedure="false">"c5956"</definedName>
    <definedName function="false" hidden="true" name="IQ_HC_ADMISSIONS_MEDICAID" vbProcedure="false">"c5955"</definedName>
    <definedName function="false" hidden="true" name="IQ_HC_ADMISSIONS_MEDICARE" vbProcedure="false">"c5954"</definedName>
    <definedName function="false" hidden="true" name="IQ_HC_ADMISSIONS_OTHER" vbProcedure="false">"c5957"</definedName>
    <definedName function="false" hidden="true" name="IQ_HC_ADMISSIONS_SF" vbProcedure="false">"c6006"</definedName>
    <definedName function="false" hidden="true" name="IQ_HC_ALFS" vbProcedure="false">"c5952"</definedName>
    <definedName function="false" hidden="true" name="IQ_HC_AVG_BEDS_SVC" vbProcedure="false">"c5951"</definedName>
    <definedName function="false" hidden="true" name="IQ_HC_AVG_DAILY_CENSUS" vbProcedure="false">"c5965"</definedName>
    <definedName function="false" hidden="true" name="IQ_HC_AVG_LICENSED_BEDS" vbProcedure="false">"c5949"</definedName>
    <definedName function="false" hidden="true" name="IQ_HC_AVG_LICENSED_BEDS_SF" vbProcedure="false">"c6004"</definedName>
    <definedName function="false" hidden="true" name="IQ_HC_AVG_STAY" vbProcedure="false">"c5966"</definedName>
    <definedName function="false" hidden="true" name="IQ_HC_AVG_STAY_SF" vbProcedure="false">"c6016"</definedName>
    <definedName function="false" hidden="true" name="IQ_HC_BEDS_SVC" vbProcedure="false">"c5950"</definedName>
    <definedName function="false" hidden="true" name="IQ_HC_DAYS_REV_OUT" vbProcedure="false">"c5993"</definedName>
    <definedName function="false" hidden="true" name="IQ_HC_EQUIVALENT_ADMISSIONS" vbProcedure="false">"c5958"</definedName>
    <definedName function="false" hidden="true" name="IQ_HC_EQUIVALENT_ADMISSIONS_SF" vbProcedure="false">"c6007"</definedName>
    <definedName function="false" hidden="true" name="IQ_HC_EQUIV_ADMISSIONS_GROWTH" vbProcedure="false">"c5998"</definedName>
    <definedName function="false" hidden="true" name="IQ_HC_ER_VISITS" vbProcedure="false">"c5964"</definedName>
    <definedName function="false" hidden="true" name="IQ_HC_ER_VISITS_SF" vbProcedure="false">"c6017"</definedName>
    <definedName function="false" hidden="true" name="IQ_HC_GROSS_INPATIENT_REV" vbProcedure="false">"c5987"</definedName>
    <definedName function="false" hidden="true" name="IQ_HC_GROSS_OUTPATIENT_REV" vbProcedure="false">"c5988"</definedName>
    <definedName function="false" hidden="true" name="IQ_HC_GROSS_PATIENT_REV" vbProcedure="false">"c5989"</definedName>
    <definedName function="false" hidden="true" name="IQ_HC_HOSP_FACILITIES_CONSOL" vbProcedure="false">"c5945"</definedName>
    <definedName function="false" hidden="true" name="IQ_HC_HOSP_FACILITIES_CONSOL_SF" vbProcedure="false">"c6000"</definedName>
    <definedName function="false" hidden="true" name="IQ_HC_HOSP_FACILITIES_NON_CONSOL" vbProcedure="false">"c5946"</definedName>
    <definedName function="false" hidden="true" name="IQ_HC_HOSP_FACILITIES_NON_CONSOL_SF" vbProcedure="false">"c6001"</definedName>
    <definedName function="false" hidden="true" name="IQ_HC_HOSP_FACILITIES_TOTAL" vbProcedure="false">"c5947"</definedName>
    <definedName function="false" hidden="true" name="IQ_HC_HOSP_FACILITIES_TOTAL_SF" vbProcedure="false">"c6002"</definedName>
    <definedName function="false" hidden="true" name="IQ_HC_INPATIENT_PROCEDURES" vbProcedure="false">"c5961"</definedName>
    <definedName function="false" hidden="true" name="IQ_HC_INPATIENT_PROCEDURES_SF" vbProcedure="false">"c6011"</definedName>
    <definedName function="false" hidden="true" name="IQ_HC_INPATIENT_REV_PER_ADMISSION" vbProcedure="false">"c5994"</definedName>
    <definedName function="false" hidden="true" name="IQ_HC_INTPATIENT_SVCS_PCT_REV" vbProcedure="false">"c5975"</definedName>
    <definedName function="false" hidden="true" name="IQ_HC_INTPATIENT_SVCS_PCT_REV_SF" vbProcedure="false">"c6015"</definedName>
    <definedName function="false" hidden="true" name="IQ_HC_LICENSED_BEDS" vbProcedure="false">"c5948"</definedName>
    <definedName function="false" hidden="true" name="IQ_HC_LICENSED_BEDS_SF" vbProcedure="false">"c6003"</definedName>
    <definedName function="false" hidden="true" name="IQ_HC_MANAGED_CARE_PCT_ADMISSIONS" vbProcedure="false">"c5982"</definedName>
    <definedName function="false" hidden="true" name="IQ_HC_MANAGED_CARE_PCT_REV" vbProcedure="false">"c5978"</definedName>
    <definedName function="false" hidden="true" name="IQ_HC_MEDICAID_PCT_ADMISSIONS" vbProcedure="false">"c5981"</definedName>
    <definedName function="false" hidden="true" name="IQ_HC_MEDICAID_PCT_REV" vbProcedure="false">"c5977"</definedName>
    <definedName function="false" hidden="true" name="IQ_HC_MEDICARE_PCT_ADMISSIONS" vbProcedure="false">"c5980"</definedName>
    <definedName function="false" hidden="true" name="IQ_HC_MEDICARE_PCT_REV" vbProcedure="false">"c5976"</definedName>
    <definedName function="false" hidden="true" name="IQ_HC_NET_INPATIENT_REV" vbProcedure="false">"c5984"</definedName>
    <definedName function="false" hidden="true" name="IQ_HC_NET_OUTPATIENT_REV" vbProcedure="false">"c5985"</definedName>
    <definedName function="false" hidden="true" name="IQ_HC_NET_PATIENT_REV" vbProcedure="false">"c5986"</definedName>
    <definedName function="false" hidden="true" name="IQ_HC_NET_PATIENT_REV_SF" vbProcedure="false">"c6005"</definedName>
    <definedName function="false" hidden="true" name="IQ_HC_OCC_RATE" vbProcedure="false">"c5967"</definedName>
    <definedName function="false" hidden="true" name="IQ_HC_OCC_RATE_LICENSED_BEDS" vbProcedure="false">"c5968"</definedName>
    <definedName function="false" hidden="true" name="IQ_HC_OCC_RATE_SF" vbProcedure="false">"c6009"</definedName>
    <definedName function="false" hidden="true" name="IQ_HC_OPEX_SUPPLIES" vbProcedure="false">"c5990"</definedName>
    <definedName function="false" hidden="true" name="IQ_HC_OTHER_OPEX_PCT_REV" vbProcedure="false">"c5973"</definedName>
    <definedName function="false" hidden="true" name="IQ_HC_OUTPATIENT_PROCEDURES" vbProcedure="false">"c5962"</definedName>
    <definedName function="false" hidden="true" name="IQ_HC_OUTPATIENT_PROCEDURES_SF" vbProcedure="false">"c6012"</definedName>
    <definedName function="false" hidden="true" name="IQ_HC_OUTPATIENT_REV_PER_ADMISSION" vbProcedure="false">"c5995"</definedName>
    <definedName function="false" hidden="true" name="IQ_HC_OUTPATIENT_SVCS_PCT_REV" vbProcedure="false">"c5974"</definedName>
    <definedName function="false" hidden="true" name="IQ_HC_OUTPATIENT_SVCS_PCT_REV_SF" vbProcedure="false">"c6014"</definedName>
    <definedName function="false" hidden="true" name="IQ_HC_PATIENT_DAYS" vbProcedure="false">"c5960"</definedName>
    <definedName function="false" hidden="true" name="IQ_HC_PATIENT_DAYS_SF" vbProcedure="false">"c6010"</definedName>
    <definedName function="false" hidden="true" name="IQ_HC_PROF_GEN_LIAB_CLAIM_PAID" vbProcedure="false">"c5991"</definedName>
    <definedName function="false" hidden="true" name="IQ_HC_PROF_GEN_LIAB_EXP_BENEFIT" vbProcedure="false">"c5992"</definedName>
    <definedName function="false" hidden="true" name="IQ_HC_PROVISION_DOUBTFUL_PCT_REV" vbProcedure="false">"c5972"</definedName>
    <definedName function="false" hidden="true" name="IQ_HC_REV_GROWTH" vbProcedure="false">"c5996"</definedName>
    <definedName function="false" hidden="true" name="IQ_HC_REV_PER_EQUIV_ADMISSION" vbProcedure="false">"c5959"</definedName>
    <definedName function="false" hidden="true" name="IQ_HC_REV_PER_EQUIV_ADMISSIONS_GROWTH" vbProcedure="false">"c5999"</definedName>
    <definedName function="false" hidden="true" name="IQ_HC_REV_PER_EQUIV_ADMISSION_SF" vbProcedure="false">"c6008"</definedName>
    <definedName function="false" hidden="true" name="IQ_HC_REV_PER_PATIENT_DAY" vbProcedure="false">"c5969"</definedName>
    <definedName function="false" hidden="true" name="IQ_HC_REV_PER_PATIENT_DAY_SF" vbProcedure="false">"c6018"</definedName>
    <definedName function="false" hidden="true" name="IQ_HC_SALARIES_PCT_REV" vbProcedure="false">"c5970"</definedName>
    <definedName function="false" hidden="true" name="IQ_HC_SUPPLIES_PCT_REV" vbProcedure="false">"c5971"</definedName>
    <definedName function="false" hidden="true" name="IQ_HC_TOTAL_PROCEDURES" vbProcedure="false">"c5963"</definedName>
    <definedName function="false" hidden="true" name="IQ_HC_TOTAL_PROCEDURES_SF" vbProcedure="false">"c6013"</definedName>
    <definedName function="false" hidden="true" name="IQ_HC_UNINSURED_PCT_ADMISSIONS" vbProcedure="false">"c5983"</definedName>
    <definedName function="false" hidden="true" name="IQ_HC_UNINSURED_PCT_REV" vbProcedure="false">"c5979"</definedName>
    <definedName function="false" hidden="true" name="IQ_HELD_MATURITY_FDIC" vbProcedure="false">"c6408"</definedName>
    <definedName function="false" hidden="true" name="IQ_HIGHPRICE" vbProcedure="false">"c545"</definedName>
    <definedName function="false" hidden="true" name="IQ_HIGH_TARGET_PRICE" vbProcedure="false">"c1651"</definedName>
    <definedName function="false" hidden="true" name="IQ_HIGH_TARGET_PRICE_CIQ" vbProcedure="false">"c4659"</definedName>
    <definedName function="false" hidden="true" name="IQ_HIGH_TARGET_PRICE_REUT" vbProcedure="false">"c5317"</definedName>
    <definedName function="false" hidden="true" name="IQ_HOMEOWNERS_WRITTEN" vbProcedure="false">"c546"</definedName>
    <definedName function="false" hidden="true" name="IQ_HOME_AVG_LOAN_SIZE" vbProcedure="false">"c5911"</definedName>
    <definedName function="false" hidden="true" name="IQ_HOME_BACKLOG" vbProcedure="false">"c5844"</definedName>
    <definedName function="false" hidden="true" name="IQ_HOME_BACKLOG_AVG_JV" vbProcedure="false">"c5848"</definedName>
    <definedName function="false" hidden="true" name="IQ_HOME_BACKLOG_AVG_JV_GROWTH" vbProcedure="false">"c5928"</definedName>
    <definedName function="false" hidden="true" name="IQ_HOME_BACKLOG_AVG_JV_INC" vbProcedure="false">"c5851"</definedName>
    <definedName function="false" hidden="true" name="IQ_HOME_BACKLOG_AVG_JV_INC_GROWTH" vbProcedure="false">"c5931"</definedName>
    <definedName function="false" hidden="true" name="IQ_HOME_BACKLOG_AVG_PRICE" vbProcedure="false">"c5845"</definedName>
    <definedName function="false" hidden="true" name="IQ_HOME_BACKLOG_AVG_PRICE_GROWTH" vbProcedure="false">"c5925"</definedName>
    <definedName function="false" hidden="true" name="IQ_HOME_BACKLOG_GROWTH" vbProcedure="false">"c5924"</definedName>
    <definedName function="false" hidden="true" name="IQ_HOME_BACKLOG_JV" vbProcedure="false">"c5847"</definedName>
    <definedName function="false" hidden="true" name="IQ_HOME_BACKLOG_JV_GROWTH" vbProcedure="false">"c5927"</definedName>
    <definedName function="false" hidden="true" name="IQ_HOME_BACKLOG_JV_INC" vbProcedure="false">"c5850"</definedName>
    <definedName function="false" hidden="true" name="IQ_HOME_BACKLOG_JV_INC_GROWTH" vbProcedure="false">"c5930"</definedName>
    <definedName function="false" hidden="true" name="IQ_HOME_BACKLOG_VALUE" vbProcedure="false">"c5846"</definedName>
    <definedName function="false" hidden="true" name="IQ_HOME_BACKLOG_VALUE_GROWTH" vbProcedure="false">"c5926"</definedName>
    <definedName function="false" hidden="true" name="IQ_HOME_BACKLOG_VALUE_JV" vbProcedure="false">"c5849"</definedName>
    <definedName function="false" hidden="true" name="IQ_HOME_BACKLOG_VALUE_JV_GROWTH" vbProcedure="false">"c5929"</definedName>
    <definedName function="false" hidden="true" name="IQ_HOME_BACKLOG_VALUE_JV_INC" vbProcedure="false">"c5852"</definedName>
    <definedName function="false" hidden="true" name="IQ_HOME_BACKLOG_VALUE_JV_INC_GROWTH" vbProcedure="false">"c5932"</definedName>
    <definedName function="false" hidden="true" name="IQ_HOME_COMMUNITIES_ACTIVE" vbProcedure="false">"c5862"</definedName>
    <definedName function="false" hidden="true" name="IQ_HOME_COMMUNITIES_ACTIVE_GROWTH" vbProcedure="false">"c5942"</definedName>
    <definedName function="false" hidden="true" name="IQ_HOME_COMMUNITIES_ACTIVE_JV" vbProcedure="false">"c5863"</definedName>
    <definedName function="false" hidden="true" name="IQ_HOME_COMMUNITIES_ACTIVE_JV_GROWTH" vbProcedure="false">"c5943"</definedName>
    <definedName function="false" hidden="true" name="IQ_HOME_COMMUNITIES_ACTIVE_JV_INC" vbProcedure="false">"c5864"</definedName>
    <definedName function="false" hidden="true" name="IQ_HOME_COMMUNITIES_ACTIVE_JV_INC_GROWTH" vbProcedure="false">"c5944"</definedName>
    <definedName function="false" hidden="true" name="IQ_HOME_COST_CONSTRUCTION_SVCS" vbProcedure="false">"c5882"</definedName>
    <definedName function="false" hidden="true" name="IQ_HOME_COST_ELIMINATIONS_OTHER" vbProcedure="false">"c5883"</definedName>
    <definedName function="false" hidden="true" name="IQ_HOME_COST_FINANCIAL_SVCS" vbProcedure="false">"c5881"</definedName>
    <definedName function="false" hidden="true" name="IQ_HOME_COST_HOUSING" vbProcedure="false">"c5877"</definedName>
    <definedName function="false" hidden="true" name="IQ_HOME_COST_LAND_LOT" vbProcedure="false">"c5878"</definedName>
    <definedName function="false" hidden="true" name="IQ_HOME_COST_OTHER_HOMEBUILDING" vbProcedure="false">"c5879"</definedName>
    <definedName function="false" hidden="true" name="IQ_HOME_COST_TOTAL" vbProcedure="false">"c5884"</definedName>
    <definedName function="false" hidden="true" name="IQ_HOME_COST_TOTAL_HOMEBUILDING" vbProcedure="false">"c5880"</definedName>
    <definedName function="false" hidden="true" name="IQ_HOME_DELIVERED" vbProcedure="false">"c5835"</definedName>
    <definedName function="false" hidden="true" name="IQ_HOME_DELIVERED_AVG_PRICE" vbProcedure="false">"c5836"</definedName>
    <definedName function="false" hidden="true" name="IQ_HOME_DELIVERED_AVG_PRICE_GROWTH" vbProcedure="false">"c5916"</definedName>
    <definedName function="false" hidden="true" name="IQ_HOME_DELIVERED_AVG_PRICE_JV" vbProcedure="false">"c5839"</definedName>
    <definedName function="false" hidden="true" name="IQ_HOME_DELIVERED_AVG_PRICE_JV_GROWTH" vbProcedure="false">"c5919"</definedName>
    <definedName function="false" hidden="true" name="IQ_HOME_DELIVERED_AVG_PRICE_JV_INC" vbProcedure="false">"c5842"</definedName>
    <definedName function="false" hidden="true" name="IQ_HOME_DELIVERED_AVG_PRICE_JV_INC_GROWTH" vbProcedure="false">"c5922"</definedName>
    <definedName function="false" hidden="true" name="IQ_HOME_DELIVERED_GROWTH" vbProcedure="false">"c5915"</definedName>
    <definedName function="false" hidden="true" name="IQ_HOME_DELIVERED_JV" vbProcedure="false">"c5838"</definedName>
    <definedName function="false" hidden="true" name="IQ_HOME_DELIVERED_JV_GROWTH" vbProcedure="false">"c5918"</definedName>
    <definedName function="false" hidden="true" name="IQ_HOME_DELIVERED_JV_INC" vbProcedure="false">"c5841"</definedName>
    <definedName function="false" hidden="true" name="IQ_HOME_DELIVERED_JV_INC_GROWTH" vbProcedure="false">"c5921"</definedName>
    <definedName function="false" hidden="true" name="IQ_HOME_DELIVERED_VALUE" vbProcedure="false">"c5837"</definedName>
    <definedName function="false" hidden="true" name="IQ_HOME_DELIVERED_VALUE_GROWTH" vbProcedure="false">"c5917"</definedName>
    <definedName function="false" hidden="true" name="IQ_HOME_DELIVERED_VALUE_JV" vbProcedure="false">"c5840"</definedName>
    <definedName function="false" hidden="true" name="IQ_HOME_DELIVERED_VALUE_JV_GROWTH" vbProcedure="false">"c5920"</definedName>
    <definedName function="false" hidden="true" name="IQ_HOME_DELIVERED_VALUE_JV_INC" vbProcedure="false">"c5843"</definedName>
    <definedName function="false" hidden="true" name="IQ_HOME_DELIVERED_VALUE_JV_INC_GROWTH" vbProcedure="false">"c5923"</definedName>
    <definedName function="false" hidden="true" name="IQ_HOME_EQUITY_LOC_NET_CHARGE_OFFS_FDIC" vbProcedure="false">"c6644"</definedName>
    <definedName function="false" hidden="true" name="IQ_HOME_EQUITY_LOC_TOTAL_CHARGE_OFFS_FDIC" vbProcedure="false">"c6606"</definedName>
    <definedName function="false" hidden="true" name="IQ_HOME_EQUITY_LOC_TOTAL_RECOVERIES_FDIC" vbProcedure="false">"c6625"</definedName>
    <definedName function="false" hidden="true" name="IQ_HOME_FINISHED_HOMES_CIP" vbProcedure="false">"c5865"</definedName>
    <definedName function="false" hidden="true" name="IQ_HOME_FIRSTLIEN_MORT_ORIGINATED" vbProcedure="false">"c5905"</definedName>
    <definedName function="false" hidden="true" name="IQ_HOME_FIRSTLIEN_MORT_ORIGINATED_VOL" vbProcedure="false">"c5908"</definedName>
    <definedName function="false" hidden="true" name="IQ_HOME_HUC" vbProcedure="false">"c5822"</definedName>
    <definedName function="false" hidden="true" name="IQ_HOME_HUC_JV" vbProcedure="false">"c5823"</definedName>
    <definedName function="false" hidden="true" name="IQ_HOME_HUC_JV_INC" vbProcedure="false">"c5824"</definedName>
    <definedName function="false" hidden="true" name="IQ_HOME_INV_NOT_OWNED" vbProcedure="false">"c5868"</definedName>
    <definedName function="false" hidden="true" name="IQ_HOME_LAND_DEVELOPMENT" vbProcedure="false">"c5866"</definedName>
    <definedName function="false" hidden="true" name="IQ_HOME_LAND_FUTURE_DEVELOPMENT" vbProcedure="false">"c5867"</definedName>
    <definedName function="false" hidden="true" name="IQ_HOME_LOANS_SOLD_COUNT" vbProcedure="false">"c5912"</definedName>
    <definedName function="false" hidden="true" name="IQ_HOME_LOANS_SOLD_VALUE" vbProcedure="false">"c5913"</definedName>
    <definedName function="false" hidden="true" name="IQ_HOME_LOAN_APPLICATIONS" vbProcedure="false">"c5910"</definedName>
    <definedName function="false" hidden="true" name="IQ_HOME_LOTS_CONTROLLED" vbProcedure="false">"c5831"</definedName>
    <definedName function="false" hidden="true" name="IQ_HOME_LOTS_FINISHED" vbProcedure="false">"c5827"</definedName>
    <definedName function="false" hidden="true" name="IQ_HOME_LOTS_HELD_SALE" vbProcedure="false">"c5830"</definedName>
    <definedName function="false" hidden="true" name="IQ_HOME_LOTS_JV" vbProcedure="false">"c5833"</definedName>
    <definedName function="false" hidden="true" name="IQ_HOME_LOTS_JV_INC" vbProcedure="false">"c5834"</definedName>
    <definedName function="false" hidden="true" name="IQ_HOME_LOTS_OTHER" vbProcedure="false">"c5832"</definedName>
    <definedName function="false" hidden="true" name="IQ_HOME_LOTS_OWNED" vbProcedure="false">"c5828"</definedName>
    <definedName function="false" hidden="true" name="IQ_HOME_LOTS_UNDER_DEVELOPMENT" vbProcedure="false">"c5826"</definedName>
    <definedName function="false" hidden="true" name="IQ_HOME_LOTS_UNDER_OPTION" vbProcedure="false">"c5829"</definedName>
    <definedName function="false" hidden="true" name="IQ_HOME_LOTS_UNDEVELOPED" vbProcedure="false">"c5825"</definedName>
    <definedName function="false" hidden="true" name="IQ_HOME_MORT_CAPTURE_RATE" vbProcedure="false">"c5906"</definedName>
    <definedName function="false" hidden="true" name="IQ_HOME_MORT_ORIGINATED" vbProcedure="false">"c5907"</definedName>
    <definedName function="false" hidden="true" name="IQ_HOME_OBLIGATIONS_INV_NOT_OWNED" vbProcedure="false">"c5914"</definedName>
    <definedName function="false" hidden="true" name="IQ_HOME_ORDERS" vbProcedure="false">"c5853"</definedName>
    <definedName function="false" hidden="true" name="IQ_HOME_ORDERS_AVG_PRICE" vbProcedure="false">"c5854"</definedName>
    <definedName function="false" hidden="true" name="IQ_HOME_ORDERS_AVG_PRICE_GROWTH" vbProcedure="false">"c5934"</definedName>
    <definedName function="false" hidden="true" name="IQ_HOME_ORDERS_AVG_PRICE_JV" vbProcedure="false">"c5857"</definedName>
    <definedName function="false" hidden="true" name="IQ_HOME_ORDERS_AVG_PRICE_JV_GROWTH" vbProcedure="false">"c5937"</definedName>
    <definedName function="false" hidden="true" name="IQ_HOME_ORDERS_AVG_PRICE_JV_INC" vbProcedure="false">"c5860"</definedName>
    <definedName function="false" hidden="true" name="IQ_HOME_ORDERS_AVG_PRICE_JV_INC_GROWTH" vbProcedure="false">"c5940"</definedName>
    <definedName function="false" hidden="true" name="IQ_HOME_ORDERS_GROWTH" vbProcedure="false">"c5933"</definedName>
    <definedName function="false" hidden="true" name="IQ_HOME_ORDERS_JV" vbProcedure="false">"c5856"</definedName>
    <definedName function="false" hidden="true" name="IQ_HOME_ORDERS_JV_GROWTH" vbProcedure="false">"c5936"</definedName>
    <definedName function="false" hidden="true" name="IQ_HOME_ORDERS_JV_INC" vbProcedure="false">"c5859"</definedName>
    <definedName function="false" hidden="true" name="IQ_HOME_ORDERS_JV_INC_GROWTH" vbProcedure="false">"c5939"</definedName>
    <definedName function="false" hidden="true" name="IQ_HOME_ORDERS_VALUE" vbProcedure="false">"c5855"</definedName>
    <definedName function="false" hidden="true" name="IQ_HOME_ORDERS_VALUE_GROWTH" vbProcedure="false">"c5935"</definedName>
    <definedName function="false" hidden="true" name="IQ_HOME_ORDERS_VALUE_JV" vbProcedure="false">"c5858"</definedName>
    <definedName function="false" hidden="true" name="IQ_HOME_ORDERS_VALUE_JV_GROWTH" vbProcedure="false">"c5938"</definedName>
    <definedName function="false" hidden="true" name="IQ_HOME_ORDERS_VALUE_JV_INC" vbProcedure="false">"c5861"</definedName>
    <definedName function="false" hidden="true" name="IQ_HOME_ORDERS_VALUE_JV_INC_GROWTH" vbProcedure="false">"c5941"</definedName>
    <definedName function="false" hidden="true" name="IQ_HOME_ORIGINATION_TOTAL" vbProcedure="false">"c5909"</definedName>
    <definedName function="false" hidden="true" name="IQ_HOME_PRETAX_INC_CONSTRUCTION_SVCS" vbProcedure="false">"c5890"</definedName>
    <definedName function="false" hidden="true" name="IQ_HOME_PRETAX_INC_ELIMINATIONS_OTHER" vbProcedure="false">"c5891"</definedName>
    <definedName function="false" hidden="true" name="IQ_HOME_PRETAX_INC_FINANCIAL_SVCS" vbProcedure="false">"c5889"</definedName>
    <definedName function="false" hidden="true" name="IQ_HOME_PRETAX_INC_HOUSING" vbProcedure="false">"c5885"</definedName>
    <definedName function="false" hidden="true" name="IQ_HOME_PRETAX_INC_LAND_LOT" vbProcedure="false">"c5886"</definedName>
    <definedName function="false" hidden="true" name="IQ_HOME_PRETAX_INC_OTHER_HOMEBUILDING" vbProcedure="false">"c5887"</definedName>
    <definedName function="false" hidden="true" name="IQ_HOME_PRETAX_INC_TOTAL" vbProcedure="false">"c5892"</definedName>
    <definedName function="false" hidden="true" name="IQ_HOME_PRETAX_INC_TOTAL_HOMEBUILDING" vbProcedure="false">"c5888"</definedName>
    <definedName function="false" hidden="true" name="IQ_HOME_PURCH_OBLIGATION_1YR" vbProcedure="false">"c5898"</definedName>
    <definedName function="false" hidden="true" name="IQ_HOME_PURCH_OBLIGATION_2YR" vbProcedure="false">"c5899"</definedName>
    <definedName function="false" hidden="true" name="IQ_HOME_PURCH_OBLIGATION_3YR" vbProcedure="false">"c5900"</definedName>
    <definedName function="false" hidden="true" name="IQ_HOME_PURCH_OBLIGATION_4YR" vbProcedure="false">"c5901"</definedName>
    <definedName function="false" hidden="true" name="IQ_HOME_PURCH_OBLIGATION_5YR" vbProcedure="false">"c5902"</definedName>
    <definedName function="false" hidden="true" name="IQ_HOME_PURCH_OBLIGATION_AFTER5" vbProcedure="false">"c5903"</definedName>
    <definedName function="false" hidden="true" name="IQ_HOME_PURCH_OBLIGATION_TOTAL" vbProcedure="false">"c5904"</definedName>
    <definedName function="false" hidden="true" name="IQ_HOME_REV_CONSTRUCTION_SERVICES" vbProcedure="false">"c5874"</definedName>
    <definedName function="false" hidden="true" name="IQ_HOME_REV_ELIMINATIONS_OTHER" vbProcedure="false">"c5875"</definedName>
    <definedName function="false" hidden="true" name="IQ_HOME_REV_FINANCIAL_SERVICES" vbProcedure="false">"c5873"</definedName>
    <definedName function="false" hidden="true" name="IQ_HOME_REV_HOUSING" vbProcedure="false">"c5872"</definedName>
    <definedName function="false" hidden="true" name="IQ_HOME_REV_LAND_LOT" vbProcedure="false">"c5870"</definedName>
    <definedName function="false" hidden="true" name="IQ_HOME_REV_OTHER_HOMEBUILDING" vbProcedure="false">"c5871"</definedName>
    <definedName function="false" hidden="true" name="IQ_HOME_REV_TOTAL" vbProcedure="false">"c5876"</definedName>
    <definedName function="false" hidden="true" name="IQ_HOME_TOTAL_INV" vbProcedure="false">"c5869"</definedName>
    <definedName function="false" hidden="true" name="IQ_HOME_WARRANTY_RES_BEG" vbProcedure="false">"c5893"</definedName>
    <definedName function="false" hidden="true" name="IQ_HOME_WARRANTY_RES_END" vbProcedure="false">"c5897"</definedName>
    <definedName function="false" hidden="true" name="IQ_HOME_WARRANTY_RES_ISS" vbProcedure="false">"c5894"</definedName>
    <definedName function="false" hidden="true" name="IQ_HOME_WARRANTY_RES_OTHER" vbProcedure="false">"c5896"</definedName>
    <definedName function="false" hidden="true" name="IQ_HOME_WARRANTY_RES_PAY" vbProcedure="false">"c5895"</definedName>
    <definedName function="false" hidden="true" name="IQ_IMPAIRMENT_GW" vbProcedure="false">"c548"</definedName>
    <definedName function="false" hidden="true" name="IQ_IMPAIR_OIL" vbProcedure="false">"c547"</definedName>
    <definedName function="false" hidden="true" name="IQ_IMPUT_OPER_LEASE_DEPR" vbProcedure="false">"c2987"</definedName>
    <definedName function="false" hidden="true" name="IQ_IMPUT_OPER_LEASE_INT_EXP" vbProcedure="false">"c2986"</definedName>
    <definedName function="false" hidden="true" name="IQ_INCIDENTAL_CHANGES_BUSINESS_COMBINATIONS_FDIC" vbProcedure="false">"c6502"</definedName>
    <definedName function="false" hidden="true" name="IQ_INCOME_BEFORE_EXTRA_FDIC" vbProcedure="false">"c6585"</definedName>
    <definedName function="false" hidden="true" name="IQ_INCOME_EARNED_FDIC" vbProcedure="false">"c6359"</definedName>
    <definedName function="false" hidden="true" name="IQ_INCOME_TAXES_FDIC" vbProcedure="false">"c6582"</definedName>
    <definedName function="false" hidden="true" name="IQ_INC_AFTER_TAX" vbProcedure="false">"c1598"</definedName>
    <definedName function="false" hidden="true" name="IQ_INC_AVAIL_EXCL" vbProcedure="false">"c1395"</definedName>
    <definedName function="false" hidden="true" name="IQ_INC_AVAIL_INCL" vbProcedure="false">"c1396"</definedName>
    <definedName function="false" hidden="true" name="IQ_INC_BEFORE_TAX" vbProcedure="false">"c1375"</definedName>
    <definedName function="false" hidden="true" name="IQ_INC_EQUITY" vbProcedure="false">"c549"</definedName>
    <definedName function="false" hidden="true" name="IQ_INC_EQUITY_BR" vbProcedure="false">"c550"</definedName>
    <definedName function="false" hidden="true" name="IQ_INC_EQUITY_CF" vbProcedure="false">"c551"</definedName>
    <definedName function="false" hidden="true" name="IQ_INC_EQUITY_FIN" vbProcedure="false">"c552"</definedName>
    <definedName function="false" hidden="true" name="IQ_INC_EQUITY_INS" vbProcedure="false">"c553"</definedName>
    <definedName function="false" hidden="true" name="IQ_INC_EQUITY_RE" vbProcedure="false">"c6222"</definedName>
    <definedName function="false" hidden="true" name="IQ_INC_EQUITY_REC_BNK" vbProcedure="false">"c554"</definedName>
    <definedName function="false" hidden="true" name="IQ_INC_EQUITY_REIT" vbProcedure="false">"c555"</definedName>
    <definedName function="false" hidden="true" name="IQ_INC_EQUITY_REV_BNK" vbProcedure="false">"c556"</definedName>
    <definedName function="false" hidden="true" name="IQ_INC_EQUITY_UTI" vbProcedure="false">"c557"</definedName>
    <definedName function="false" hidden="true" name="IQ_INC_REAL_ESTATE_REC" vbProcedure="false">"c558"</definedName>
    <definedName function="false" hidden="true" name="IQ_INC_REAL_ESTATE_REV" vbProcedure="false">"c559"</definedName>
    <definedName function="false" hidden="true" name="IQ_INC_TAX" vbProcedure="false">"c560"</definedName>
    <definedName function="false" hidden="true" name="IQ_INC_TAX_EXCL" vbProcedure="false">"c1599"</definedName>
    <definedName function="false" hidden="true" name="IQ_INC_TAX_PAY_CURRENT" vbProcedure="false">"c561"</definedName>
    <definedName function="false" hidden="true" name="IQ_INC_TRADE_ACT" vbProcedure="false">"c562"</definedName>
    <definedName function="false" hidden="true" name="IQ_INDIVIDUALS_CHARGE_OFFS_FDIC" vbProcedure="false">"c6599"</definedName>
    <definedName function="false" hidden="true" name="IQ_INDIVIDUALS_LOANS_FDIC" vbProcedure="false">"c6318"</definedName>
    <definedName function="false" hidden="true" name="IQ_INDIVIDUALS_NET_CHARGE_OFFS_FDIC" vbProcedure="false">"c6637"</definedName>
    <definedName function="false" hidden="true" name="IQ_INDIVIDUALS_OTHER_LOANS_FDIC" vbProcedure="false">"c6321"</definedName>
    <definedName function="false" hidden="true" name="IQ_INDIVIDUALS_PARTNERSHIPS_CORP_DEPOSITS_FOREIGN_FDIC" vbProcedure="false">"c6479"</definedName>
    <definedName function="false" hidden="true" name="IQ_INDIVIDUALS_PARTNERSHIPS_CORP_NONTRANSACTION_ACCOUNTS_FDIC" vbProcedure="false">"c6545"</definedName>
    <definedName function="false" hidden="true" name="IQ_INDIVIDUALS_PARTNERSHIPS_CORP_TOTAL_DEPOSITS_FDIC" vbProcedure="false">"c6471"</definedName>
    <definedName function="false" hidden="true" name="IQ_INDIVIDUALS_PARTNERSHIPS_CORP_TRANSACTION_ACCOUNTS_FDIC" vbProcedure="false">"c6537"</definedName>
    <definedName function="false" hidden="true" name="IQ_INDIVIDUALS_RECOVERIES_FDIC" vbProcedure="false">"c6618"</definedName>
    <definedName function="false" hidden="true" name="IQ_INDUSTRY" vbProcedure="false">"c3601"</definedName>
    <definedName function="false" hidden="true" name="IQ_INDUSTRY_GROUP" vbProcedure="false">"c3602"</definedName>
    <definedName function="false" hidden="true" name="IQ_INDUSTRY_SECTOR" vbProcedure="false">"c3603"</definedName>
    <definedName function="false" hidden="true" name="IQ_INSIDER_3MTH_BOUGHT_PCT" vbProcedure="false">"c1534"</definedName>
    <definedName function="false" hidden="true" name="IQ_INSIDER_3MTH_NET_PCT" vbProcedure="false">"c1535"</definedName>
    <definedName function="false" hidden="true" name="IQ_INSIDER_3MTH_SOLD_PCT" vbProcedure="false">"c1533"</definedName>
    <definedName function="false" hidden="true" name="IQ_INSIDER_6MTH_BOUGHT_PCT" vbProcedure="false">"c1537"</definedName>
    <definedName function="false" hidden="true" name="IQ_INSIDER_6MTH_NET_PCT" vbProcedure="false">"c1538"</definedName>
    <definedName function="false" hidden="true" name="IQ_INSIDER_6MTH_SOLD_PCT" vbProcedure="false">"c1536"</definedName>
    <definedName function="false" hidden="true" name="IQ_INSIDER_LOANS_FDIC" vbProcedure="false">"c6365"</definedName>
    <definedName function="false" hidden="true" name="IQ_INSIDER_OVER_TOTAL" vbProcedure="false">"c1581"</definedName>
    <definedName function="false" hidden="true" name="IQ_INSIDER_OWNER" vbProcedure="false">"c577"</definedName>
    <definedName function="false" hidden="true" name="IQ_INSIDER_PERCENT" vbProcedure="false">"c578"</definedName>
    <definedName function="false" hidden="true" name="IQ_INSIDER_SHARES" vbProcedure="false">"c579"</definedName>
    <definedName function="false" hidden="true" name="IQ_INSTITUTIONAL_OVER_TOTAL" vbProcedure="false">"c1580"</definedName>
    <definedName function="false" hidden="true" name="IQ_INSTITUTIONAL_OWNER" vbProcedure="false">"c580"</definedName>
    <definedName function="false" hidden="true" name="IQ_INSTITUTIONAL_PERCENT" vbProcedure="false">"c581"</definedName>
    <definedName function="false" hidden="true" name="IQ_INSTITUTIONAL_SHARES" vbProcedure="false">"c582"</definedName>
    <definedName function="false" hidden="true" name="IQ_INSTITUTIONS_EARNINGS_GAINS_FDIC" vbProcedure="false">"c6723"</definedName>
    <definedName function="false" hidden="true" name="IQ_INSURANCE_COMMISSION_FEES_FDIC" vbProcedure="false">"c6670"</definedName>
    <definedName function="false" hidden="true" name="IQ_INSURANCE_UNDERWRITING_INCOME_FDIC" vbProcedure="false">"c6671"</definedName>
    <definedName function="false" hidden="true" name="IQ_INSUR_RECEIV" vbProcedure="false">"c1600"</definedName>
    <definedName function="false" hidden="true" name="IQ_INS_ANNUITY_LIAB" vbProcedure="false">"c563"</definedName>
    <definedName function="false" hidden="true" name="IQ_INS_ANNUITY_REV" vbProcedure="false">"c2788"</definedName>
    <definedName function="false" hidden="true" name="IQ_INS_DIV_EXP" vbProcedure="false">"c564"</definedName>
    <definedName function="false" hidden="true" name="IQ_INS_DIV_REV" vbProcedure="false">"c565"</definedName>
    <definedName function="false" hidden="true" name="IQ_INS_IN_FORCE" vbProcedure="false">"c566"</definedName>
    <definedName function="false" hidden="true" name="IQ_INS_LIAB" vbProcedure="false">"c567"</definedName>
    <definedName function="false" hidden="true" name="IQ_INS_POLICY_EXP" vbProcedure="false">"c568"</definedName>
    <definedName function="false" hidden="true" name="IQ_INS_REV" vbProcedure="false">"c569"</definedName>
    <definedName function="false" hidden="true" name="IQ_INS_SETTLE" vbProcedure="false">"c570"</definedName>
    <definedName function="false" hidden="true" name="IQ_INS_SETTLE_BNK" vbProcedure="false">"c571"</definedName>
    <definedName function="false" hidden="true" name="IQ_INS_SETTLE_BR" vbProcedure="false">"c572"</definedName>
    <definedName function="false" hidden="true" name="IQ_INS_SETTLE_FIN" vbProcedure="false">"c573"</definedName>
    <definedName function="false" hidden="true" name="IQ_INS_SETTLE_INS" vbProcedure="false">"c574"</definedName>
    <definedName function="false" hidden="true" name="IQ_INS_SETTLE_RE" vbProcedure="false">"c6223"</definedName>
    <definedName function="false" hidden="true" name="IQ_INS_SETTLE_REIT" vbProcedure="false">"c575"</definedName>
    <definedName function="false" hidden="true" name="IQ_INS_SETTLE_UTI" vbProcedure="false">"c576"</definedName>
    <definedName function="false" hidden="true" name="IQ_INTANGIBLES_NET" vbProcedure="false">"c1407"</definedName>
    <definedName function="false" hidden="true" name="IQ_INTEREST_BEARING_BALANCES_FDIC" vbProcedure="false">"c6371"</definedName>
    <definedName function="false" hidden="true" name="IQ_INTEREST_BEARING_DEPOSITS_DOMESTIC_FDIC" vbProcedure="false">"c6478"</definedName>
    <definedName function="false" hidden="true" name="IQ_INTEREST_BEARING_DEPOSITS_FDIC" vbProcedure="false">"c6373"</definedName>
    <definedName function="false" hidden="true" name="IQ_INTEREST_BEARING_DEPOSITS_FOREIGN_FDIC" vbProcedure="false">"c6485"</definedName>
    <definedName function="false" hidden="true" name="IQ_INTEREST_CASH_DEPOSITS" vbProcedure="false">"c2255"</definedName>
    <definedName function="false" hidden="true" name="IQ_INTEREST_EXP" vbProcedure="false">"c618"</definedName>
    <definedName function="false" hidden="true" name="IQ_INTEREST_EXP_NET" vbProcedure="false">"c1450"</definedName>
    <definedName function="false" hidden="true" name="IQ_INTEREST_EXP_NON" vbProcedure="false">"c1383"</definedName>
    <definedName function="false" hidden="true" name="IQ_INTEREST_EXP_SUPPL" vbProcedure="false">"c1460"</definedName>
    <definedName function="false" hidden="true" name="IQ_INTEREST_INC" vbProcedure="false">"c1393"</definedName>
    <definedName function="false" hidden="true" name="IQ_INTEREST_INC_NON" vbProcedure="false">"c1384"</definedName>
    <definedName function="false" hidden="true" name="IQ_INTEREST_INVEST_INC" vbProcedure="false">"c619"</definedName>
    <definedName function="false" hidden="true" name="IQ_INTEREST_RATE_CONTRACTS_FDIC" vbProcedure="false">"c6512"</definedName>
    <definedName function="false" hidden="true" name="IQ_INTEREST_RATE_EXPOSURES_FDIC" vbProcedure="false">"c6662"</definedName>
    <definedName function="false" hidden="true" name="IQ_INT_BORROW" vbProcedure="false">"c583"</definedName>
    <definedName function="false" hidden="true" name="IQ_INT_DEMAND_NOTES_FDIC" vbProcedure="false">"c6567"</definedName>
    <definedName function="false" hidden="true" name="IQ_INT_DEPOSITS" vbProcedure="false">"c584"</definedName>
    <definedName function="false" hidden="true" name="IQ_INT_DIV_INC" vbProcedure="false">"c585"</definedName>
    <definedName function="false" hidden="true" name="IQ_INT_DOMESTIC_DEPOSITS_FDIC" vbProcedure="false">"c6564"</definedName>
    <definedName function="false" hidden="true" name="IQ_INT_EXP_BR" vbProcedure="false">"c586"</definedName>
    <definedName function="false" hidden="true" name="IQ_INT_EXP_COVERAGE" vbProcedure="false">"c587"</definedName>
    <definedName function="false" hidden="true" name="IQ_INT_EXP_FIN" vbProcedure="false">"c588"</definedName>
    <definedName function="false" hidden="true" name="IQ_INT_EXP_INCL_CAP" vbProcedure="false">"c2988"</definedName>
    <definedName function="false" hidden="true" name="IQ_INT_EXP_INS" vbProcedure="false">"c589"</definedName>
    <definedName function="false" hidden="true" name="IQ_INT_EXP_LTD" vbProcedure="false">"c2086"</definedName>
    <definedName function="false" hidden="true" name="IQ_INT_EXP_RE" vbProcedure="false">"c6224"</definedName>
    <definedName function="false" hidden="true" name="IQ_INT_EXP_REIT" vbProcedure="false">"c590"</definedName>
    <definedName function="false" hidden="true" name="IQ_INT_EXP_TOTAL" vbProcedure="false">"c591"</definedName>
    <definedName function="false" hidden="true" name="IQ_INT_EXP_TOTAL_FDIC" vbProcedure="false">"c6569"</definedName>
    <definedName function="false" hidden="true" name="IQ_INT_EXP_UTI" vbProcedure="false">"c592"</definedName>
    <definedName function="false" hidden="true" name="IQ_INT_FED_FUNDS_FDIC" vbProcedure="false">"c6566"</definedName>
    <definedName function="false" hidden="true" name="IQ_INT_FOREIGN_DEPOSITS_FDIC" vbProcedure="false">"c6565"</definedName>
    <definedName function="false" hidden="true" name="IQ_INT_INC_BR" vbProcedure="false">"c593"</definedName>
    <definedName function="false" hidden="true" name="IQ_INT_INC_DEPOSITORY_INST_FDIC" vbProcedure="false">"c6558"</definedName>
    <definedName function="false" hidden="true" name="IQ_INT_INC_DOM_LOANS_FDIC" vbProcedure="false">"c6555"</definedName>
    <definedName function="false" hidden="true" name="IQ_INT_INC_FED_FUNDS_FDIC" vbProcedure="false">"c6561"</definedName>
    <definedName function="false" hidden="true" name="IQ_INT_INC_FIN" vbProcedure="false">"c594"</definedName>
    <definedName function="false" hidden="true" name="IQ_INT_INC_FOREIGN_LOANS_FDIC" vbProcedure="false">"c6556"</definedName>
    <definedName function="false" hidden="true" name="IQ_INT_INC_INVEST" vbProcedure="false">"c595"</definedName>
    <definedName function="false" hidden="true" name="IQ_INT_INC_LEASE_RECEIVABLES_FDIC" vbProcedure="false">"c6557"</definedName>
    <definedName function="false" hidden="true" name="IQ_INT_INC_LOANS" vbProcedure="false">"c596"</definedName>
    <definedName function="false" hidden="true" name="IQ_INT_INC_OTHER_FDIC" vbProcedure="false">"c6562"</definedName>
    <definedName function="false" hidden="true" name="IQ_INT_INC_RE" vbProcedure="false">"c6225"</definedName>
    <definedName function="false" hidden="true" name="IQ_INT_INC_REIT" vbProcedure="false">"c597"</definedName>
    <definedName function="false" hidden="true" name="IQ_INT_INC_SECURITIES_FDIC" vbProcedure="false">"c6559"</definedName>
    <definedName function="false" hidden="true" name="IQ_INT_INC_TOTAL" vbProcedure="false">"c598"</definedName>
    <definedName function="false" hidden="true" name="IQ_INT_INC_TOTAL_FDIC" vbProcedure="false">"c6563"</definedName>
    <definedName function="false" hidden="true" name="IQ_INT_INC_TRADING_ACCOUNTS_FDIC" vbProcedure="false">"c6560"</definedName>
    <definedName function="false" hidden="true" name="IQ_INT_INC_UTI" vbProcedure="false">"c599"</definedName>
    <definedName function="false" hidden="true" name="IQ_INT_INV_INC" vbProcedure="false">"c600"</definedName>
    <definedName function="false" hidden="true" name="IQ_INT_INV_INC_RE" vbProcedure="false">"c6226"</definedName>
    <definedName function="false" hidden="true" name="IQ_INT_INV_INC_REIT" vbProcedure="false">"c601"</definedName>
    <definedName function="false" hidden="true" name="IQ_INT_INV_INC_UTI" vbProcedure="false">"c602"</definedName>
    <definedName function="false" hidden="true" name="IQ_INT_ON_BORROWING_COVERAGE" vbProcedure="false">"c603"</definedName>
    <definedName function="false" hidden="true" name="IQ_INT_RATE_SPREAD" vbProcedure="false">"c604"</definedName>
    <definedName function="false" hidden="true" name="IQ_INT_SUB_NOTES_FDIC" vbProcedure="false">"c6568"</definedName>
    <definedName function="false" hidden="true" name="IQ_INVENTORY" vbProcedure="false">"c622"</definedName>
    <definedName function="false" hidden="true" name="IQ_INVENTORY_TURNS" vbProcedure="false">"c623"</definedName>
    <definedName function="false" hidden="true" name="IQ_INVENTORY_UTI" vbProcedure="false">"c624"</definedName>
    <definedName function="false" hidden="true" name="IQ_INVESTMENT_BANKING_OTHER_FEES_FDIC" vbProcedure="false">"c6666"</definedName>
    <definedName function="false" hidden="true" name="IQ_INVEST_DEBT" vbProcedure="false">"c625"</definedName>
    <definedName function="false" hidden="true" name="IQ_INVEST_EQUITY_PREF" vbProcedure="false">"c626"</definedName>
    <definedName function="false" hidden="true" name="IQ_INVEST_FHLB" vbProcedure="false">"c627"</definedName>
    <definedName function="false" hidden="true" name="IQ_INVEST_GOV_SECURITY" vbProcedure="false">"c5510"</definedName>
    <definedName function="false" hidden="true" name="IQ_INVEST_LOANS_CF" vbProcedure="false">"c628"</definedName>
    <definedName function="false" hidden="true" name="IQ_INVEST_LOANS_CF_BNK" vbProcedure="false">"c629"</definedName>
    <definedName function="false" hidden="true" name="IQ_INVEST_LOANS_CF_BR" vbProcedure="false">"c630"</definedName>
    <definedName function="false" hidden="true" name="IQ_INVEST_LOANS_CF_FIN" vbProcedure="false">"c631"</definedName>
    <definedName function="false" hidden="true" name="IQ_INVEST_LOANS_CF_INS" vbProcedure="false">"c632"</definedName>
    <definedName function="false" hidden="true" name="IQ_INVEST_LOANS_CF_RE" vbProcedure="false">"c6227"</definedName>
    <definedName function="false" hidden="true" name="IQ_INVEST_LOANS_CF_REIT" vbProcedure="false">"c633"</definedName>
    <definedName function="false" hidden="true" name="IQ_INVEST_LOANS_CF_UTI" vbProcedure="false">"c634"</definedName>
    <definedName function="false" hidden="true" name="IQ_INVEST_MUNI_SECURITY" vbProcedure="false">"c5512"</definedName>
    <definedName function="false" hidden="true" name="IQ_INVEST_REAL_ESTATE" vbProcedure="false">"c635"</definedName>
    <definedName function="false" hidden="true" name="IQ_INVEST_SECURITY" vbProcedure="false">"c636"</definedName>
    <definedName function="false" hidden="true" name="IQ_INVEST_SECURITY_CF" vbProcedure="false">"c637"</definedName>
    <definedName function="false" hidden="true" name="IQ_INVEST_SECURITY_CF_BNK" vbProcedure="false">"c638"</definedName>
    <definedName function="false" hidden="true" name="IQ_INVEST_SECURITY_CF_BR" vbProcedure="false">"c639"</definedName>
    <definedName function="false" hidden="true" name="IQ_INVEST_SECURITY_CF_FIN" vbProcedure="false">"c640"</definedName>
    <definedName function="false" hidden="true" name="IQ_INVEST_SECURITY_CF_INS" vbProcedure="false">"c641"</definedName>
    <definedName function="false" hidden="true" name="IQ_INVEST_SECURITY_CF_RE" vbProcedure="false">"c6228"</definedName>
    <definedName function="false" hidden="true" name="IQ_INVEST_SECURITY_CF_REIT" vbProcedure="false">"c642"</definedName>
    <definedName function="false" hidden="true" name="IQ_INVEST_SECURITY_CF_UTI" vbProcedure="false">"c643"</definedName>
    <definedName function="false" hidden="true" name="IQ_INVEST_SECURITY_SUPPL" vbProcedure="false">"c5511"</definedName>
    <definedName function="false" hidden="true" name="IQ_INV_10YR_ANN_CAGR" vbProcedure="false">"c6164"</definedName>
    <definedName function="false" hidden="true" name="IQ_INV_10YR_ANN_GROWTH" vbProcedure="false">"c1930"</definedName>
    <definedName function="false" hidden="true" name="IQ_INV_1YR_ANN_GROWTH" vbProcedure="false">"c1925"</definedName>
    <definedName function="false" hidden="true" name="IQ_INV_2YR_ANN_CAGR" vbProcedure="false">"c6160"</definedName>
    <definedName function="false" hidden="true" name="IQ_INV_2YR_ANN_GROWTH" vbProcedure="false">"c1926"</definedName>
    <definedName function="false" hidden="true" name="IQ_INV_3YR_ANN_CAGR" vbProcedure="false">"c6161"</definedName>
    <definedName function="false" hidden="true" name="IQ_INV_3YR_ANN_GROWTH" vbProcedure="false">"c1927"</definedName>
    <definedName function="false" hidden="true" name="IQ_INV_5YR_ANN_CAGR" vbProcedure="false">"c6162"</definedName>
    <definedName function="false" hidden="true" name="IQ_INV_5YR_ANN_GROWTH" vbProcedure="false">"c1928"</definedName>
    <definedName function="false" hidden="true" name="IQ_INV_7YR_ANN_CAGR" vbProcedure="false">"c6163"</definedName>
    <definedName function="false" hidden="true" name="IQ_INV_7YR_ANN_GROWTH" vbProcedure="false">"c1929"</definedName>
    <definedName function="false" hidden="true" name="IQ_INV_BANKING_FEE" vbProcedure="false">"c620"</definedName>
    <definedName function="false" hidden="true" name="IQ_INV_METHOD" vbProcedure="false">"c621"</definedName>
    <definedName function="false" hidden="true" name="IQ_IPRD" vbProcedure="false">"c644"</definedName>
    <definedName function="false" hidden="true" name="IQ_IRA_KEOGH_ACCOUNTS_FDIC" vbProcedure="false">"c6496"</definedName>
    <definedName function="false" hidden="true" name="IQ_ISSUED_GUARANTEED_US_FDIC" vbProcedure="false">"c6404"</definedName>
    <definedName function="false" hidden="true" name="IQ_ISSUER" vbProcedure="false">"c2143"</definedName>
    <definedName function="false" hidden="true" name="IQ_ISSUER_CIQID" vbProcedure="false">"c2258"</definedName>
    <definedName function="false" hidden="true" name="IQ_ISSUER_PARENT" vbProcedure="false">"c2144"</definedName>
    <definedName function="false" hidden="true" name="IQ_ISSUER_PARENT_CIQID" vbProcedure="false">"c2260"</definedName>
    <definedName function="false" hidden="true" name="IQ_ISSUER_PARENT_TICKER" vbProcedure="false">"c2259"</definedName>
    <definedName function="false" hidden="true" name="IQ_ISSUER_TICKER" vbProcedure="false">"c2252"</definedName>
    <definedName function="false" hidden="true" name="IQ_ISSUE_CURRENCY" vbProcedure="false">"c2156"</definedName>
    <definedName function="false" hidden="true" name="IQ_ISSUE_NAME" vbProcedure="false">"c2142"</definedName>
    <definedName function="false" hidden="true" name="IQ_ISS_DEBT_NET" vbProcedure="false">"c1391"</definedName>
    <definedName function="false" hidden="true" name="IQ_ISS_STOCK_NET" vbProcedure="false">"c1601"</definedName>
    <definedName function="false" hidden="true" name="IQ_JR_SUB_DEBT" vbProcedure="false">"c2534"</definedName>
    <definedName function="false" hidden="true" name="IQ_JR_SUB_DEBT_EBITDA" vbProcedure="false">"c2560"</definedName>
    <definedName function="false" hidden="true" name="IQ_JR_SUB_DEBT_EBITDA_CAPEX" vbProcedure="false">"c2561"</definedName>
    <definedName function="false" hidden="true" name="IQ_JR_SUB_DEBT_PCT" vbProcedure="false">"c2535"</definedName>
    <definedName function="false" hidden="true" name="IQ_LAND" vbProcedure="false">"c645"</definedName>
    <definedName function="false" hidden="true" name="IQ_LASTPRICINGDATE" vbProcedure="false">"c3051"</definedName>
    <definedName function="false" hidden="true" name="IQ_LASTSALEPRICE" vbProcedure="false">"c646"</definedName>
    <definedName function="false" hidden="true" name="IQ_LASTSALEPRICE_DATE" vbProcedure="false">"c2109"</definedName>
    <definedName function="false" hidden="true" name="IQ_LAST_PMT_DATE" vbProcedure="false">"c2188"</definedName>
    <definedName function="false" hidden="true" name="IQ_LAST_SPLIT_DATE" vbProcedure="false">"c2095"</definedName>
    <definedName function="false" hidden="true" name="IQ_LAST_SPLIT_FACTOR" vbProcedure="false">"c2093"</definedName>
    <definedName function="false" hidden="true" name="IQ_LATESTK" vbProcedure="false">1000</definedName>
    <definedName function="false" hidden="true" name="IQ_LATESTQ" vbProcedure="false">500</definedName>
    <definedName function="false" hidden="true" name="IQ_LEASE_FINANCING_RECEIVABLES_CHARGE_OFFS_FDIC" vbProcedure="false">"c6602"</definedName>
    <definedName function="false" hidden="true" name="IQ_LEASE_FINANCING_RECEIVABLES_FDIC" vbProcedure="false">"c6433"</definedName>
    <definedName function="false" hidden="true" name="IQ_LEASE_FINANCING_RECEIVABLES_NET_CHARGE_OFFS_FDIC" vbProcedure="false">"c6640"</definedName>
    <definedName function="false" hidden="true" name="IQ_LEASE_FINANCING_RECEIVABLES_RECOVERIES_FDIC" vbProcedure="false">"c6621"</definedName>
    <definedName function="false" hidden="true" name="IQ_LEASE_FINANCING_RECEIVABLES_TOTAL_LOANS_FOREIGN_FDIC" vbProcedure="false">"c6449"</definedName>
    <definedName function="false" hidden="true" name="IQ_LEGAL_SETTLE" vbProcedure="false">"c647"</definedName>
    <definedName function="false" hidden="true" name="IQ_LEGAL_SETTLE_BNK" vbProcedure="false">"c648"</definedName>
    <definedName function="false" hidden="true" name="IQ_LEGAL_SETTLE_BR" vbProcedure="false">"c649"</definedName>
    <definedName function="false" hidden="true" name="IQ_LEGAL_SETTLE_FIN" vbProcedure="false">"c650"</definedName>
    <definedName function="false" hidden="true" name="IQ_LEGAL_SETTLE_INS" vbProcedure="false">"c651"</definedName>
    <definedName function="false" hidden="true" name="IQ_LEGAL_SETTLE_RE" vbProcedure="false">"c6229"</definedName>
    <definedName function="false" hidden="true" name="IQ_LEGAL_SETTLE_REIT" vbProcedure="false">"c652"</definedName>
    <definedName function="false" hidden="true" name="IQ_LEGAL_SETTLE_UTI" vbProcedure="false">"c653"</definedName>
    <definedName function="false" hidden="true" name="IQ_LEVERAGE_RATIO" vbProcedure="false">"c654"</definedName>
    <definedName function="false" hidden="true" name="IQ_LEVERED_FCF" vbProcedure="false">"c1907"</definedName>
    <definedName function="false" hidden="true" name="IQ_LFCF_10YR_ANN_CAGR" vbProcedure="false">"c6174"</definedName>
    <definedName function="false" hidden="true" name="IQ_LFCF_10YR_ANN_GROWTH" vbProcedure="false">"c1942"</definedName>
    <definedName function="false" hidden="true" name="IQ_LFCF_1YR_ANN_GROWTH" vbProcedure="false">"c1937"</definedName>
    <definedName function="false" hidden="true" name="IQ_LFCF_2YR_ANN_CAGR" vbProcedure="false">"c6170"</definedName>
    <definedName function="false" hidden="true" name="IQ_LFCF_2YR_ANN_GROWTH" vbProcedure="false">"c1938"</definedName>
    <definedName function="false" hidden="true" name="IQ_LFCF_3YR_ANN_CAGR" vbProcedure="false">"c6171"</definedName>
    <definedName function="false" hidden="true" name="IQ_LFCF_3YR_ANN_GROWTH" vbProcedure="false">"c1939"</definedName>
    <definedName function="false" hidden="true" name="IQ_LFCF_5YR_ANN_CAGR" vbProcedure="false">"c6172"</definedName>
    <definedName function="false" hidden="true" name="IQ_LFCF_5YR_ANN_GROWTH" vbProcedure="false">"c1940"</definedName>
    <definedName function="false" hidden="true" name="IQ_LFCF_7YR_ANN_CAGR" vbProcedure="false">"c6173"</definedName>
    <definedName function="false" hidden="true" name="IQ_LFCF_7YR_ANN_GROWTH" vbProcedure="false">"c1941"</definedName>
    <definedName function="false" hidden="true" name="IQ_LFCF_MARGIN" vbProcedure="false">"c1961"</definedName>
    <definedName function="false" hidden="true" name="IQ_LH_STATUTORY_SURPLUS" vbProcedure="false">"c2771"</definedName>
    <definedName function="false" hidden="true" name="IQ_LICENSED_POPS" vbProcedure="false">"c2123"</definedName>
    <definedName function="false" hidden="true" name="IQ_LIFE_EARNED" vbProcedure="false">"c2739"</definedName>
    <definedName function="false" hidden="true" name="IQ_LIFE_INSURANCE_ASSETS_FDIC" vbProcedure="false">"c6372"</definedName>
    <definedName function="false" hidden="true" name="IQ_LIFOR" vbProcedure="false">"c655"</definedName>
    <definedName function="false" hidden="true" name="IQ_LL" vbProcedure="false">"c656"</definedName>
    <definedName function="false" hidden="true" name="IQ_LOANS_AND_LEASES_HELD_FDIC" vbProcedure="false">"c6367"</definedName>
    <definedName function="false" hidden="true" name="IQ_LOANS_CF" vbProcedure="false">"c659"</definedName>
    <definedName function="false" hidden="true" name="IQ_LOANS_CF_BNK" vbProcedure="false">"c660"</definedName>
    <definedName function="false" hidden="true" name="IQ_LOANS_CF_BR" vbProcedure="false">"c661"</definedName>
    <definedName function="false" hidden="true" name="IQ_LOANS_CF_FIN" vbProcedure="false">"c662"</definedName>
    <definedName function="false" hidden="true" name="IQ_LOANS_CF_INS" vbProcedure="false">"c663"</definedName>
    <definedName function="false" hidden="true" name="IQ_LOANS_CF_RE" vbProcedure="false">"c6230"</definedName>
    <definedName function="false" hidden="true" name="IQ_LOANS_CF_REIT" vbProcedure="false">"c664"</definedName>
    <definedName function="false" hidden="true" name="IQ_LOANS_CF_UTI" vbProcedure="false">"c665"</definedName>
    <definedName function="false" hidden="true" name="IQ_LOANS_DEPOSITORY_INSTITUTIONS_FDIC" vbProcedure="false">"c6382"</definedName>
    <definedName function="false" hidden="true" name="IQ_LOANS_FOR_SALE" vbProcedure="false">"c666"</definedName>
    <definedName function="false" hidden="true" name="IQ_LOANS_HELD_FOREIGN_FDIC" vbProcedure="false">"c6315"</definedName>
    <definedName function="false" hidden="true" name="IQ_LOANS_LEASES_FOREIGN_FDIC" vbProcedure="false">"c6383"</definedName>
    <definedName function="false" hidden="true" name="IQ_LOANS_LEASES_GROSS_FDIC" vbProcedure="false">"c6323"</definedName>
    <definedName function="false" hidden="true" name="IQ_LOANS_LEASES_GROSS_FOREIGN_FDIC" vbProcedure="false">"c6384"</definedName>
    <definedName function="false" hidden="true" name="IQ_LOANS_LEASES_NET_FDIC" vbProcedure="false">"c6327"</definedName>
    <definedName function="false" hidden="true" name="IQ_LOANS_LEASES_NET_UNEARNED_FDIC" vbProcedure="false">"c6325"</definedName>
    <definedName function="false" hidden="true" name="IQ_LOANS_NOT_SECURED_RE_FDIC" vbProcedure="false">"c6381"</definedName>
    <definedName function="false" hidden="true" name="IQ_LOANS_PAST_DUE" vbProcedure="false">"c667"</definedName>
    <definedName function="false" hidden="true" name="IQ_LOANS_RECEIV_CURRENT" vbProcedure="false">"c668"</definedName>
    <definedName function="false" hidden="true" name="IQ_LOANS_RECEIV_LT" vbProcedure="false">"c669"</definedName>
    <definedName function="false" hidden="true" name="IQ_LOANS_RECEIV_LT_UTI" vbProcedure="false">"c670"</definedName>
    <definedName function="false" hidden="true" name="IQ_LOANS_SECURED_BY_RE_CHARGE_OFFS_FDIC" vbProcedure="false">"c6588"</definedName>
    <definedName function="false" hidden="true" name="IQ_LOANS_SECURED_BY_RE_RECOVERIES_FDIC" vbProcedure="false">"c6607"</definedName>
    <definedName function="false" hidden="true" name="IQ_LOANS_SECURED_NON_US_FDIC" vbProcedure="false">"c6380"</definedName>
    <definedName function="false" hidden="true" name="IQ_LOANS_SECURED_RE_NET_CHARGE_OFFS_FDIC" vbProcedure="false">"c6626"</definedName>
    <definedName function="false" hidden="true" name="IQ_LOANS_TO_DEPOSITORY_INSTITUTIONS_FOREIGN_FDIC" vbProcedure="false">"c6453"</definedName>
    <definedName function="false" hidden="true" name="IQ_LOANS_TO_FOREIGN_GOVERNMENTS_FDIC" vbProcedure="false">"c6448"</definedName>
    <definedName function="false" hidden="true" name="IQ_LOANS_TO_INDIVIDUALS_FOREIGN_FDIC" vbProcedure="false">"c6452"</definedName>
    <definedName function="false" hidden="true" name="IQ_LOAN_COMMITMENTS_REVOLVING_FDIC" vbProcedure="false">"c6524"</definedName>
    <definedName function="false" hidden="true" name="IQ_LOAN_LEASE_RECEIV" vbProcedure="false">"c657"</definedName>
    <definedName function="false" hidden="true" name="IQ_LOAN_LOSS" vbProcedure="false">"c1386"</definedName>
    <definedName function="false" hidden="true" name="IQ_LOAN_LOSSES_FDIC" vbProcedure="false">"c6580"</definedName>
    <definedName function="false" hidden="true" name="IQ_LOAN_LOSS_ALLOWANCE_NONCURRENT_LOANS_FDIC" vbProcedure="false">"c6740"</definedName>
    <definedName function="false" hidden="true" name="IQ_LOAN_LOSS_ALLOW_FDIC" vbProcedure="false">"c6326"</definedName>
    <definedName function="false" hidden="true" name="IQ_LOAN_SERVICE_REV" vbProcedure="false">"c658"</definedName>
    <definedName function="false" hidden="true" name="IQ_LONG_TERM_ASSETS_FDIC" vbProcedure="false">"c6361"</definedName>
    <definedName function="false" hidden="true" name="IQ_LONG_TERM_DEBT" vbProcedure="false">"c1387"</definedName>
    <definedName function="false" hidden="true" name="IQ_LONG_TERM_DEBT_OVER_TOTAL_CAP" vbProcedure="false">"c1388"</definedName>
    <definedName function="false" hidden="true" name="IQ_LONG_TERM_GROWTH" vbProcedure="false">"c671"</definedName>
    <definedName function="false" hidden="true" name="IQ_LONG_TERM_INV" vbProcedure="false">"c1389"</definedName>
    <definedName function="false" hidden="true" name="IQ_LOSS_ALLOWANCE_LOANS_FDIC" vbProcedure="false">"c6739"</definedName>
    <definedName function="false" hidden="true" name="IQ_LOSS_LOSS_EXP" vbProcedure="false">"c672"</definedName>
    <definedName function="false" hidden="true" name="IQ_LOSS_TO_NET_EARNED" vbProcedure="false">"c2751"</definedName>
    <definedName function="false" hidden="true" name="IQ_LOWPRICE" vbProcedure="false">"c673"</definedName>
    <definedName function="false" hidden="true" name="IQ_LOW_TARGET_PRICE" vbProcedure="false">"c1652"</definedName>
    <definedName function="false" hidden="true" name="IQ_LOW_TARGET_PRICE_CIQ" vbProcedure="false">"c4660"</definedName>
    <definedName function="false" hidden="true" name="IQ_LOW_TARGET_PRICE_REUT" vbProcedure="false">"c5318"</definedName>
    <definedName function="false" hidden="true" name="IQ_LTD_DUE_AFTER_FIVE" vbProcedure="false">"c704"</definedName>
    <definedName function="false" hidden="true" name="IQ_LTD_DUE_CY" vbProcedure="false">"c705"</definedName>
    <definedName function="false" hidden="true" name="IQ_LTD_DUE_CY1" vbProcedure="false">"c706"</definedName>
    <definedName function="false" hidden="true" name="IQ_LTD_DUE_CY2" vbProcedure="false">"c707"</definedName>
    <definedName function="false" hidden="true" name="IQ_LTD_DUE_CY3" vbProcedure="false">"c708"</definedName>
    <definedName function="false" hidden="true" name="IQ_LTD_DUE_CY4" vbProcedure="false">"c709"</definedName>
    <definedName function="false" hidden="true" name="IQ_LTD_DUE_NEXT_FIVE" vbProcedure="false">"c710"</definedName>
    <definedName function="false" hidden="true" name="IQ_LTM" vbProcedure="false">2000</definedName>
    <definedName function="false" hidden="true" name="IQ_LTM_REVENUE_OVER_EMPLOYEES" vbProcedure="false">"c1437"</definedName>
    <definedName function="false" hidden="true" name="IQ_LT_DEBT" vbProcedure="false">"c674"</definedName>
    <definedName function="false" hidden="true" name="IQ_LT_DEBT_BNK" vbProcedure="false">"c675"</definedName>
    <definedName function="false" hidden="true" name="IQ_LT_DEBT_BR" vbProcedure="false">"c676"</definedName>
    <definedName function="false" hidden="true" name="IQ_LT_DEBT_CAPITAL" vbProcedure="false">"c677"</definedName>
    <definedName function="false" hidden="true" name="IQ_LT_DEBT_CAPITAL_LEASES" vbProcedure="false">"c2542"</definedName>
    <definedName function="false" hidden="true" name="IQ_LT_DEBT_CAPITAL_LEASES_PCT" vbProcedure="false">"c2543"</definedName>
    <definedName function="false" hidden="true" name="IQ_LT_DEBT_EQUITY" vbProcedure="false">"c678"</definedName>
    <definedName function="false" hidden="true" name="IQ_LT_DEBT_FIN" vbProcedure="false">"c679"</definedName>
    <definedName function="false" hidden="true" name="IQ_LT_DEBT_INS" vbProcedure="false">"c680"</definedName>
    <definedName function="false" hidden="true" name="IQ_LT_DEBT_ISSUED" vbProcedure="false">"c681"</definedName>
    <definedName function="false" hidden="true" name="IQ_LT_DEBT_ISSUED_BNK" vbProcedure="false">"c682"</definedName>
    <definedName function="false" hidden="true" name="IQ_LT_DEBT_ISSUED_BR" vbProcedure="false">"c683"</definedName>
    <definedName function="false" hidden="true" name="IQ_LT_DEBT_ISSUED_FIN" vbProcedure="false">"c684"</definedName>
    <definedName function="false" hidden="true" name="IQ_LT_DEBT_ISSUED_INS" vbProcedure="false">"c685"</definedName>
    <definedName function="false" hidden="true" name="IQ_LT_DEBT_ISSUED_RE" vbProcedure="false">"c6231"</definedName>
    <definedName function="false" hidden="true" name="IQ_LT_DEBT_ISSUED_REIT" vbProcedure="false">"c686"</definedName>
    <definedName function="false" hidden="true" name="IQ_LT_DEBT_ISSUED_UTI" vbProcedure="false">"c687"</definedName>
    <definedName function="false" hidden="true" name="IQ_LT_DEBT_RE" vbProcedure="false">"c6232"</definedName>
    <definedName function="false" hidden="true" name="IQ_LT_DEBT_REIT" vbProcedure="false">"c688"</definedName>
    <definedName function="false" hidden="true" name="IQ_LT_DEBT_REPAID" vbProcedure="false">"c689"</definedName>
    <definedName function="false" hidden="true" name="IQ_LT_DEBT_REPAID_BNK" vbProcedure="false">"c690"</definedName>
    <definedName function="false" hidden="true" name="IQ_LT_DEBT_REPAID_BR" vbProcedure="false">"c691"</definedName>
    <definedName function="false" hidden="true" name="IQ_LT_DEBT_REPAID_FIN" vbProcedure="false">"c692"</definedName>
    <definedName function="false" hidden="true" name="IQ_LT_DEBT_REPAID_INS" vbProcedure="false">"c693"</definedName>
    <definedName function="false" hidden="true" name="IQ_LT_DEBT_REPAID_RE" vbProcedure="false">"c6233"</definedName>
    <definedName function="false" hidden="true" name="IQ_LT_DEBT_REPAID_REIT" vbProcedure="false">"c694"</definedName>
    <definedName function="false" hidden="true" name="IQ_LT_DEBT_REPAID_UTI" vbProcedure="false">"c695"</definedName>
    <definedName function="false" hidden="true" name="IQ_LT_DEBT_UTI" vbProcedure="false">"c696"</definedName>
    <definedName function="false" hidden="true" name="IQ_LT_INVEST" vbProcedure="false">"c697"</definedName>
    <definedName function="false" hidden="true" name="IQ_LT_INVEST_BR" vbProcedure="false">"c698"</definedName>
    <definedName function="false" hidden="true" name="IQ_LT_INVEST_FIN" vbProcedure="false">"c699"</definedName>
    <definedName function="false" hidden="true" name="IQ_LT_INVEST_RE" vbProcedure="false">"c6234"</definedName>
    <definedName function="false" hidden="true" name="IQ_LT_INVEST_REIT" vbProcedure="false">"c700"</definedName>
    <definedName function="false" hidden="true" name="IQ_LT_INVEST_UTI" vbProcedure="false">"c701"</definedName>
    <definedName function="false" hidden="true" name="IQ_LT_NOTE_RECEIV" vbProcedure="false">"c1602"</definedName>
    <definedName function="false" hidden="true" name="IQ_MACHINERY" vbProcedure="false">"c711"</definedName>
    <definedName function="false" hidden="true" name="IQ_MAINT_CAPEX" vbProcedure="false">"c2947"</definedName>
    <definedName function="false" hidden="true" name="IQ_MAINT_CAPEX_ACT_OR_EST" vbProcedure="false">"c4458"</definedName>
    <definedName function="false" hidden="true" name="IQ_MAINT_CAPEX_ACT_OR_EST_CIQ" vbProcedure="false">"c4987"</definedName>
    <definedName function="false" hidden="true" name="IQ_MAINT_CAPEX_EST" vbProcedure="false">"c4457"</definedName>
    <definedName function="false" hidden="true" name="IQ_MAINT_CAPEX_EST_CIQ" vbProcedure="false">"c4986"</definedName>
    <definedName function="false" hidden="true" name="IQ_MAINT_CAPEX_GUIDANCE" vbProcedure="false">"c4459"</definedName>
    <definedName function="false" hidden="true" name="IQ_MAINT_CAPEX_GUIDANCE_CIQ" vbProcedure="false">"c4988"</definedName>
    <definedName function="false" hidden="true" name="IQ_MAINT_CAPEX_HIGH_EST" vbProcedure="false">"c4460"</definedName>
    <definedName function="false" hidden="true" name="IQ_MAINT_CAPEX_HIGH_EST_CIQ" vbProcedure="false">"c4989"</definedName>
    <definedName function="false" hidden="true" name="IQ_MAINT_CAPEX_HIGH_GUIDANCE" vbProcedure="false">"c4197"</definedName>
    <definedName function="false" hidden="true" name="IQ_MAINT_CAPEX_HIGH_GUIDANCE_CIQ" vbProcedure="false">"c4609"</definedName>
    <definedName function="false" hidden="true" name="IQ_MAINT_CAPEX_LOW_EST" vbProcedure="false">"c4461"</definedName>
    <definedName function="false" hidden="true" name="IQ_MAINT_CAPEX_LOW_EST_CIQ" vbProcedure="false">"c4990"</definedName>
    <definedName function="false" hidden="true" name="IQ_MAINT_CAPEX_LOW_GUIDANCE" vbProcedure="false">"c4237"</definedName>
    <definedName function="false" hidden="true" name="IQ_MAINT_CAPEX_LOW_GUIDANCE_CIQ" vbProcedure="false">"c4649"</definedName>
    <definedName function="false" hidden="true" name="IQ_MAINT_CAPEX_MEDIAN_EST" vbProcedure="false">"c4462"</definedName>
    <definedName function="false" hidden="true" name="IQ_MAINT_CAPEX_MEDIAN_EST_CIQ" vbProcedure="false">"c4991"</definedName>
    <definedName function="false" hidden="true" name="IQ_MAINT_CAPEX_NUM_EST" vbProcedure="false">"c4463"</definedName>
    <definedName function="false" hidden="true" name="IQ_MAINT_CAPEX_NUM_EST_CIQ" vbProcedure="false">"c5001"</definedName>
    <definedName function="false" hidden="true" name="IQ_MAINT_CAPEX_STDDEV_EST" vbProcedure="false">"c4464"</definedName>
    <definedName function="false" hidden="true" name="IQ_MAINT_CAPEX_STDDEV_EST_CIQ" vbProcedure="false">"c5002"</definedName>
    <definedName function="false" hidden="true" name="IQ_MAINT_REPAIR" vbProcedure="false">"c2087"</definedName>
    <definedName function="false" hidden="true" name="IQ_MAKE_WHOLE_END_DATE" vbProcedure="false">"c2493"</definedName>
    <definedName function="false" hidden="true" name="IQ_MAKE_WHOLE_SPREAD" vbProcedure="false">"c2494"</definedName>
    <definedName function="false" hidden="true" name="IQ_MAKE_WHOLE_START_DATE" vbProcedure="false">"c2492"</definedName>
    <definedName function="false" hidden="true" name="IQ_MARKETCAP" vbProcedure="false">"c712"</definedName>
    <definedName function="false" hidden="true" name="IQ_MARKETING" vbProcedure="false">"c2239"</definedName>
    <definedName function="false" hidden="true" name="IQ_MARKET_CAP_LFCF" vbProcedure="false">"c2209"</definedName>
    <definedName function="false" hidden="true" name="IQ_MATURITY_DATE" vbProcedure="false">"c2146"</definedName>
    <definedName function="false" hidden="true" name="IQ_MATURITY_ONE_YEAR_LESS_FDIC" vbProcedure="false">"c6425"</definedName>
    <definedName function="false" hidden="true" name="IQ_MC_RATIO" vbProcedure="false">"c2783"</definedName>
    <definedName function="false" hidden="true" name="IQ_MC_STATUTORY_SURPLUS" vbProcedure="false">"c2772"</definedName>
    <definedName function="false" hidden="true" name="IQ_MEDIAN_TARGET_PRICE" vbProcedure="false">"c1650"</definedName>
    <definedName function="false" hidden="true" name="IQ_MEDIAN_TARGET_PRICE_CIQ" vbProcedure="false">"c4658"</definedName>
    <definedName function="false" hidden="true" name="IQ_MEDIAN_TARGET_PRICE_REUT" vbProcedure="false">"c5316"</definedName>
    <definedName function="false" hidden="true" name="IQ_MERGER" vbProcedure="false">"c713"</definedName>
    <definedName function="false" hidden="true" name="IQ_MERGER_BNK" vbProcedure="false">"c714"</definedName>
    <definedName function="false" hidden="true" name="IQ_MERGER_BR" vbProcedure="false">"c715"</definedName>
    <definedName function="false" hidden="true" name="IQ_MERGER_FIN" vbProcedure="false">"c716"</definedName>
    <definedName function="false" hidden="true" name="IQ_MERGER_INS" vbProcedure="false">"c717"</definedName>
    <definedName function="false" hidden="true" name="IQ_MERGER_RE" vbProcedure="false">"c6235"</definedName>
    <definedName function="false" hidden="true" name="IQ_MERGER_REIT" vbProcedure="false">"c718"</definedName>
    <definedName function="false" hidden="true" name="IQ_MERGER_RESTRUCTURE" vbProcedure="false">"c719"</definedName>
    <definedName function="false" hidden="true" name="IQ_MERGER_RESTRUCTURE_BNK" vbProcedure="false">"c720"</definedName>
    <definedName function="false" hidden="true" name="IQ_MERGER_RESTRUCTURE_BR" vbProcedure="false">"c721"</definedName>
    <definedName function="false" hidden="true" name="IQ_MERGER_RESTRUCTURE_FIN" vbProcedure="false">"c722"</definedName>
    <definedName function="false" hidden="true" name="IQ_MERGER_RESTRUCTURE_INS" vbProcedure="false">"c723"</definedName>
    <definedName function="false" hidden="true" name="IQ_MERGER_RESTRUCTURE_RE" vbProcedure="false">"c6236"</definedName>
    <definedName function="false" hidden="true" name="IQ_MERGER_RESTRUCTURE_REIT" vbProcedure="false">"c724"</definedName>
    <definedName function="false" hidden="true" name="IQ_MERGER_RESTRUCTURE_UTI" vbProcedure="false">"c725"</definedName>
    <definedName function="false" hidden="true" name="IQ_MERGER_UTI" vbProcedure="false">"c726"</definedName>
    <definedName function="false" hidden="true" name="IQ_MINORITY_INTEREST" vbProcedure="false">"c727"</definedName>
    <definedName function="false" hidden="true" name="IQ_MINORITY_INTEREST_BNK" vbProcedure="false">"c728"</definedName>
    <definedName function="false" hidden="true" name="IQ_MINORITY_INTEREST_BR" vbProcedure="false">"c729"</definedName>
    <definedName function="false" hidden="true" name="IQ_MINORITY_INTEREST_CF" vbProcedure="false">"c730"</definedName>
    <definedName function="false" hidden="true" name="IQ_MINORITY_INTEREST_FIN" vbProcedure="false">"c731"</definedName>
    <definedName function="false" hidden="true" name="IQ_MINORITY_INTEREST_INS" vbProcedure="false">"c732"</definedName>
    <definedName function="false" hidden="true" name="IQ_MINORITY_INTEREST_IS" vbProcedure="false">"c733"</definedName>
    <definedName function="false" hidden="true" name="IQ_MINORITY_INTEREST_RE" vbProcedure="false">"c6237"</definedName>
    <definedName function="false" hidden="true" name="IQ_MINORITY_INTEREST_REIT" vbProcedure="false">"c734"</definedName>
    <definedName function="false" hidden="true" name="IQ_MINORITY_INTEREST_TOTAL" vbProcedure="false">"c1905"</definedName>
    <definedName function="false" hidden="true" name="IQ_MINORITY_INTEREST_UTI" vbProcedure="false">"c735"</definedName>
    <definedName function="false" hidden="true" name="IQ_MISC_ADJUST_CF" vbProcedure="false">"c736"</definedName>
    <definedName function="false" hidden="true" name="IQ_MISC_EARN_ADJ" vbProcedure="false">"c1603"</definedName>
    <definedName function="false" hidden="true" name="IQ_MKTCAP_EBT_EXCL" vbProcedure="false">"c737"</definedName>
    <definedName function="false" hidden="true" name="IQ_MKTCAP_EBT_EXCL_AVG" vbProcedure="false">"c738"</definedName>
    <definedName function="false" hidden="true" name="IQ_MKTCAP_EBT_INCL_AVG" vbProcedure="false">"c739"</definedName>
    <definedName function="false" hidden="true" name="IQ_MKTCAP_TOTAL_REV" vbProcedure="false">"c740"</definedName>
    <definedName function="false" hidden="true" name="IQ_MKTCAP_TOTAL_REV_AVG" vbProcedure="false">"c741"</definedName>
    <definedName function="false" hidden="true" name="IQ_MKTCAP_TOTAL_REV_FWD" vbProcedure="false">"c742"</definedName>
    <definedName function="false" hidden="true" name="IQ_MKTCAP_TOTAL_REV_FWD_CIQ" vbProcedure="false">"c4041"</definedName>
    <definedName function="false" hidden="true" name="IQ_MKTCAP_TOTAL_REV_FWD_REUT" vbProcedure="false">"c4048"</definedName>
    <definedName function="false" hidden="true" name="IQ_MM_ACCOUNT" vbProcedure="false">"c743"</definedName>
    <definedName function="false" hidden="true" name="IQ_MONEY_MARKET_DEPOSIT_ACCOUNTS_FDIC" vbProcedure="false">"c6553"</definedName>
    <definedName function="false" hidden="true" name="IQ_MORTGAGE_BACKED_SECURITIES_FDIC" vbProcedure="false">"c6402"</definedName>
    <definedName function="false" hidden="true" name="IQ_MORTGAGE_SERVICING_FDIC" vbProcedure="false">"c6335"</definedName>
    <definedName function="false" hidden="true" name="IQ_MORTGAGE_SERV_RIGHTS" vbProcedure="false">"c2242"</definedName>
    <definedName function="false" hidden="true" name="IQ_MORT_BANKING_FEE" vbProcedure="false">"c745"</definedName>
    <definedName function="false" hidden="true" name="IQ_MORT_BANK_ACT" vbProcedure="false">"c744"</definedName>
    <definedName function="false" hidden="true" name="IQ_MORT_INT_INC" vbProcedure="false">"c746"</definedName>
    <definedName function="false" hidden="true" name="IQ_MORT_LOANS" vbProcedure="false">"c747"</definedName>
    <definedName function="false" hidden="true" name="IQ_MORT_SECURITY" vbProcedure="false">"c748"</definedName>
    <definedName function="false" hidden="true" name="IQ_MULTIFAMILY_RESIDENTIAL_LOANS_FDIC" vbProcedure="false">"c6311"</definedName>
    <definedName function="false" hidden="true" name="IQ_NAV_EST" vbProcedure="false">"c1751"</definedName>
    <definedName function="false" hidden="true" name="IQ_NAV_HIGH_EST" vbProcedure="false">"c1753"</definedName>
    <definedName function="false" hidden="true" name="IQ_NAV_LOW_EST" vbProcedure="false">"c1754"</definedName>
    <definedName function="false" hidden="true" name="IQ_NAV_MEDIAN_EST" vbProcedure="false">"c1752"</definedName>
    <definedName function="false" hidden="true" name="IQ_NAV_NUM_EST" vbProcedure="false">"c1755"</definedName>
    <definedName function="false" hidden="true" name="IQ_NAV_SHARE_ACT_OR_EST" vbProcedure="false">"c2225"</definedName>
    <definedName function="false" hidden="true" name="IQ_NAV_SHARE_EST" vbProcedure="false">"c5609"</definedName>
    <definedName function="false" hidden="true" name="IQ_NAV_SHARE_HIGH_EST" vbProcedure="false">"c5612"</definedName>
    <definedName function="false" hidden="true" name="IQ_NAV_SHARE_LOW_EST" vbProcedure="false">"c5613"</definedName>
    <definedName function="false" hidden="true" name="IQ_NAV_SHARE_MEDIAN_EST" vbProcedure="false">"c5610"</definedName>
    <definedName function="false" hidden="true" name="IQ_NAV_SHARE_NUM_EST" vbProcedure="false">"c5614"</definedName>
    <definedName function="false" hidden="true" name="IQ_NAV_SHARE_STDDEV_EST" vbProcedure="false">"c5611"</definedName>
    <definedName function="false" hidden="true" name="IQ_NAV_STDDEV_EST" vbProcedure="false">"c1756"</definedName>
    <definedName function="false" hidden="true" name="IQ_NET_CHANGE" vbProcedure="false">"c749"</definedName>
    <definedName function="false" hidden="true" name="IQ_NET_CHARGE_OFFS_FDIC" vbProcedure="false">"c6641"</definedName>
    <definedName function="false" hidden="true" name="IQ_NET_CHARGE_OFFS_LOANS_FDIC" vbProcedure="false">"c6751"</definedName>
    <definedName function="false" hidden="true" name="IQ_NET_CLAIM_EXP_INCUR" vbProcedure="false">"c2757"</definedName>
    <definedName function="false" hidden="true" name="IQ_NET_CLAIM_EXP_INCUR_CY" vbProcedure="false">"c2761"</definedName>
    <definedName function="false" hidden="true" name="IQ_NET_CLAIM_EXP_INCUR_PY" vbProcedure="false">"c2762"</definedName>
    <definedName function="false" hidden="true" name="IQ_NET_CLAIM_EXP_PAID" vbProcedure="false">"c2760"</definedName>
    <definedName function="false" hidden="true" name="IQ_NET_CLAIM_EXP_PAID_CY" vbProcedure="false">"c2763"</definedName>
    <definedName function="false" hidden="true" name="IQ_NET_CLAIM_EXP_PAID_PY" vbProcedure="false">"c2764"</definedName>
    <definedName function="false" hidden="true" name="IQ_NET_CLAIM_EXP_RES" vbProcedure="false">"c2754"</definedName>
    <definedName function="false" hidden="true" name="IQ_NET_DEBT" vbProcedure="false">"c1584"</definedName>
    <definedName function="false" hidden="true" name="IQ_NET_DEBT_ACT_OR_EST" vbProcedure="false">"c3583"</definedName>
    <definedName function="false" hidden="true" name="IQ_NET_DEBT_ACT_OR_EST_CIQ" vbProcedure="false">"c5070"</definedName>
    <definedName function="false" hidden="true" name="IQ_NET_DEBT_EBITDA" vbProcedure="false">"c750"</definedName>
    <definedName function="false" hidden="true" name="IQ_NET_DEBT_EBITDA_CAPEX" vbProcedure="false">"c2949"</definedName>
    <definedName function="false" hidden="true" name="IQ_NET_DEBT_EST" vbProcedure="false">"c3517"</definedName>
    <definedName function="false" hidden="true" name="IQ_NET_DEBT_EST_CIQ" vbProcedure="false">"c3814"</definedName>
    <definedName function="false" hidden="true" name="IQ_NET_DEBT_GUIDANCE" vbProcedure="false">"c4467"</definedName>
    <definedName function="false" hidden="true" name="IQ_NET_DEBT_GUIDANCE_CIQ" vbProcedure="false">"c5005"</definedName>
    <definedName function="false" hidden="true" name="IQ_NET_DEBT_HIGH_EST" vbProcedure="false">"c3518"</definedName>
    <definedName function="false" hidden="true" name="IQ_NET_DEBT_HIGH_EST_CIQ" vbProcedure="false">"c3816"</definedName>
    <definedName function="false" hidden="true" name="IQ_NET_DEBT_HIGH_GUIDANCE" vbProcedure="false">"c4181"</definedName>
    <definedName function="false" hidden="true" name="IQ_NET_DEBT_HIGH_GUIDANCE_CIQ" vbProcedure="false">"c4593"</definedName>
    <definedName function="false" hidden="true" name="IQ_NET_DEBT_ISSUED" vbProcedure="false">"c751"</definedName>
    <definedName function="false" hidden="true" name="IQ_NET_DEBT_ISSUED_BNK" vbProcedure="false">"c752"</definedName>
    <definedName function="false" hidden="true" name="IQ_NET_DEBT_ISSUED_BR" vbProcedure="false">"c753"</definedName>
    <definedName function="false" hidden="true" name="IQ_NET_DEBT_ISSUED_FIN" vbProcedure="false">"c754"</definedName>
    <definedName function="false" hidden="true" name="IQ_NET_DEBT_ISSUED_INS" vbProcedure="false">"c755"</definedName>
    <definedName function="false" hidden="true" name="IQ_NET_DEBT_ISSUED_RE" vbProcedure="false">"c6238"</definedName>
    <definedName function="false" hidden="true" name="IQ_NET_DEBT_ISSUED_REIT" vbProcedure="false">"c756"</definedName>
    <definedName function="false" hidden="true" name="IQ_NET_DEBT_ISSUED_UTI" vbProcedure="false">"c757"</definedName>
    <definedName function="false" hidden="true" name="IQ_NET_DEBT_LOW_EST" vbProcedure="false">"c3519"</definedName>
    <definedName function="false" hidden="true" name="IQ_NET_DEBT_LOW_EST_CIQ" vbProcedure="false">"c3817"</definedName>
    <definedName function="false" hidden="true" name="IQ_NET_DEBT_LOW_GUIDANCE" vbProcedure="false">"c4221"</definedName>
    <definedName function="false" hidden="true" name="IQ_NET_DEBT_LOW_GUIDANCE_CIQ" vbProcedure="false">"c4633"</definedName>
    <definedName function="false" hidden="true" name="IQ_NET_DEBT_MEDIAN_EST" vbProcedure="false">"c3520"</definedName>
    <definedName function="false" hidden="true" name="IQ_NET_DEBT_MEDIAN_EST_CIQ" vbProcedure="false">"c3815"</definedName>
    <definedName function="false" hidden="true" name="IQ_NET_DEBT_NUM_EST" vbProcedure="false">"c3515"</definedName>
    <definedName function="false" hidden="true" name="IQ_NET_DEBT_NUM_EST_CIQ" vbProcedure="false">"c3818"</definedName>
    <definedName function="false" hidden="true" name="IQ_NET_DEBT_STDDEV_EST" vbProcedure="false">"c3516"</definedName>
    <definedName function="false" hidden="true" name="IQ_NET_DEBT_STDDEV_EST_CIQ" vbProcedure="false">"c3819"</definedName>
    <definedName function="false" hidden="true" name="IQ_NET_EARNED" vbProcedure="false">"c2734"</definedName>
    <definedName function="false" hidden="true" name="IQ_NET_INC" vbProcedure="false">"c1394"</definedName>
    <definedName function="false" hidden="true" name="IQ_NET_INCOME_FDIC" vbProcedure="false">"c6587"</definedName>
    <definedName function="false" hidden="true" name="IQ_NET_INC_BEFORE" vbProcedure="false">"c1368"</definedName>
    <definedName function="false" hidden="true" name="IQ_NET_INC_CF" vbProcedure="false">"c1397"</definedName>
    <definedName function="false" hidden="true" name="IQ_NET_INC_MARGIN" vbProcedure="false">"c1398"</definedName>
    <definedName function="false" hidden="true" name="IQ_NET_INTEREST_EXP" vbProcedure="false">"c769"</definedName>
    <definedName function="false" hidden="true" name="IQ_NET_INTEREST_EXP_RE" vbProcedure="false">"c6239"</definedName>
    <definedName function="false" hidden="true" name="IQ_NET_INTEREST_EXP_REIT" vbProcedure="false">"c770"</definedName>
    <definedName function="false" hidden="true" name="IQ_NET_INTEREST_EXP_UTI" vbProcedure="false">"c771"</definedName>
    <definedName function="false" hidden="true" name="IQ_NET_INTEREST_INC" vbProcedure="false">"c1392"</definedName>
    <definedName function="false" hidden="true" name="IQ_NET_INTEREST_INC_AFTER_LL" vbProcedure="false">"c1604"</definedName>
    <definedName function="false" hidden="true" name="IQ_NET_INTEREST_MARGIN_FDIC" vbProcedure="false">"c6726"</definedName>
    <definedName function="false" hidden="true" name="IQ_NET_INT_INC_10YR_ANN_CAGR" vbProcedure="false">"c6100"</definedName>
    <definedName function="false" hidden="true" name="IQ_NET_INT_INC_10YR_ANN_GROWTH" vbProcedure="false">"c758"</definedName>
    <definedName function="false" hidden="true" name="IQ_NET_INT_INC_1YR_ANN_GROWTH" vbProcedure="false">"c759"</definedName>
    <definedName function="false" hidden="true" name="IQ_NET_INT_INC_2YR_ANN_CAGR" vbProcedure="false">"c6101"</definedName>
    <definedName function="false" hidden="true" name="IQ_NET_INT_INC_2YR_ANN_GROWTH" vbProcedure="false">"c760"</definedName>
    <definedName function="false" hidden="true" name="IQ_NET_INT_INC_3YR_ANN_CAGR" vbProcedure="false">"c6102"</definedName>
    <definedName function="false" hidden="true" name="IQ_NET_INT_INC_3YR_ANN_GROWTH" vbProcedure="false">"c761"</definedName>
    <definedName function="false" hidden="true" name="IQ_NET_INT_INC_5YR_ANN_CAGR" vbProcedure="false">"c6103"</definedName>
    <definedName function="false" hidden="true" name="IQ_NET_INT_INC_5YR_ANN_GROWTH" vbProcedure="false">"c762"</definedName>
    <definedName function="false" hidden="true" name="IQ_NET_INT_INC_7YR_ANN_CAGR" vbProcedure="false">"c6104"</definedName>
    <definedName function="false" hidden="true" name="IQ_NET_INT_INC_7YR_ANN_GROWTH" vbProcedure="false">"c763"</definedName>
    <definedName function="false" hidden="true" name="IQ_NET_INT_INC_BNK" vbProcedure="false">"c764"</definedName>
    <definedName function="false" hidden="true" name="IQ_NET_INT_INC_BNK_FDIC" vbProcedure="false">"c6570"</definedName>
    <definedName function="false" hidden="true" name="IQ_NET_INT_INC_BR" vbProcedure="false">"c765"</definedName>
    <definedName function="false" hidden="true" name="IQ_NET_INT_INC_FIN" vbProcedure="false">"c766"</definedName>
    <definedName function="false" hidden="true" name="IQ_NET_INT_INC_TOTAL_REV" vbProcedure="false">"c767"</definedName>
    <definedName function="false" hidden="true" name="IQ_NET_INT_MARGIN" vbProcedure="false">"c768"</definedName>
    <definedName function="false" hidden="true" name="IQ_NET_LIFE_INS_IN_FORCE" vbProcedure="false">"c2769"</definedName>
    <definedName function="false" hidden="true" name="IQ_NET_LOANS" vbProcedure="false">"c772"</definedName>
    <definedName function="false" hidden="true" name="IQ_NET_LOANS_10YR_ANN_CAGR" vbProcedure="false">"c6105"</definedName>
    <definedName function="false" hidden="true" name="IQ_NET_LOANS_10YR_ANN_GROWTH" vbProcedure="false">"c773"</definedName>
    <definedName function="false" hidden="true" name="IQ_NET_LOANS_1YR_ANN_GROWTH" vbProcedure="false">"c774"</definedName>
    <definedName function="false" hidden="true" name="IQ_NET_LOANS_2YR_ANN_CAGR" vbProcedure="false">"c6106"</definedName>
    <definedName function="false" hidden="true" name="IQ_NET_LOANS_2YR_ANN_GROWTH" vbProcedure="false">"c775"</definedName>
    <definedName function="false" hidden="true" name="IQ_NET_LOANS_3YR_ANN_CAGR" vbProcedure="false">"c6107"</definedName>
    <definedName function="false" hidden="true" name="IQ_NET_LOANS_3YR_ANN_GROWTH" vbProcedure="false">"c776"</definedName>
    <definedName function="false" hidden="true" name="IQ_NET_LOANS_5YR_ANN_CAGR" vbProcedure="false">"c6108"</definedName>
    <definedName function="false" hidden="true" name="IQ_NET_LOANS_5YR_ANN_GROWTH" vbProcedure="false">"c777"</definedName>
    <definedName function="false" hidden="true" name="IQ_NET_LOANS_7YR_ANN_CAGR" vbProcedure="false">"c6109"</definedName>
    <definedName function="false" hidden="true" name="IQ_NET_LOANS_7YR_ANN_GROWTH" vbProcedure="false">"c778"</definedName>
    <definedName function="false" hidden="true" name="IQ_NET_LOANS_LEASES_CORE_DEPOSITS_FDIC" vbProcedure="false">"c6743"</definedName>
    <definedName function="false" hidden="true" name="IQ_NET_LOANS_LEASES_DEPOSITS_FDIC" vbProcedure="false">"c6742"</definedName>
    <definedName function="false" hidden="true" name="IQ_NET_LOANS_TOTAL_DEPOSITS" vbProcedure="false">"c779"</definedName>
    <definedName function="false" hidden="true" name="IQ_NET_OPERATING_INCOME_ASSETS_FDIC" vbProcedure="false">"c6729"</definedName>
    <definedName function="false" hidden="true" name="IQ_NET_RENTAL_EXP_FN" vbProcedure="false">"c780"</definedName>
    <definedName function="false" hidden="true" name="IQ_NET_SECURITIZATION_INCOME_FDIC" vbProcedure="false">"c6669"</definedName>
    <definedName function="false" hidden="true" name="IQ_NET_SERVICING_FEES_FDIC" vbProcedure="false">"c6668"</definedName>
    <definedName function="false" hidden="true" name="IQ_NET_TO_GROSS_EARNED" vbProcedure="false">"c2750"</definedName>
    <definedName function="false" hidden="true" name="IQ_NET_TO_GROSS_WRITTEN" vbProcedure="false">"c2729"</definedName>
    <definedName function="false" hidden="true" name="IQ_NET_WORKING_CAP" vbProcedure="false">"c3493"</definedName>
    <definedName function="false" hidden="true" name="IQ_NET_WRITTEN" vbProcedure="false">"c2728"</definedName>
    <definedName function="false" hidden="true" name="IQ_NEW_PREM" vbProcedure="false">"c2785"</definedName>
    <definedName function="false" hidden="true" name="IQ_NEXT_CALL_DATE" vbProcedure="false">"c2198"</definedName>
    <definedName function="false" hidden="true" name="IQ_NEXT_CALL_PRICE" vbProcedure="false">"c2199"</definedName>
    <definedName function="false" hidden="true" name="IQ_NEXT_INT_DATE" vbProcedure="false">"c2187"</definedName>
    <definedName function="false" hidden="true" name="IQ_NEXT_PUT_DATE" vbProcedure="false">"c2200"</definedName>
    <definedName function="false" hidden="true" name="IQ_NEXT_PUT_PRICE" vbProcedure="false">"c2201"</definedName>
    <definedName function="false" hidden="true" name="IQ_NEXT_SINK_FUND_AMOUNT" vbProcedure="false">"c2490"</definedName>
    <definedName function="false" hidden="true" name="IQ_NEXT_SINK_FUND_DATE" vbProcedure="false">"c2489"</definedName>
    <definedName function="false" hidden="true" name="IQ_NEXT_SINK_FUND_PRICE" vbProcedure="false">"c2491"</definedName>
    <definedName function="false" hidden="true" name="IQ_NI" vbProcedure="false">"c781"</definedName>
    <definedName function="false" hidden="true" name="IQ_NI_10YR_ANN_CAGR" vbProcedure="false">"c6110"</definedName>
    <definedName function="false" hidden="true" name="IQ_NI_10YR_ANN_GROWTH" vbProcedure="false">"c782"</definedName>
    <definedName function="false" hidden="true" name="IQ_NI_1YR_ANN_GROWTH" vbProcedure="false">"c783"</definedName>
    <definedName function="false" hidden="true" name="IQ_NI_2YR_ANN_CAGR" vbProcedure="false">"c6111"</definedName>
    <definedName function="false" hidden="true" name="IQ_NI_2YR_ANN_GROWTH" vbProcedure="false">"c784"</definedName>
    <definedName function="false" hidden="true" name="IQ_NI_3YR_ANN_CAGR" vbProcedure="false">"c6112"</definedName>
    <definedName function="false" hidden="true" name="IQ_NI_3YR_ANN_GROWTH" vbProcedure="false">"c785"</definedName>
    <definedName function="false" hidden="true" name="IQ_NI_5YR_ANN_CAGR" vbProcedure="false">"c6113"</definedName>
    <definedName function="false" hidden="true" name="IQ_NI_5YR_ANN_GROWTH" vbProcedure="false">"c786"</definedName>
    <definedName function="false" hidden="true" name="IQ_NI_7YR_ANN_CAGR" vbProcedure="false">"c6114"</definedName>
    <definedName function="false" hidden="true" name="IQ_NI_7YR_ANN_GROWTH" vbProcedure="false">"c787"</definedName>
    <definedName function="false" hidden="true" name="IQ_NI_ACT_OR_EST" vbProcedure="false">"c2222"</definedName>
    <definedName function="false" hidden="true" name="IQ_NI_ACT_OR_EST_CIQ" vbProcedure="false">"c5065"</definedName>
    <definedName function="false" hidden="true" name="IQ_NI_AFTER_CAPITALIZED" vbProcedure="false">"c788"</definedName>
    <definedName function="false" hidden="true" name="IQ_NI_AVAIL_EXCL" vbProcedure="false">"c789"</definedName>
    <definedName function="false" hidden="true" name="IQ_NI_AVAIL_EXCL_MARGIN" vbProcedure="false">"c790"</definedName>
    <definedName function="false" hidden="true" name="IQ_NI_AVAIL_INCL" vbProcedure="false">"c791"</definedName>
    <definedName function="false" hidden="true" name="IQ_NI_BEFORE_CAPITALIZED" vbProcedure="false">"c792"</definedName>
    <definedName function="false" hidden="true" name="IQ_NI_CF" vbProcedure="false">"c793"</definedName>
    <definedName function="false" hidden="true" name="IQ_NI_EST" vbProcedure="false">"c1716"</definedName>
    <definedName function="false" hidden="true" name="IQ_NI_EST_CIQ" vbProcedure="false">"c4702"</definedName>
    <definedName function="false" hidden="true" name="IQ_NI_GAAP_GUIDANCE" vbProcedure="false">"c4470"</definedName>
    <definedName function="false" hidden="true" name="IQ_NI_GAAP_GUIDANCE_CIQ" vbProcedure="false">"c5008"</definedName>
    <definedName function="false" hidden="true" name="IQ_NI_GAAP_HIGH_GUIDANCE" vbProcedure="false">"c4177"</definedName>
    <definedName function="false" hidden="true" name="IQ_NI_GAAP_HIGH_GUIDANCE_CIQ" vbProcedure="false">"c4589"</definedName>
    <definedName function="false" hidden="true" name="IQ_NI_GAAP_LOW_GUIDANCE" vbProcedure="false">"c4217"</definedName>
    <definedName function="false" hidden="true" name="IQ_NI_GAAP_LOW_GUIDANCE_CIQ" vbProcedure="false">"c4629"</definedName>
    <definedName function="false" hidden="true" name="IQ_NI_GUIDANCE" vbProcedure="false">"c4469"</definedName>
    <definedName function="false" hidden="true" name="IQ_NI_GUIDANCE_CIQ" vbProcedure="false">"c5007"</definedName>
    <definedName function="false" hidden="true" name="IQ_NI_GW_EST_CIQ" vbProcedure="false">"c4709"</definedName>
    <definedName function="false" hidden="true" name="IQ_NI_GW_GUIDANCE" vbProcedure="false">"c4471"</definedName>
    <definedName function="false" hidden="true" name="IQ_NI_GW_GUIDANCE_CIQ" vbProcedure="false">"c5009"</definedName>
    <definedName function="false" hidden="true" name="IQ_NI_GW_HIGH_EST_CIQ" vbProcedure="false">"c4711"</definedName>
    <definedName function="false" hidden="true" name="IQ_NI_GW_HIGH_GUIDANCE" vbProcedure="false">"c4178"</definedName>
    <definedName function="false" hidden="true" name="IQ_NI_GW_HIGH_GUIDANCE_CIQ" vbProcedure="false">"c4590"</definedName>
    <definedName function="false" hidden="true" name="IQ_NI_GW_LOW_EST_CIQ" vbProcedure="false">"c4712"</definedName>
    <definedName function="false" hidden="true" name="IQ_NI_GW_LOW_GUIDANCE" vbProcedure="false">"c4218"</definedName>
    <definedName function="false" hidden="true" name="IQ_NI_GW_LOW_GUIDANCE_CIQ" vbProcedure="false">"c4630"</definedName>
    <definedName function="false" hidden="true" name="IQ_NI_GW_MEDIAN_EST_CIQ" vbProcedure="false">"c4710"</definedName>
    <definedName function="false" hidden="true" name="IQ_NI_GW_NUM_EST_CIQ" vbProcedure="false">"c4713"</definedName>
    <definedName function="false" hidden="true" name="IQ_NI_GW_STDDEV_EST_CIQ" vbProcedure="false">"c4714"</definedName>
    <definedName function="false" hidden="true" name="IQ_NI_HIGH_EST" vbProcedure="false">"c1718"</definedName>
    <definedName function="false" hidden="true" name="IQ_NI_HIGH_EST_CIQ" vbProcedure="false">"c4704"</definedName>
    <definedName function="false" hidden="true" name="IQ_NI_HIGH_GUIDANCE" vbProcedure="false">"c4176"</definedName>
    <definedName function="false" hidden="true" name="IQ_NI_HIGH_GUIDANCE_CIQ" vbProcedure="false">"c4588"</definedName>
    <definedName function="false" hidden="true" name="IQ_NI_LOW_EST" vbProcedure="false">"c1719"</definedName>
    <definedName function="false" hidden="true" name="IQ_NI_LOW_EST_CIQ" vbProcedure="false">"c4705"</definedName>
    <definedName function="false" hidden="true" name="IQ_NI_LOW_GUIDANCE" vbProcedure="false">"c4216"</definedName>
    <definedName function="false" hidden="true" name="IQ_NI_LOW_GUIDANCE_CIQ" vbProcedure="false">"c4628"</definedName>
    <definedName function="false" hidden="true" name="IQ_NI_MARGIN" vbProcedure="false">"c794"</definedName>
    <definedName function="false" hidden="true" name="IQ_NI_MEDIAN_EST" vbProcedure="false">"c1717"</definedName>
    <definedName function="false" hidden="true" name="IQ_NI_MEDIAN_EST_CIQ" vbProcedure="false">"c4703"</definedName>
    <definedName function="false" hidden="true" name="IQ_NI_NORM" vbProcedure="false">"c1901"</definedName>
    <definedName function="false" hidden="true" name="IQ_NI_NORM_10YR_ANN_CAGR" vbProcedure="false">"c6189"</definedName>
    <definedName function="false" hidden="true" name="IQ_NI_NORM_10YR_ANN_GROWTH" vbProcedure="false">"c1960"</definedName>
    <definedName function="false" hidden="true" name="IQ_NI_NORM_1YR_ANN_GROWTH" vbProcedure="false">"c1955"</definedName>
    <definedName function="false" hidden="true" name="IQ_NI_NORM_2YR_ANN_CAGR" vbProcedure="false">"c6185"</definedName>
    <definedName function="false" hidden="true" name="IQ_NI_NORM_2YR_ANN_GROWTH" vbProcedure="false">"c1956"</definedName>
    <definedName function="false" hidden="true" name="IQ_NI_NORM_3YR_ANN_CAGR" vbProcedure="false">"c6186"</definedName>
    <definedName function="false" hidden="true" name="IQ_NI_NORM_3YR_ANN_GROWTH" vbProcedure="false">"c1957"</definedName>
    <definedName function="false" hidden="true" name="IQ_NI_NORM_5YR_ANN_CAGR" vbProcedure="false">"c6187"</definedName>
    <definedName function="false" hidden="true" name="IQ_NI_NORM_5YR_ANN_GROWTH" vbProcedure="false">"c1958"</definedName>
    <definedName function="false" hidden="true" name="IQ_NI_NORM_7YR_ANN_CAGR" vbProcedure="false">"c6188"</definedName>
    <definedName function="false" hidden="true" name="IQ_NI_NORM_7YR_ANN_GROWTH" vbProcedure="false">"c1959"</definedName>
    <definedName function="false" hidden="true" name="IQ_NI_NORM_MARGIN" vbProcedure="false">"c1964"</definedName>
    <definedName function="false" hidden="true" name="IQ_NI_NUM_EST" vbProcedure="false">"c1720"</definedName>
    <definedName function="false" hidden="true" name="IQ_NI_NUM_EST_CIQ" vbProcedure="false">"c4706"</definedName>
    <definedName function="false" hidden="true" name="IQ_NI_REPORTED_EST" vbProcedure="false">"c1730"</definedName>
    <definedName function="false" hidden="true" name="IQ_NI_REPORTED_EST_CIQ" vbProcedure="false">"c4716"</definedName>
    <definedName function="false" hidden="true" name="IQ_NI_REPORTED_HIGH_EST" vbProcedure="false">"c1732"</definedName>
    <definedName function="false" hidden="true" name="IQ_NI_REPORTED_HIGH_EST_CIQ" vbProcedure="false">"c4718"</definedName>
    <definedName function="false" hidden="true" name="IQ_NI_REPORTED_LOW_EST" vbProcedure="false">"c1733"</definedName>
    <definedName function="false" hidden="true" name="IQ_NI_REPORTED_LOW_EST_CIQ" vbProcedure="false">"c4719"</definedName>
    <definedName function="false" hidden="true" name="IQ_NI_REPORTED_MEDIAN_EST" vbProcedure="false">"c1731"</definedName>
    <definedName function="false" hidden="true" name="IQ_NI_REPORTED_MEDIAN_EST_CIQ" vbProcedure="false">"c4717"</definedName>
    <definedName function="false" hidden="true" name="IQ_NI_REPORTED_NUM_EST" vbProcedure="false">"c1734"</definedName>
    <definedName function="false" hidden="true" name="IQ_NI_REPORTED_NUM_EST_CIQ" vbProcedure="false">"c4720"</definedName>
    <definedName function="false" hidden="true" name="IQ_NI_REPORTED_STDDEV_EST" vbProcedure="false">"c1735"</definedName>
    <definedName function="false" hidden="true" name="IQ_NI_REPORTED_STDDEV_EST_CIQ" vbProcedure="false">"c4721"</definedName>
    <definedName function="false" hidden="true" name="IQ_NI_SBC_ACT_OR_EST" vbProcedure="false">"c4474"</definedName>
    <definedName function="false" hidden="true" name="IQ_NI_SBC_ACT_OR_EST_CIQ" vbProcedure="false">"c5012"</definedName>
    <definedName function="false" hidden="true" name="IQ_NI_SBC_EST" vbProcedure="false">"c4473"</definedName>
    <definedName function="false" hidden="true" name="IQ_NI_SBC_EST_CIQ" vbProcedure="false">"c5011"</definedName>
    <definedName function="false" hidden="true" name="IQ_NI_SBC_GUIDANCE" vbProcedure="false">"c4475"</definedName>
    <definedName function="false" hidden="true" name="IQ_NI_SBC_GUIDANCE_CIQ" vbProcedure="false">"c5013"</definedName>
    <definedName function="false" hidden="true" name="IQ_NI_SBC_GW_ACT_OR_EST" vbProcedure="false">"c4478"</definedName>
    <definedName function="false" hidden="true" name="IQ_NI_SBC_GW_ACT_OR_EST_CIQ" vbProcedure="false">"c5016"</definedName>
    <definedName function="false" hidden="true" name="IQ_NI_SBC_GW_EST" vbProcedure="false">"c4477"</definedName>
    <definedName function="false" hidden="true" name="IQ_NI_SBC_GW_EST_CIQ" vbProcedure="false">"c5015"</definedName>
    <definedName function="false" hidden="true" name="IQ_NI_SBC_GW_GUIDANCE" vbProcedure="false">"c4479"</definedName>
    <definedName function="false" hidden="true" name="IQ_NI_SBC_GW_GUIDANCE_CIQ" vbProcedure="false">"c5017"</definedName>
    <definedName function="false" hidden="true" name="IQ_NI_SBC_GW_HIGH_EST" vbProcedure="false">"c4480"</definedName>
    <definedName function="false" hidden="true" name="IQ_NI_SBC_GW_HIGH_EST_CIQ" vbProcedure="false">"c5018"</definedName>
    <definedName function="false" hidden="true" name="IQ_NI_SBC_GW_HIGH_GUIDANCE" vbProcedure="false">"c4187"</definedName>
    <definedName function="false" hidden="true" name="IQ_NI_SBC_GW_HIGH_GUIDANCE_CIQ" vbProcedure="false">"c4599"</definedName>
    <definedName function="false" hidden="true" name="IQ_NI_SBC_GW_LOW_EST" vbProcedure="false">"c4481"</definedName>
    <definedName function="false" hidden="true" name="IQ_NI_SBC_GW_LOW_EST_CIQ" vbProcedure="false">"c5019"</definedName>
    <definedName function="false" hidden="true" name="IQ_NI_SBC_GW_LOW_GUIDANCE" vbProcedure="false">"c4227"</definedName>
    <definedName function="false" hidden="true" name="IQ_NI_SBC_GW_LOW_GUIDANCE_CIQ" vbProcedure="false">"c4639"</definedName>
    <definedName function="false" hidden="true" name="IQ_NI_SBC_GW_MEDIAN_EST" vbProcedure="false">"c4482"</definedName>
    <definedName function="false" hidden="true" name="IQ_NI_SBC_GW_MEDIAN_EST_CIQ" vbProcedure="false">"c5020"</definedName>
    <definedName function="false" hidden="true" name="IQ_NI_SBC_GW_NUM_EST" vbProcedure="false">"c4483"</definedName>
    <definedName function="false" hidden="true" name="IQ_NI_SBC_GW_NUM_EST_CIQ" vbProcedure="false">"c5021"</definedName>
    <definedName function="false" hidden="true" name="IQ_NI_SBC_GW_STDDEV_EST" vbProcedure="false">"c4484"</definedName>
    <definedName function="false" hidden="true" name="IQ_NI_SBC_GW_STDDEV_EST_CIQ" vbProcedure="false">"c5022"</definedName>
    <definedName function="false" hidden="true" name="IQ_NI_SBC_HIGH_EST" vbProcedure="false">"c4486"</definedName>
    <definedName function="false" hidden="true" name="IQ_NI_SBC_HIGH_EST_CIQ" vbProcedure="false">"c5024"</definedName>
    <definedName function="false" hidden="true" name="IQ_NI_SBC_HIGH_GUIDANCE" vbProcedure="false">"c4186"</definedName>
    <definedName function="false" hidden="true" name="IQ_NI_SBC_HIGH_GUIDANCE_CIQ" vbProcedure="false">"c4598"</definedName>
    <definedName function="false" hidden="true" name="IQ_NI_SBC_LOW_EST" vbProcedure="false">"c4487"</definedName>
    <definedName function="false" hidden="true" name="IQ_NI_SBC_LOW_EST_CIQ" vbProcedure="false">"c5025"</definedName>
    <definedName function="false" hidden="true" name="IQ_NI_SBC_LOW_GUIDANCE" vbProcedure="false">"c4226"</definedName>
    <definedName function="false" hidden="true" name="IQ_NI_SBC_LOW_GUIDANCE_CIQ" vbProcedure="false">"c4638"</definedName>
    <definedName function="false" hidden="true" name="IQ_NI_SBC_MEDIAN_EST" vbProcedure="false">"c4488"</definedName>
    <definedName function="false" hidden="true" name="IQ_NI_SBC_MEDIAN_EST_CIQ" vbProcedure="false">"c5026"</definedName>
    <definedName function="false" hidden="true" name="IQ_NI_SBC_NUM_EST" vbProcedure="false">"c4489"</definedName>
    <definedName function="false" hidden="true" name="IQ_NI_SBC_NUM_EST_CIQ" vbProcedure="false">"c5027"</definedName>
    <definedName function="false" hidden="true" name="IQ_NI_SBC_STDDEV_EST" vbProcedure="false">"c4490"</definedName>
    <definedName function="false" hidden="true" name="IQ_NI_SBC_STDDEV_EST_CIQ" vbProcedure="false">"c5028"</definedName>
    <definedName function="false" hidden="true" name="IQ_NI_SFAS" vbProcedure="false">"c795"</definedName>
    <definedName function="false" hidden="true" name="IQ_NI_STDDEV_EST" vbProcedure="false">"c1721"</definedName>
    <definedName function="false" hidden="true" name="IQ_NI_STDDEV_EST_CIQ" vbProcedure="false">"c4707"</definedName>
    <definedName function="false" hidden="true" name="IQ_NOL_CF_1YR" vbProcedure="false">"c3465"</definedName>
    <definedName function="false" hidden="true" name="IQ_NOL_CF_2YR" vbProcedure="false">"c3466"</definedName>
    <definedName function="false" hidden="true" name="IQ_NOL_CF_3YR" vbProcedure="false">"c3467"</definedName>
    <definedName function="false" hidden="true" name="IQ_NOL_CF_4YR" vbProcedure="false">"c3468"</definedName>
    <definedName function="false" hidden="true" name="IQ_NOL_CF_5YR" vbProcedure="false">"c3469"</definedName>
    <definedName function="false" hidden="true" name="IQ_NOL_CF_AFTER_FIVE" vbProcedure="false">"c3470"</definedName>
    <definedName function="false" hidden="true" name="IQ_NOL_CF_MAX_YEAR" vbProcedure="false">"c3473"</definedName>
    <definedName function="false" hidden="true" name="IQ_NOL_CF_NO_EXP" vbProcedure="false">"c3471"</definedName>
    <definedName function="false" hidden="true" name="IQ_NOL_CF_TOTAL" vbProcedure="false">"c3472"</definedName>
    <definedName function="false" hidden="true" name="IQ_NONCASH_PENSION_EXP" vbProcedure="false">"c3000"</definedName>
    <definedName function="false" hidden="true" name="IQ_NONCURRENT_LOANS_1_4_FAMILY_FDIC" vbProcedure="false">"c6770"</definedName>
    <definedName function="false" hidden="true" name="IQ_NONCURRENT_LOANS_COMMERCIAL_INDUSTRIAL_FDIC" vbProcedure="false">"c6773"</definedName>
    <definedName function="false" hidden="true" name="IQ_NONCURRENT_LOANS_COMMERCIAL_RE_FDIC" vbProcedure="false">"c6768"</definedName>
    <definedName function="false" hidden="true" name="IQ_NONCURRENT_LOANS_COMMERCIAL_RE_NOT_SECURED_FDIC" vbProcedure="false">"c6778"</definedName>
    <definedName function="false" hidden="true" name="IQ_NONCURRENT_LOANS_CONSTRUCTION_LAND_DEV_FDIC" vbProcedure="false">"c6767"</definedName>
    <definedName function="false" hidden="true" name="IQ_NONCURRENT_LOANS_CREDIT_CARD_FDIC" vbProcedure="false">"c6775"</definedName>
    <definedName function="false" hidden="true" name="IQ_NONCURRENT_LOANS_GUARANTEED_FDIC" vbProcedure="false">"c6358"</definedName>
    <definedName function="false" hidden="true" name="IQ_NONCURRENT_LOANS_HOME_EQUITY_FDIC" vbProcedure="false">"c6771"</definedName>
    <definedName function="false" hidden="true" name="IQ_NONCURRENT_LOANS_INDIVIDUALS_FDIC" vbProcedure="false">"c6774"</definedName>
    <definedName function="false" hidden="true" name="IQ_NONCURRENT_LOANS_LEASES_FDIC" vbProcedure="false">"c6357"</definedName>
    <definedName function="false" hidden="true" name="IQ_NONCURRENT_LOANS_MULTIFAMILY_FDIC" vbProcedure="false">"c6769"</definedName>
    <definedName function="false" hidden="true" name="IQ_NONCURRENT_LOANS_OTHER_FAMILY_FDIC" vbProcedure="false">"c6772"</definedName>
    <definedName function="false" hidden="true" name="IQ_NONCURRENT_LOANS_OTHER_INDIVIDUAL_FDIC" vbProcedure="false">"c6776"</definedName>
    <definedName function="false" hidden="true" name="IQ_NONCURRENT_LOANS_OTHER_LOANS_FDIC" vbProcedure="false">"c6777"</definedName>
    <definedName function="false" hidden="true" name="IQ_NONCURRENT_LOANS_RE_FDIC" vbProcedure="false">"c6766"</definedName>
    <definedName function="false" hidden="true" name="IQ_NONCURRENT_LOANS_TOTAL_LOANS_FDIC" vbProcedure="false">"c6765"</definedName>
    <definedName function="false" hidden="true" name="IQ_NONCURRENT_OREO_ASSETS_FDIC" vbProcedure="false">"c6741"</definedName>
    <definedName function="false" hidden="true" name="IQ_NONINTEREST_BEARING_BALANCES_FDIC" vbProcedure="false">"c6394"</definedName>
    <definedName function="false" hidden="true" name="IQ_NONINTEREST_BEARING_DEPOSITS_DOMESTIC_FDIC" vbProcedure="false">"c6477"</definedName>
    <definedName function="false" hidden="true" name="IQ_NONINTEREST_BEARING_DEPOSITS_FOREIGN_FDIC" vbProcedure="false">"c6484"</definedName>
    <definedName function="false" hidden="true" name="IQ_NONINTEREST_EXPENSE_EARNING_ASSETS_FDIC" vbProcedure="false">"c6728"</definedName>
    <definedName function="false" hidden="true" name="IQ_NONINTEREST_INCOME_EARNING_ASSETS_FDIC" vbProcedure="false">"c6727"</definedName>
    <definedName function="false" hidden="true" name="IQ_NONMORTGAGE_SERVICING_FDIC" vbProcedure="false">"c6336"</definedName>
    <definedName function="false" hidden="true" name="IQ_NONRECOURSE_DEBT" vbProcedure="false">"c2550"</definedName>
    <definedName function="false" hidden="true" name="IQ_NONRECOURSE_DEBT_PCT" vbProcedure="false">"c2551"</definedName>
    <definedName function="false" hidden="true" name="IQ_NONTRANSACTION_ACCOUNTS_FDIC" vbProcedure="false">"c6552"</definedName>
    <definedName function="false" hidden="true" name="IQ_NONUTIL_REV" vbProcedure="false">"c2089"</definedName>
    <definedName function="false" hidden="true" name="IQ_NON_ACCRUAL_LOANS" vbProcedure="false">"c796"</definedName>
    <definedName function="false" hidden="true" name="IQ_NON_CASH" vbProcedure="false">"c1399"</definedName>
    <definedName function="false" hidden="true" name="IQ_NON_CASH_ITEMS" vbProcedure="false">"c797"</definedName>
    <definedName function="false" hidden="true" name="IQ_NON_INS_EXP" vbProcedure="false">"c798"</definedName>
    <definedName function="false" hidden="true" name="IQ_NON_INS_REV" vbProcedure="false">"c799"</definedName>
    <definedName function="false" hidden="true" name="IQ_NON_INTEREST_EXP" vbProcedure="false">"c1400"</definedName>
    <definedName function="false" hidden="true" name="IQ_NON_INTEREST_INC" vbProcedure="false">"c1401"</definedName>
    <definedName function="false" hidden="true" name="IQ_NON_INT_BEAR_CD" vbProcedure="false">"c800"</definedName>
    <definedName function="false" hidden="true" name="IQ_NON_INT_EXP" vbProcedure="false">"c801"</definedName>
    <definedName function="false" hidden="true" name="IQ_NON_INT_EXP_FDIC" vbProcedure="false">"c6579"</definedName>
    <definedName function="false" hidden="true" name="IQ_NON_INT_INC" vbProcedure="false">"c802"</definedName>
    <definedName function="false" hidden="true" name="IQ_NON_INT_INC_10YR_ANN_CAGR" vbProcedure="false">"c6115"</definedName>
    <definedName function="false" hidden="true" name="IQ_NON_INT_INC_10YR_ANN_GROWTH" vbProcedure="false">"c803"</definedName>
    <definedName function="false" hidden="true" name="IQ_NON_INT_INC_1YR_ANN_GROWTH" vbProcedure="false">"c804"</definedName>
    <definedName function="false" hidden="true" name="IQ_NON_INT_INC_2YR_ANN_CAGR" vbProcedure="false">"c6116"</definedName>
    <definedName function="false" hidden="true" name="IQ_NON_INT_INC_2YR_ANN_GROWTH" vbProcedure="false">"c805"</definedName>
    <definedName function="false" hidden="true" name="IQ_NON_INT_INC_3YR_ANN_CAGR" vbProcedure="false">"c6117"</definedName>
    <definedName function="false" hidden="true" name="IQ_NON_INT_INC_3YR_ANN_GROWTH" vbProcedure="false">"c806"</definedName>
    <definedName function="false" hidden="true" name="IQ_NON_INT_INC_5YR_ANN_CAGR" vbProcedure="false">"c6118"</definedName>
    <definedName function="false" hidden="true" name="IQ_NON_INT_INC_5YR_ANN_GROWTH" vbProcedure="false">"c807"</definedName>
    <definedName function="false" hidden="true" name="IQ_NON_INT_INC_7YR_ANN_CAGR" vbProcedure="false">"c6119"</definedName>
    <definedName function="false" hidden="true" name="IQ_NON_INT_INC_7YR_ANN_GROWTH" vbProcedure="false">"c808"</definedName>
    <definedName function="false" hidden="true" name="IQ_NON_INT_INC_FDIC" vbProcedure="false">"c6575"</definedName>
    <definedName function="false" hidden="true" name="IQ_NON_OPER_EXP" vbProcedure="false">"c809"</definedName>
    <definedName function="false" hidden="true" name="IQ_NON_OPER_INC" vbProcedure="false">"c810"</definedName>
    <definedName function="false" hidden="true" name="IQ_NON_PERFORMING_ASSETS" vbProcedure="false">"c826"</definedName>
    <definedName function="false" hidden="true" name="IQ_NON_PERFORMING_LOANS" vbProcedure="false">"c827"</definedName>
    <definedName function="false" hidden="true" name="IQ_NON_PERF_ASSETS_10YR_ANN_CAGR" vbProcedure="false">"c6120"</definedName>
    <definedName function="false" hidden="true" name="IQ_NON_PERF_ASSETS_10YR_ANN_GROWTH" vbProcedure="false">"c811"</definedName>
    <definedName function="false" hidden="true" name="IQ_NON_PERF_ASSETS_1YR_ANN_GROWTH" vbProcedure="false">"c812"</definedName>
    <definedName function="false" hidden="true" name="IQ_NON_PERF_ASSETS_2YR_ANN_CAGR" vbProcedure="false">"c6121"</definedName>
    <definedName function="false" hidden="true" name="IQ_NON_PERF_ASSETS_2YR_ANN_GROWTH" vbProcedure="false">"c813"</definedName>
    <definedName function="false" hidden="true" name="IQ_NON_PERF_ASSETS_3YR_ANN_CAGR" vbProcedure="false">"c6122"</definedName>
    <definedName function="false" hidden="true" name="IQ_NON_PERF_ASSETS_3YR_ANN_GROWTH" vbProcedure="false">"c814"</definedName>
    <definedName function="false" hidden="true" name="IQ_NON_PERF_ASSETS_5YR_ANN_CAGR" vbProcedure="false">"c6123"</definedName>
    <definedName function="false" hidden="true" name="IQ_NON_PERF_ASSETS_5YR_ANN_GROWTH" vbProcedure="false">"c815"</definedName>
    <definedName function="false" hidden="true" name="IQ_NON_PERF_ASSETS_7YR_ANN_CAGR" vbProcedure="false">"c6124"</definedName>
    <definedName function="false" hidden="true" name="IQ_NON_PERF_ASSETS_7YR_ANN_GROWTH" vbProcedure="false">"c816"</definedName>
    <definedName function="false" hidden="true" name="IQ_NON_PERF_ASSETS_TOTAL_ASSETS" vbProcedure="false">"c817"</definedName>
    <definedName function="false" hidden="true" name="IQ_NON_PERF_LOANS_10YR_ANN_CAGR" vbProcedure="false">"c6125"</definedName>
    <definedName function="false" hidden="true" name="IQ_NON_PERF_LOANS_10YR_ANN_GROWTH" vbProcedure="false">"c818"</definedName>
    <definedName function="false" hidden="true" name="IQ_NON_PERF_LOANS_1YR_ANN_GROWTH" vbProcedure="false">"c819"</definedName>
    <definedName function="false" hidden="true" name="IQ_NON_PERF_LOANS_2YR_ANN_CAGR" vbProcedure="false">"c6126"</definedName>
    <definedName function="false" hidden="true" name="IQ_NON_PERF_LOANS_2YR_ANN_GROWTH" vbProcedure="false">"c820"</definedName>
    <definedName function="false" hidden="true" name="IQ_NON_PERF_LOANS_3YR_ANN_CAGR" vbProcedure="false">"c6127"</definedName>
    <definedName function="false" hidden="true" name="IQ_NON_PERF_LOANS_3YR_ANN_GROWTH" vbProcedure="false">"c821"</definedName>
    <definedName function="false" hidden="true" name="IQ_NON_PERF_LOANS_5YR_ANN_CAGR" vbProcedure="false">"c6128"</definedName>
    <definedName function="false" hidden="true" name="IQ_NON_PERF_LOANS_5YR_ANN_GROWTH" vbProcedure="false">"c822"</definedName>
    <definedName function="false" hidden="true" name="IQ_NON_PERF_LOANS_7YR_ANN_CAGR" vbProcedure="false">"c6129"</definedName>
    <definedName function="false" hidden="true" name="IQ_NON_PERF_LOANS_7YR_ANN_GROWTH" vbProcedure="false">"c823"</definedName>
    <definedName function="false" hidden="true" name="IQ_NON_PERF_LOANS_TOTAL_ASSETS" vbProcedure="false">"c824"</definedName>
    <definedName function="false" hidden="true" name="IQ_NON_PERF_LOANS_TOTAL_LOANS" vbProcedure="false">"c825"</definedName>
    <definedName function="false" hidden="true" name="IQ_NON_US_ADDRESSEES_TOTAL_LOANS_FOREIGN_FDIC" vbProcedure="false">"c6443"</definedName>
    <definedName function="false" hidden="true" name="IQ_NON_US_CHARGE_OFFS_AND_RECOVERIES_FDIC" vbProcedure="false">"c6650"</definedName>
    <definedName function="false" hidden="true" name="IQ_NON_US_CHARGE_OFFS_FDIC" vbProcedure="false">"c6648"</definedName>
    <definedName function="false" hidden="true" name="IQ_NON_US_COMMERCIAL_INDUSTRIAL_CHARGE_OFFS_FDIC" vbProcedure="false">"c6651"</definedName>
    <definedName function="false" hidden="true" name="IQ_NON_US_NET_LOANS_FDIC" vbProcedure="false">"c6376"</definedName>
    <definedName function="false" hidden="true" name="IQ_NON_US_RECOVERIES_FDIC" vbProcedure="false">"c6649"</definedName>
    <definedName function="false" hidden="true" name="IQ_NORMAL_INC_AFTER" vbProcedure="false">"c1605"</definedName>
    <definedName function="false" hidden="true" name="IQ_NORMAL_INC_AVAIL" vbProcedure="false">"c1606"</definedName>
    <definedName function="false" hidden="true" name="IQ_NORMAL_INC_BEFORE" vbProcedure="false">"c1607"</definedName>
    <definedName function="false" hidden="true" name="IQ_NORM_EPS_ACT_OR_EST" vbProcedure="false">"c2249"</definedName>
    <definedName function="false" hidden="true" name="IQ_NORM_EPS_ACT_OR_EST_CIQ" vbProcedure="false">"c5069"</definedName>
    <definedName function="false" hidden="true" name="IQ_NOTES_PAY" vbProcedure="false">"c1423"</definedName>
    <definedName function="false" hidden="true" name="IQ_NOTIONAL_AMOUNT_CREDIT_DERIVATIVES_FDIC" vbProcedure="false">"c6507"</definedName>
    <definedName function="false" hidden="true" name="IQ_NOTIONAL_VALUE_EXCHANGE_SWAPS_FDIC" vbProcedure="false">"c6516"</definedName>
    <definedName function="false" hidden="true" name="IQ_NOTIONAL_VALUE_OTHER_SWAPS_FDIC" vbProcedure="false">"c6521"</definedName>
    <definedName function="false" hidden="true" name="IQ_NOTIONAL_VALUE_RATE_SWAPS_FDIC" vbProcedure="false">"c6511"</definedName>
    <definedName function="false" hidden="true" name="IQ_NOW_ACCOUNT" vbProcedure="false">"c828"</definedName>
    <definedName function="false" hidden="true" name="IQ_NPPE" vbProcedure="false">"c829"</definedName>
    <definedName function="false" hidden="true" name="IQ_NPPE_10YR_ANN_CAGR" vbProcedure="false">"c6130"</definedName>
    <definedName function="false" hidden="true" name="IQ_NPPE_10YR_ANN_GROWTH" vbProcedure="false">"c830"</definedName>
    <definedName function="false" hidden="true" name="IQ_NPPE_1YR_ANN_GROWTH" vbProcedure="false">"c831"</definedName>
    <definedName function="false" hidden="true" name="IQ_NPPE_2YR_ANN_CAGR" vbProcedure="false">"c6131"</definedName>
    <definedName function="false" hidden="true" name="IQ_NPPE_2YR_ANN_GROWTH" vbProcedure="false">"c832"</definedName>
    <definedName function="false" hidden="true" name="IQ_NPPE_3YR_ANN_CAGR" vbProcedure="false">"c6132"</definedName>
    <definedName function="false" hidden="true" name="IQ_NPPE_3YR_ANN_GROWTH" vbProcedure="false">"c833"</definedName>
    <definedName function="false" hidden="true" name="IQ_NPPE_5YR_ANN_CAGR" vbProcedure="false">"c6133"</definedName>
    <definedName function="false" hidden="true" name="IQ_NPPE_5YR_ANN_GROWTH" vbProcedure="false">"c834"</definedName>
    <definedName function="false" hidden="true" name="IQ_NPPE_7YR_ANN_CAGR" vbProcedure="false">"c6134"</definedName>
    <definedName function="false" hidden="true" name="IQ_NPPE_7YR_ANN_GROWTH" vbProcedure="false">"c835"</definedName>
    <definedName function="false" hidden="true" name="IQ_NTM" vbProcedure="false">6000</definedName>
    <definedName function="false" hidden="true" name="IQ_NUKE" vbProcedure="false">"c836"</definedName>
    <definedName function="false" hidden="true" name="IQ_NUKE_CF" vbProcedure="false">"c837"</definedName>
    <definedName function="false" hidden="true" name="IQ_NUKE_CONTR" vbProcedure="false">"c838"</definedName>
    <definedName function="false" hidden="true" name="IQ_NUMBER_ADRHOLDERS" vbProcedure="false">"c1970"</definedName>
    <definedName function="false" hidden="true" name="IQ_NUMBER_DAYS" vbProcedure="false">"c1904"</definedName>
    <definedName function="false" hidden="true" name="IQ_NUMBER_DEPOSITS_LESS_THAN_100K_FDIC" vbProcedure="false">"c6495"</definedName>
    <definedName function="false" hidden="true" name="IQ_NUMBER_DEPOSITS_MORE_THAN_100K_FDIC" vbProcedure="false">"c6493"</definedName>
    <definedName function="false" hidden="true" name="IQ_NUMBER_SHAREHOLDERS" vbProcedure="false">"c1967"</definedName>
    <definedName function="false" hidden="true" name="IQ_NUMBER_SHAREHOLDERS_CLASSA" vbProcedure="false">"c1968"</definedName>
    <definedName function="false" hidden="true" name="IQ_NUMBER_SHAREHOLDERS_OTHER" vbProcedure="false">"c1969"</definedName>
    <definedName function="false" hidden="true" name="IQ_NUM_BRANCHES" vbProcedure="false">"c2088"</definedName>
    <definedName function="false" hidden="true" name="IQ_OBLIGATIONS_OF_STATES_TOTAL_LOANS_FOREIGN_FDIC" vbProcedure="false">"c6447"</definedName>
    <definedName function="false" hidden="true" name="IQ_OBLIGATIONS_STATES_FDIC" vbProcedure="false">"c6431"</definedName>
    <definedName function="false" hidden="true" name="IQ_OCCUPY_EXP" vbProcedure="false">"c839"</definedName>
    <definedName function="false" hidden="true" name="IQ_OFFER_AMOUNT" vbProcedure="false">"c2152"</definedName>
    <definedName function="false" hidden="true" name="IQ_OFFER_COUPON" vbProcedure="false">"c2147"</definedName>
    <definedName function="false" hidden="true" name="IQ_OFFER_COUPON_TYPE" vbProcedure="false">"c2148"</definedName>
    <definedName function="false" hidden="true" name="IQ_OFFER_DATE" vbProcedure="false">"c2149"</definedName>
    <definedName function="false" hidden="true" name="IQ_OFFER_PRICE" vbProcedure="false">"c2150"</definedName>
    <definedName function="false" hidden="true" name="IQ_OFFER_YIELD" vbProcedure="false">"c2151"</definedName>
    <definedName function="false" hidden="true" name="IQ_OG_10DISC" vbProcedure="false">"c1998"</definedName>
    <definedName function="false" hidden="true" name="IQ_OG_10DISC_GAS" vbProcedure="false">"c2018"</definedName>
    <definedName function="false" hidden="true" name="IQ_OG_10DISC_OIL" vbProcedure="false">"c2008"</definedName>
    <definedName function="false" hidden="true" name="IQ_OG_ACQ_COST_PROVED" vbProcedure="false">"c1975"</definedName>
    <definedName function="false" hidden="true" name="IQ_OG_ACQ_COST_PROVED_GAS" vbProcedure="false">"c1987"</definedName>
    <definedName function="false" hidden="true" name="IQ_OG_ACQ_COST_PROVED_OIL" vbProcedure="false">"c1981"</definedName>
    <definedName function="false" hidden="true" name="IQ_OG_ACQ_COST_UNPROVED" vbProcedure="false">"c1976"</definedName>
    <definedName function="false" hidden="true" name="IQ_OG_ACQ_COST_UNPROVED_GAS" vbProcedure="false">"c1988"</definedName>
    <definedName function="false" hidden="true" name="IQ_OG_ACQ_COST_UNPROVED_OIL" vbProcedure="false">"c1982"</definedName>
    <definedName function="false" hidden="true" name="IQ_OG_AVG_DAILY_PROD_GAS" vbProcedure="false">"c2910"</definedName>
    <definedName function="false" hidden="true" name="IQ_OG_AVG_DAILY_PROD_NGL" vbProcedure="false">"c2911"</definedName>
    <definedName function="false" hidden="true" name="IQ_OG_AVG_DAILY_PROD_OIL" vbProcedure="false">"c2909"</definedName>
    <definedName function="false" hidden="true" name="IQ_OG_AVG_DAILY_SALES_VOL_EQ_INC_GAS" vbProcedure="false">"c5797"</definedName>
    <definedName function="false" hidden="true" name="IQ_OG_AVG_DAILY_SALES_VOL_EQ_INC_NGL" vbProcedure="false">"c5798"</definedName>
    <definedName function="false" hidden="true" name="IQ_OG_AVG_DAILY_SALES_VOL_EQ_INC_OIL" vbProcedure="false">"c5796"</definedName>
    <definedName function="false" hidden="true" name="IQ_OG_CLOSE_BALANCE_GAS" vbProcedure="false">"c2049"</definedName>
    <definedName function="false" hidden="true" name="IQ_OG_CLOSE_BALANCE_NGL" vbProcedure="false">"c2920"</definedName>
    <definedName function="false" hidden="true" name="IQ_OG_CLOSE_BALANCE_OIL" vbProcedure="false">"c2037"</definedName>
    <definedName function="false" hidden="true" name="IQ_OG_DCF_BEFORE_TAXES" vbProcedure="false">"c2023"</definedName>
    <definedName function="false" hidden="true" name="IQ_OG_DCF_BEFORE_TAXES_GAS" vbProcedure="false">"c2025"</definedName>
    <definedName function="false" hidden="true" name="IQ_OG_DCF_BEFORE_TAXES_OIL" vbProcedure="false">"c2024"</definedName>
    <definedName function="false" hidden="true" name="IQ_OG_DEVELOPED_ACRE_GROSS_EQ_INC" vbProcedure="false">"c5802"</definedName>
    <definedName function="false" hidden="true" name="IQ_OG_DEVELOPED_ACRE_NET_EQ_INC" vbProcedure="false">"c5803"</definedName>
    <definedName function="false" hidden="true" name="IQ_OG_DEVELOPED_RESERVES_GAS" vbProcedure="false">"c2053"</definedName>
    <definedName function="false" hidden="true" name="IQ_OG_DEVELOPED_RESERVES_NGL" vbProcedure="false">"c2922"</definedName>
    <definedName function="false" hidden="true" name="IQ_OG_DEVELOPED_RESERVES_OIL" vbProcedure="false">"c2054"</definedName>
    <definedName function="false" hidden="true" name="IQ_OG_DEVELOPMENT_COSTS" vbProcedure="false">"c1978"</definedName>
    <definedName function="false" hidden="true" name="IQ_OG_DEVELOPMENT_COSTS_GAS" vbProcedure="false">"c1990"</definedName>
    <definedName function="false" hidden="true" name="IQ_OG_DEVELOPMENT_COSTS_OIL" vbProcedure="false">"c1984"</definedName>
    <definedName function="false" hidden="true" name="IQ_OG_EQUITY_DCF" vbProcedure="false">"c2002"</definedName>
    <definedName function="false" hidden="true" name="IQ_OG_EQUITY_DCF_GAS" vbProcedure="false">"c2022"</definedName>
    <definedName function="false" hidden="true" name="IQ_OG_EQUITY_DCF_OIL" vbProcedure="false">"c2012"</definedName>
    <definedName function="false" hidden="true" name="IQ_OG_EQUTY_RESERVES_GAS" vbProcedure="false">"c2050"</definedName>
    <definedName function="false" hidden="true" name="IQ_OG_EQUTY_RESERVES_NGL" vbProcedure="false">"c2921"</definedName>
    <definedName function="false" hidden="true" name="IQ_OG_EQUTY_RESERVES_OIL" vbProcedure="false">"c2038"</definedName>
    <definedName function="false" hidden="true" name="IQ_OG_EXPLORATION_COSTS" vbProcedure="false">"c1977"</definedName>
    <definedName function="false" hidden="true" name="IQ_OG_EXPLORATION_COSTS_GAS" vbProcedure="false">"c1989"</definedName>
    <definedName function="false" hidden="true" name="IQ_OG_EXPLORATION_COSTS_OIL" vbProcedure="false">"c1983"</definedName>
    <definedName function="false" hidden="true" name="IQ_OG_EXT_DISC_GAS" vbProcedure="false">"c2043"</definedName>
    <definedName function="false" hidden="true" name="IQ_OG_EXT_DISC_NGL" vbProcedure="false">"c2914"</definedName>
    <definedName function="false" hidden="true" name="IQ_OG_EXT_DISC_OIL" vbProcedure="false">"c2031"</definedName>
    <definedName function="false" hidden="true" name="IQ_OG_FUTURE_CASH_INFLOWS" vbProcedure="false">"c1993"</definedName>
    <definedName function="false" hidden="true" name="IQ_OG_FUTURE_CASH_INFLOWS_GAS" vbProcedure="false">"c2013"</definedName>
    <definedName function="false" hidden="true" name="IQ_OG_FUTURE_CASH_INFLOWS_OIL" vbProcedure="false">"c2003"</definedName>
    <definedName function="false" hidden="true" name="IQ_OG_FUTURE_DEVELOPMENT_COSTS" vbProcedure="false">"c1995"</definedName>
    <definedName function="false" hidden="true" name="IQ_OG_FUTURE_DEVELOPMENT_COSTS_GAS" vbProcedure="false">"c2015"</definedName>
    <definedName function="false" hidden="true" name="IQ_OG_FUTURE_DEVELOPMENT_COSTS_OIL" vbProcedure="false">"c2005"</definedName>
    <definedName function="false" hidden="true" name="IQ_OG_FUTURE_INC_TAXES" vbProcedure="false">"c1997"</definedName>
    <definedName function="false" hidden="true" name="IQ_OG_FUTURE_INC_TAXES_GAS" vbProcedure="false">"c2017"</definedName>
    <definedName function="false" hidden="true" name="IQ_OG_FUTURE_INC_TAXES_OIL" vbProcedure="false">"c2007"</definedName>
    <definedName function="false" hidden="true" name="IQ_OG_FUTURE_PRODUCTION_COSTS" vbProcedure="false">"c1994"</definedName>
    <definedName function="false" hidden="true" name="IQ_OG_FUTURE_PRODUCTION_COSTS_GAS" vbProcedure="false">"c2014"</definedName>
    <definedName function="false" hidden="true" name="IQ_OG_FUTURE_PRODUCTION_COSTS_OIL" vbProcedure="false">"c2004"</definedName>
    <definedName function="false" hidden="true" name="IQ_OG_GAS_PRICE_HEDGED" vbProcedure="false">"c2056"</definedName>
    <definedName function="false" hidden="true" name="IQ_OG_GAS_PRICE_UNHEDGED" vbProcedure="false">"c2058"</definedName>
    <definedName function="false" hidden="true" name="IQ_OG_IMPROVED_RECOVERY_GAS" vbProcedure="false">"c2044"</definedName>
    <definedName function="false" hidden="true" name="IQ_OG_IMPROVED_RECOVERY_NGL" vbProcedure="false">"c2915"</definedName>
    <definedName function="false" hidden="true" name="IQ_OG_IMPROVED_RECOVERY_OIL" vbProcedure="false">"c2032"</definedName>
    <definedName function="false" hidden="true" name="IQ_OG_LIQUID_GAS_PRICE_HEDGED" vbProcedure="false">"c2233"</definedName>
    <definedName function="false" hidden="true" name="IQ_OG_LIQUID_GAS_PRICE_UNHEDGED" vbProcedure="false">"c2234"</definedName>
    <definedName function="false" hidden="true" name="IQ_OG_NET_FUTURE_CASH_FLOWS" vbProcedure="false">"c1996"</definedName>
    <definedName function="false" hidden="true" name="IQ_OG_NET_FUTURE_CASH_FLOWS_GAS" vbProcedure="false">"c2016"</definedName>
    <definedName function="false" hidden="true" name="IQ_OG_NET_FUTURE_CASH_FLOWS_OIL" vbProcedure="false">"c2006"</definedName>
    <definedName function="false" hidden="true" name="IQ_OG_OIL_PRICE_HEDGED" vbProcedure="false">"c2055"</definedName>
    <definedName function="false" hidden="true" name="IQ_OG_OIL_PRICE_UNHEDGED" vbProcedure="false">"c2057"</definedName>
    <definedName function="false" hidden="true" name="IQ_OG_OPEN_BALANCE_GAS" vbProcedure="false">"c2041"</definedName>
    <definedName function="false" hidden="true" name="IQ_OG_OPEN_BALANCE_NGL" vbProcedure="false">"c2912"</definedName>
    <definedName function="false" hidden="true" name="IQ_OG_OPEN_BALANCE_OIL" vbProcedure="false">"c2029"</definedName>
    <definedName function="false" hidden="true" name="IQ_OG_OTHER_ADJ_FCF" vbProcedure="false">"c1999"</definedName>
    <definedName function="false" hidden="true" name="IQ_OG_OTHER_ADJ_FCF_GAS" vbProcedure="false">"c2019"</definedName>
    <definedName function="false" hidden="true" name="IQ_OG_OTHER_ADJ_FCF_OIL" vbProcedure="false">"c2009"</definedName>
    <definedName function="false" hidden="true" name="IQ_OG_OTHER_ADJ_GAS" vbProcedure="false">"c2048"</definedName>
    <definedName function="false" hidden="true" name="IQ_OG_OTHER_ADJ_NGL" vbProcedure="false">"c2919"</definedName>
    <definedName function="false" hidden="true" name="IQ_OG_OTHER_ADJ_OIL" vbProcedure="false">"c2036"</definedName>
    <definedName function="false" hidden="true" name="IQ_OG_OTHER_COSTS" vbProcedure="false">"c1979"</definedName>
    <definedName function="false" hidden="true" name="IQ_OG_OTHER_COSTS_GAS" vbProcedure="false">"c1991"</definedName>
    <definedName function="false" hidden="true" name="IQ_OG_OTHER_COSTS_OIL" vbProcedure="false">"c1985"</definedName>
    <definedName function="false" hidden="true" name="IQ_OG_PRODUCTION_GAS" vbProcedure="false">"c2047"</definedName>
    <definedName function="false" hidden="true" name="IQ_OG_PRODUCTION_NGL" vbProcedure="false">"c2918"</definedName>
    <definedName function="false" hidden="true" name="IQ_OG_PRODUCTION_OIL" vbProcedure="false">"c2035"</definedName>
    <definedName function="false" hidden="true" name="IQ_OG_PURCHASES_GAS" vbProcedure="false">"c2045"</definedName>
    <definedName function="false" hidden="true" name="IQ_OG_PURCHASES_NGL" vbProcedure="false">"c2916"</definedName>
    <definedName function="false" hidden="true" name="IQ_OG_PURCHASES_OIL" vbProcedure="false">"c2033"</definedName>
    <definedName function="false" hidden="true" name="IQ_OG_RESERVE_REPLACEMENT_RATIO" vbProcedure="false">"c5799"</definedName>
    <definedName function="false" hidden="true" name="IQ_OG_REVISIONS_GAS" vbProcedure="false">"c2042"</definedName>
    <definedName function="false" hidden="true" name="IQ_OG_REVISIONS_NGL" vbProcedure="false">"c2913"</definedName>
    <definedName function="false" hidden="true" name="IQ_OG_REVISIONS_OIL" vbProcedure="false">"c2030"</definedName>
    <definedName function="false" hidden="true" name="IQ_OG_SALES_IN_PLACE_GAS" vbProcedure="false">"c2046"</definedName>
    <definedName function="false" hidden="true" name="IQ_OG_SALES_IN_PLACE_NGL" vbProcedure="false">"c2917"</definedName>
    <definedName function="false" hidden="true" name="IQ_OG_SALES_IN_PLACE_OIL" vbProcedure="false">"c2034"</definedName>
    <definedName function="false" hidden="true" name="IQ_OG_SALES_VOL_EQ_INC_GAS" vbProcedure="false">"c5794"</definedName>
    <definedName function="false" hidden="true" name="IQ_OG_SALES_VOL_EQ_INC_NGL" vbProcedure="false">"c5795"</definedName>
    <definedName function="false" hidden="true" name="IQ_OG_SALES_VOL_EQ_INC_OIL" vbProcedure="false">"c5793"</definedName>
    <definedName function="false" hidden="true" name="IQ_OG_STANDARDIZED_DCF" vbProcedure="false">"c2000"</definedName>
    <definedName function="false" hidden="true" name="IQ_OG_STANDARDIZED_DCF_GAS" vbProcedure="false">"c2020"</definedName>
    <definedName function="false" hidden="true" name="IQ_OG_STANDARDIZED_DCF_HEDGED" vbProcedure="false">"c2001"</definedName>
    <definedName function="false" hidden="true" name="IQ_OG_STANDARDIZED_DCF_HEDGED_GAS" vbProcedure="false">"c2021"</definedName>
    <definedName function="false" hidden="true" name="IQ_OG_STANDARDIZED_DCF_HEDGED_OIL" vbProcedure="false">"c2011"</definedName>
    <definedName function="false" hidden="true" name="IQ_OG_STANDARDIZED_DCF_OIL" vbProcedure="false">"c2010"</definedName>
    <definedName function="false" hidden="true" name="IQ_OG_TAXES" vbProcedure="false">"c2026"</definedName>
    <definedName function="false" hidden="true" name="IQ_OG_TAXES_GAS" vbProcedure="false">"c2028"</definedName>
    <definedName function="false" hidden="true" name="IQ_OG_TAXES_OIL" vbProcedure="false">"c2027"</definedName>
    <definedName function="false" hidden="true" name="IQ_OG_TOTAL_COSTS" vbProcedure="false">"c1980"</definedName>
    <definedName function="false" hidden="true" name="IQ_OG_TOTAL_COSTS_GAS" vbProcedure="false">"c1992"</definedName>
    <definedName function="false" hidden="true" name="IQ_OG_TOTAL_COSTS_OIL" vbProcedure="false">"c1986"</definedName>
    <definedName function="false" hidden="true" name="IQ_OG_TOTAL_EST_PROVED_RESERVES_GAS" vbProcedure="false">"c2052"</definedName>
    <definedName function="false" hidden="true" name="IQ_OG_TOTAL_GAS_PRODUCTION" vbProcedure="false">"c2060"</definedName>
    <definedName function="false" hidden="true" name="IQ_OG_TOTAL_LIQUID_GAS_PRODUCTION" vbProcedure="false">"c2235"</definedName>
    <definedName function="false" hidden="true" name="IQ_OG_TOTAL_OIL_PRODUCTION" vbProcedure="false">"c2059"</definedName>
    <definedName function="false" hidden="true" name="IQ_OG_UNDEVELOPED_ACRE_GROSS_EQ_INC" vbProcedure="false">"c5800"</definedName>
    <definedName function="false" hidden="true" name="IQ_OG_UNDEVELOPED_ACRE_NET_EQ_INC" vbProcedure="false">"c5801"</definedName>
    <definedName function="false" hidden="true" name="IQ_OG_UNDEVELOPED_RESERVES_GAS" vbProcedure="false">"c2051"</definedName>
    <definedName function="false" hidden="true" name="IQ_OG_UNDEVELOPED_RESERVES_NGL" vbProcedure="false">"c2923"</definedName>
    <definedName function="false" hidden="true" name="IQ_OG_UNDEVELOPED_RESERVES_OIL" vbProcedure="false">"c2039"</definedName>
    <definedName function="false" hidden="true" name="IQ_OIL_IMPAIR" vbProcedure="false">"c840"</definedName>
    <definedName function="false" hidden="true" name="IQ_OL_COMM_AFTER_FIVE" vbProcedure="false">"c841"</definedName>
    <definedName function="false" hidden="true" name="IQ_OL_COMM_CY" vbProcedure="false">"c842"</definedName>
    <definedName function="false" hidden="true" name="IQ_OL_COMM_CY1" vbProcedure="false">"c843"</definedName>
    <definedName function="false" hidden="true" name="IQ_OL_COMM_CY2" vbProcedure="false">"c844"</definedName>
    <definedName function="false" hidden="true" name="IQ_OL_COMM_CY3" vbProcedure="false">"c845"</definedName>
    <definedName function="false" hidden="true" name="IQ_OL_COMM_CY4" vbProcedure="false">"c846"</definedName>
    <definedName function="false" hidden="true" name="IQ_OL_COMM_NEXT_FIVE" vbProcedure="false">"c847"</definedName>
    <definedName function="false" hidden="true" name="IQ_OPEB_ACCRUED_LIAB" vbProcedure="false">"c3308"</definedName>
    <definedName function="false" hidden="true" name="IQ_OPEB_ACCRUED_LIAB_DOM" vbProcedure="false">"c3306"</definedName>
    <definedName function="false" hidden="true" name="IQ_OPEB_ACCRUED_LIAB_FOREIGN" vbProcedure="false">"c3307"</definedName>
    <definedName function="false" hidden="true" name="IQ_OPEB_ACCUM_OTHER_CI" vbProcedure="false">"c3314"</definedName>
    <definedName function="false" hidden="true" name="IQ_OPEB_ACCUM_OTHER_CI_DOM" vbProcedure="false">"c3312"</definedName>
    <definedName function="false" hidden="true" name="IQ_OPEB_ACCUM_OTHER_CI_FOREIGN" vbProcedure="false">"c3313"</definedName>
    <definedName function="false" hidden="true" name="IQ_OPEB_ACT_NEXT" vbProcedure="false">"c5774"</definedName>
    <definedName function="false" hidden="true" name="IQ_OPEB_ACT_NEXT_DOM" vbProcedure="false">"c5772"</definedName>
    <definedName function="false" hidden="true" name="IQ_OPEB_ACT_NEXT_FOREIGN" vbProcedure="false">"c5773"</definedName>
    <definedName function="false" hidden="true" name="IQ_OPEB_AMT_RECOG_NEXT" vbProcedure="false">"c5783"</definedName>
    <definedName function="false" hidden="true" name="IQ_OPEB_AMT_RECOG_NEXT_DOM" vbProcedure="false">"c5781"</definedName>
    <definedName function="false" hidden="true" name="IQ_OPEB_AMT_RECOG_NEXT_FOREIGN" vbProcedure="false">"c5782"</definedName>
    <definedName function="false" hidden="true" name="IQ_OPEB_ASSETS" vbProcedure="false">"c3356"</definedName>
    <definedName function="false" hidden="true" name="IQ_OPEB_ASSETS_ACQ" vbProcedure="false">"c3347"</definedName>
    <definedName function="false" hidden="true" name="IQ_OPEB_ASSETS_ACQ_DOM" vbProcedure="false">"c3345"</definedName>
    <definedName function="false" hidden="true" name="IQ_OPEB_ASSETS_ACQ_FOREIGN" vbProcedure="false">"c3346"</definedName>
    <definedName function="false" hidden="true" name="IQ_OPEB_ASSETS_ACTUAL_RETURN" vbProcedure="false">"c3332"</definedName>
    <definedName function="false" hidden="true" name="IQ_OPEB_ASSETS_ACTUAL_RETURN_DOM" vbProcedure="false">"c3330"</definedName>
    <definedName function="false" hidden="true" name="IQ_OPEB_ASSETS_ACTUAL_RETURN_FOREIGN" vbProcedure="false">"c3331"</definedName>
    <definedName function="false" hidden="true" name="IQ_OPEB_ASSETS_BEG" vbProcedure="false">"c3329"</definedName>
    <definedName function="false" hidden="true" name="IQ_OPEB_ASSETS_BEG_DOM" vbProcedure="false">"c3327"</definedName>
    <definedName function="false" hidden="true" name="IQ_OPEB_ASSETS_BEG_FOREIGN" vbProcedure="false">"c3328"</definedName>
    <definedName function="false" hidden="true" name="IQ_OPEB_ASSETS_BENEFITS_PAID" vbProcedure="false">"c3341"</definedName>
    <definedName function="false" hidden="true" name="IQ_OPEB_ASSETS_BENEFITS_PAID_DOM" vbProcedure="false">"c3339"</definedName>
    <definedName function="false" hidden="true" name="IQ_OPEB_ASSETS_BENEFITS_PAID_FOREIGN" vbProcedure="false">"c3340"</definedName>
    <definedName function="false" hidden="true" name="IQ_OPEB_ASSETS_CURTAIL" vbProcedure="false">"c3350"</definedName>
    <definedName function="false" hidden="true" name="IQ_OPEB_ASSETS_CURTAIL_DOM" vbProcedure="false">"c3348"</definedName>
    <definedName function="false" hidden="true" name="IQ_OPEB_ASSETS_CURTAIL_FOREIGN" vbProcedure="false">"c3349"</definedName>
    <definedName function="false" hidden="true" name="IQ_OPEB_ASSETS_DOM" vbProcedure="false">"c3354"</definedName>
    <definedName function="false" hidden="true" name="IQ_OPEB_ASSETS_EMPLOYER_CONTRIBUTIONS" vbProcedure="false">"c3335"</definedName>
    <definedName function="false" hidden="true" name="IQ_OPEB_ASSETS_EMPLOYER_CONTRIBUTIONS_DOM" vbProcedure="false">"c3333"</definedName>
    <definedName function="false" hidden="true" name="IQ_OPEB_ASSETS_EMPLOYER_CONTRIBUTIONS_FOREIGN" vbProcedure="false">"c3334"</definedName>
    <definedName function="false" hidden="true" name="IQ_OPEB_ASSETS_FOREIGN" vbProcedure="false">"c3355"</definedName>
    <definedName function="false" hidden="true" name="IQ_OPEB_ASSETS_FX_ADJ" vbProcedure="false">"c3344"</definedName>
    <definedName function="false" hidden="true" name="IQ_OPEB_ASSETS_FX_ADJ_DOM" vbProcedure="false">"c3342"</definedName>
    <definedName function="false" hidden="true" name="IQ_OPEB_ASSETS_FX_ADJ_FOREIGN" vbProcedure="false">"c3343"</definedName>
    <definedName function="false" hidden="true" name="IQ_OPEB_ASSETS_OTHER_PLAN_ADJ" vbProcedure="false">"c3353"</definedName>
    <definedName function="false" hidden="true" name="IQ_OPEB_ASSETS_OTHER_PLAN_ADJ_DOM" vbProcedure="false">"c3351"</definedName>
    <definedName function="false" hidden="true" name="IQ_OPEB_ASSETS_OTHER_PLAN_ADJ_FOREIGN" vbProcedure="false">"c3352"</definedName>
    <definedName function="false" hidden="true" name="IQ_OPEB_ASSETS_PARTICIP_CONTRIBUTIONS" vbProcedure="false">"c3338"</definedName>
    <definedName function="false" hidden="true" name="IQ_OPEB_ASSETS_PARTICIP_CONTRIBUTIONS_DOM" vbProcedure="false">"c3336"</definedName>
    <definedName function="false" hidden="true" name="IQ_OPEB_ASSETS_PARTICIP_CONTRIBUTIONS_FOREIGN" vbProcedure="false">"c3337"</definedName>
    <definedName function="false" hidden="true" name="IQ_OPEB_BENEFIT_INFO_DATE" vbProcedure="false">"c3410"</definedName>
    <definedName function="false" hidden="true" name="IQ_OPEB_BENEFIT_INFO_DATE_DOM" vbProcedure="false">"c3408"</definedName>
    <definedName function="false" hidden="true" name="IQ_OPEB_BENEFIT_INFO_DATE_FOREIGN" vbProcedure="false">"c3409"</definedName>
    <definedName function="false" hidden="true" name="IQ_OPEB_BREAKDOWN_EQ" vbProcedure="false">"c3275"</definedName>
    <definedName function="false" hidden="true" name="IQ_OPEB_BREAKDOWN_EQ_DOM" vbProcedure="false">"c3273"</definedName>
    <definedName function="false" hidden="true" name="IQ_OPEB_BREAKDOWN_EQ_FOREIGN" vbProcedure="false">"c3274"</definedName>
    <definedName function="false" hidden="true" name="IQ_OPEB_BREAKDOWN_FI" vbProcedure="false">"c3278"</definedName>
    <definedName function="false" hidden="true" name="IQ_OPEB_BREAKDOWN_FI_DOM" vbProcedure="false">"c3276"</definedName>
    <definedName function="false" hidden="true" name="IQ_OPEB_BREAKDOWN_FI_FOREIGN" vbProcedure="false">"c3277"</definedName>
    <definedName function="false" hidden="true" name="IQ_OPEB_BREAKDOWN_OTHER" vbProcedure="false">"c3284"</definedName>
    <definedName function="false" hidden="true" name="IQ_OPEB_BREAKDOWN_OTHER_DOM" vbProcedure="false">"c3282"</definedName>
    <definedName function="false" hidden="true" name="IQ_OPEB_BREAKDOWN_OTHER_FOREIGN" vbProcedure="false">"c3283"</definedName>
    <definedName function="false" hidden="true" name="IQ_OPEB_BREAKDOWN_PCT_EQ" vbProcedure="false">"c3263"</definedName>
    <definedName function="false" hidden="true" name="IQ_OPEB_BREAKDOWN_PCT_EQ_DOM" vbProcedure="false">"c3261"</definedName>
    <definedName function="false" hidden="true" name="IQ_OPEB_BREAKDOWN_PCT_EQ_FOREIGN" vbProcedure="false">"c3262"</definedName>
    <definedName function="false" hidden="true" name="IQ_OPEB_BREAKDOWN_PCT_FI" vbProcedure="false">"c3266"</definedName>
    <definedName function="false" hidden="true" name="IQ_OPEB_BREAKDOWN_PCT_FI_DOM" vbProcedure="false">"c3264"</definedName>
    <definedName function="false" hidden="true" name="IQ_OPEB_BREAKDOWN_PCT_FI_FOREIGN" vbProcedure="false">"c3265"</definedName>
    <definedName function="false" hidden="true" name="IQ_OPEB_BREAKDOWN_PCT_OTHER" vbProcedure="false">"c3272"</definedName>
    <definedName function="false" hidden="true" name="IQ_OPEB_BREAKDOWN_PCT_OTHER_DOM" vbProcedure="false">"c3270"</definedName>
    <definedName function="false" hidden="true" name="IQ_OPEB_BREAKDOWN_PCT_OTHER_FOREIGN" vbProcedure="false">"c3271"</definedName>
    <definedName function="false" hidden="true" name="IQ_OPEB_BREAKDOWN_PCT_RE" vbProcedure="false">"c3269"</definedName>
    <definedName function="false" hidden="true" name="IQ_OPEB_BREAKDOWN_PCT_RE_DOM" vbProcedure="false">"c3267"</definedName>
    <definedName function="false" hidden="true" name="IQ_OPEB_BREAKDOWN_PCT_RE_FOREIGN" vbProcedure="false">"c3268"</definedName>
    <definedName function="false" hidden="true" name="IQ_OPEB_BREAKDOWN_RE" vbProcedure="false">"c3281"</definedName>
    <definedName function="false" hidden="true" name="IQ_OPEB_BREAKDOWN_RE_DOM" vbProcedure="false">"c3279"</definedName>
    <definedName function="false" hidden="true" name="IQ_OPEB_BREAKDOWN_RE_FOREIGN" vbProcedure="false">"c3280"</definedName>
    <definedName function="false" hidden="true" name="IQ_OPEB_CI_ACT" vbProcedure="false">"c5759"</definedName>
    <definedName function="false" hidden="true" name="IQ_OPEB_CI_ACT_DOM" vbProcedure="false">"c5757"</definedName>
    <definedName function="false" hidden="true" name="IQ_OPEB_CI_ACT_FOREIGN" vbProcedure="false">"c5758"</definedName>
    <definedName function="false" hidden="true" name="IQ_OPEB_CI_NET_AMT_RECOG" vbProcedure="false">"c5771"</definedName>
    <definedName function="false" hidden="true" name="IQ_OPEB_CI_NET_AMT_RECOG_DOM" vbProcedure="false">"c5769"</definedName>
    <definedName function="false" hidden="true" name="IQ_OPEB_CI_NET_AMT_RECOG_FOREIGN" vbProcedure="false">"c5770"</definedName>
    <definedName function="false" hidden="true" name="IQ_OPEB_CI_OTHER_MISC_ADJ" vbProcedure="false">"c5768"</definedName>
    <definedName function="false" hidden="true" name="IQ_OPEB_CI_OTHER_MISC_ADJ_DOM" vbProcedure="false">"c5766"</definedName>
    <definedName function="false" hidden="true" name="IQ_OPEB_CI_OTHER_MISC_ADJ_FOREIGN" vbProcedure="false">"c5767"</definedName>
    <definedName function="false" hidden="true" name="IQ_OPEB_CI_PRIOR_SERVICE" vbProcedure="false">"c5762"</definedName>
    <definedName function="false" hidden="true" name="IQ_OPEB_CI_PRIOR_SERVICE_DOM" vbProcedure="false">"c5760"</definedName>
    <definedName function="false" hidden="true" name="IQ_OPEB_CI_PRIOR_SERVICE_FOREIGN" vbProcedure="false">"c5761"</definedName>
    <definedName function="false" hidden="true" name="IQ_OPEB_CI_TRANSITION" vbProcedure="false">"c5765"</definedName>
    <definedName function="false" hidden="true" name="IQ_OPEB_CI_TRANSITION_DOM" vbProcedure="false">"c5763"</definedName>
    <definedName function="false" hidden="true" name="IQ_OPEB_CI_TRANSITION_FOREIGN" vbProcedure="false">"c5764"</definedName>
    <definedName function="false" hidden="true" name="IQ_OPEB_CL" vbProcedure="false">"c5789"</definedName>
    <definedName function="false" hidden="true" name="IQ_OPEB_CL_DOM" vbProcedure="false">"c5787"</definedName>
    <definedName function="false" hidden="true" name="IQ_OPEB_CL_FOREIGN" vbProcedure="false">"c5788"</definedName>
    <definedName function="false" hidden="true" name="IQ_OPEB_DECREASE_EFFECT_PBO" vbProcedure="false">"c3458"</definedName>
    <definedName function="false" hidden="true" name="IQ_OPEB_DECREASE_EFFECT_PBO_DOM" vbProcedure="false">"c3456"</definedName>
    <definedName function="false" hidden="true" name="IQ_OPEB_DECREASE_EFFECT_PBO_FOREIGN" vbProcedure="false">"c3457"</definedName>
    <definedName function="false" hidden="true" name="IQ_OPEB_DECREASE_EFFECT_SERVICE_INT_COST" vbProcedure="false">"c3455"</definedName>
    <definedName function="false" hidden="true" name="IQ_OPEB_DECREASE_EFFECT_SERVICE_INT_COST_DOM" vbProcedure="false">"c3453"</definedName>
    <definedName function="false" hidden="true" name="IQ_OPEB_DECREASE_EFFECT_SERVICE_INT_COST_FOREIGN" vbProcedure="false">"c3454"</definedName>
    <definedName function="false" hidden="true" name="IQ_OPEB_DISC_RATE_MAX" vbProcedure="false">"c3422"</definedName>
    <definedName function="false" hidden="true" name="IQ_OPEB_DISC_RATE_MAX_DOM" vbProcedure="false">"c3420"</definedName>
    <definedName function="false" hidden="true" name="IQ_OPEB_DISC_RATE_MAX_FOREIGN" vbProcedure="false">"c3421"</definedName>
    <definedName function="false" hidden="true" name="IQ_OPEB_DISC_RATE_MIN" vbProcedure="false">"c3419"</definedName>
    <definedName function="false" hidden="true" name="IQ_OPEB_DISC_RATE_MIN_DOM" vbProcedure="false">"c3417"</definedName>
    <definedName function="false" hidden="true" name="IQ_OPEB_DISC_RATE_MIN_FOREIGN" vbProcedure="false">"c3418"</definedName>
    <definedName function="false" hidden="true" name="IQ_OPEB_EST_BENEFIT_1YR" vbProcedure="false">"c3287"</definedName>
    <definedName function="false" hidden="true" name="IQ_OPEB_EST_BENEFIT_1YR_DOM" vbProcedure="false">"c3285"</definedName>
    <definedName function="false" hidden="true" name="IQ_OPEB_EST_BENEFIT_1YR_FOREIGN" vbProcedure="false">"c3286"</definedName>
    <definedName function="false" hidden="true" name="IQ_OPEB_EST_BENEFIT_2YR" vbProcedure="false">"c3290"</definedName>
    <definedName function="false" hidden="true" name="IQ_OPEB_EST_BENEFIT_2YR_DOM" vbProcedure="false">"c3288"</definedName>
    <definedName function="false" hidden="true" name="IQ_OPEB_EST_BENEFIT_2YR_FOREIGN" vbProcedure="false">"c3289"</definedName>
    <definedName function="false" hidden="true" name="IQ_OPEB_EST_BENEFIT_3YR" vbProcedure="false">"c3293"</definedName>
    <definedName function="false" hidden="true" name="IQ_OPEB_EST_BENEFIT_3YR_DOM" vbProcedure="false">"c3291"</definedName>
    <definedName function="false" hidden="true" name="IQ_OPEB_EST_BENEFIT_3YR_FOREIGN" vbProcedure="false">"c3292"</definedName>
    <definedName function="false" hidden="true" name="IQ_OPEB_EST_BENEFIT_4YR" vbProcedure="false">"c3296"</definedName>
    <definedName function="false" hidden="true" name="IQ_OPEB_EST_BENEFIT_4YR_DOM" vbProcedure="false">"c3294"</definedName>
    <definedName function="false" hidden="true" name="IQ_OPEB_EST_BENEFIT_4YR_FOREIGN" vbProcedure="false">"c3295"</definedName>
    <definedName function="false" hidden="true" name="IQ_OPEB_EST_BENEFIT_5YR" vbProcedure="false">"c3299"</definedName>
    <definedName function="false" hidden="true" name="IQ_OPEB_EST_BENEFIT_5YR_DOM" vbProcedure="false">"c3297"</definedName>
    <definedName function="false" hidden="true" name="IQ_OPEB_EST_BENEFIT_5YR_FOREIGN" vbProcedure="false">"c3298"</definedName>
    <definedName function="false" hidden="true" name="IQ_OPEB_EST_BENEFIT_AFTER5" vbProcedure="false">"c3302"</definedName>
    <definedName function="false" hidden="true" name="IQ_OPEB_EST_BENEFIT_AFTER5_DOM" vbProcedure="false">"c3300"</definedName>
    <definedName function="false" hidden="true" name="IQ_OPEB_EST_BENEFIT_AFTER5_FOREIGN" vbProcedure="false">"c3301"</definedName>
    <definedName function="false" hidden="true" name="IQ_OPEB_EXP_RATE_RETURN_MAX" vbProcedure="false">"c3434"</definedName>
    <definedName function="false" hidden="true" name="IQ_OPEB_EXP_RATE_RETURN_MAX_DOM" vbProcedure="false">"c3432"</definedName>
    <definedName function="false" hidden="true" name="IQ_OPEB_EXP_RATE_RETURN_MAX_FOREIGN" vbProcedure="false">"c3433"</definedName>
    <definedName function="false" hidden="true" name="IQ_OPEB_EXP_RATE_RETURN_MIN" vbProcedure="false">"c3431"</definedName>
    <definedName function="false" hidden="true" name="IQ_OPEB_EXP_RATE_RETURN_MIN_DOM" vbProcedure="false">"c3429"</definedName>
    <definedName function="false" hidden="true" name="IQ_OPEB_EXP_RATE_RETURN_MIN_FOREIGN" vbProcedure="false">"c3430"</definedName>
    <definedName function="false" hidden="true" name="IQ_OPEB_EXP_RETURN" vbProcedure="false">"c3398"</definedName>
    <definedName function="false" hidden="true" name="IQ_OPEB_EXP_RETURN_DOM" vbProcedure="false">"c3396"</definedName>
    <definedName function="false" hidden="true" name="IQ_OPEB_EXP_RETURN_FOREIGN" vbProcedure="false">"c3397"</definedName>
    <definedName function="false" hidden="true" name="IQ_OPEB_HEALTH_COST_TREND_INITIAL" vbProcedure="false">"c3413"</definedName>
    <definedName function="false" hidden="true" name="IQ_OPEB_HEALTH_COST_TREND_INITIAL_DOM" vbProcedure="false">"c3411"</definedName>
    <definedName function="false" hidden="true" name="IQ_OPEB_HEALTH_COST_TREND_INITIAL_FOREIGN" vbProcedure="false">"c3412"</definedName>
    <definedName function="false" hidden="true" name="IQ_OPEB_HEALTH_COST_TREND_ULTIMATE" vbProcedure="false">"c3416"</definedName>
    <definedName function="false" hidden="true" name="IQ_OPEB_HEALTH_COST_TREND_ULTIMATE_DOM" vbProcedure="false">"c3414"</definedName>
    <definedName function="false" hidden="true" name="IQ_OPEB_HEALTH_COST_TREND_ULTIMATE_FOREIGN" vbProcedure="false">"c3415"</definedName>
    <definedName function="false" hidden="true" name="IQ_OPEB_INCREASE_EFFECT_PBO" vbProcedure="false">"c3452"</definedName>
    <definedName function="false" hidden="true" name="IQ_OPEB_INCREASE_EFFECT_PBO_DOM" vbProcedure="false">"c3450"</definedName>
    <definedName function="false" hidden="true" name="IQ_OPEB_INCREASE_EFFECT_PBO_FOREIGN" vbProcedure="false">"c3451"</definedName>
    <definedName function="false" hidden="true" name="IQ_OPEB_INCREASE_EFFECT_SERVICE_INT_COST" vbProcedure="false">"c3449"</definedName>
    <definedName function="false" hidden="true" name="IQ_OPEB_INCREASE_EFFECT_SERVICE_INT_COST_DOM" vbProcedure="false">"c3447"</definedName>
    <definedName function="false" hidden="true" name="IQ_OPEB_INCREASE_EFFECT_SERVICE_INT_COST_FOREIGN" vbProcedure="false">"c3448"</definedName>
    <definedName function="false" hidden="true" name="IQ_OPEB_INTAN_ASSETS" vbProcedure="false">"c3311"</definedName>
    <definedName function="false" hidden="true" name="IQ_OPEB_INTAN_ASSETS_DOM" vbProcedure="false">"c3309"</definedName>
    <definedName function="false" hidden="true" name="IQ_OPEB_INTAN_ASSETS_FOREIGN" vbProcedure="false">"c3310"</definedName>
    <definedName function="false" hidden="true" name="IQ_OPEB_INTEREST_COST" vbProcedure="false">"c3395"</definedName>
    <definedName function="false" hidden="true" name="IQ_OPEB_INTEREST_COST_DOM" vbProcedure="false">"c3393"</definedName>
    <definedName function="false" hidden="true" name="IQ_OPEB_INTEREST_COST_FOREIGN" vbProcedure="false">"c3394"</definedName>
    <definedName function="false" hidden="true" name="IQ_OPEB_LT_ASSETS" vbProcedure="false">"c5786"</definedName>
    <definedName function="false" hidden="true" name="IQ_OPEB_LT_ASSETS_DOM" vbProcedure="false">"c5784"</definedName>
    <definedName function="false" hidden="true" name="IQ_OPEB_LT_ASSETS_FOREIGN" vbProcedure="false">"c5785"</definedName>
    <definedName function="false" hidden="true" name="IQ_OPEB_LT_LIAB" vbProcedure="false">"c5792"</definedName>
    <definedName function="false" hidden="true" name="IQ_OPEB_LT_LIAB_DOM" vbProcedure="false">"c5790"</definedName>
    <definedName function="false" hidden="true" name="IQ_OPEB_LT_LIAB_FOREIGN" vbProcedure="false">"c5791"</definedName>
    <definedName function="false" hidden="true" name="IQ_OPEB_NET_ASSET_RECOG" vbProcedure="false">"c3326"</definedName>
    <definedName function="false" hidden="true" name="IQ_OPEB_NET_ASSET_RECOG_DOM" vbProcedure="false">"c3324"</definedName>
    <definedName function="false" hidden="true" name="IQ_OPEB_NET_ASSET_RECOG_FOREIGN" vbProcedure="false">"c3325"</definedName>
    <definedName function="false" hidden="true" name="IQ_OPEB_OBLIGATION_ACCUMULATED" vbProcedure="false">"c3407"</definedName>
    <definedName function="false" hidden="true" name="IQ_OPEB_OBLIGATION_ACCUMULATED_DOM" vbProcedure="false">"c3405"</definedName>
    <definedName function="false" hidden="true" name="IQ_OPEB_OBLIGATION_ACCUMULATED_FOREIGN" vbProcedure="false">"c3406"</definedName>
    <definedName function="false" hidden="true" name="IQ_OPEB_OBLIGATION_ACQ" vbProcedure="false">"c3380"</definedName>
    <definedName function="false" hidden="true" name="IQ_OPEB_OBLIGATION_ACQ_DOM" vbProcedure="false">"c3378"</definedName>
    <definedName function="false" hidden="true" name="IQ_OPEB_OBLIGATION_ACQ_FOREIGN" vbProcedure="false">"c3379"</definedName>
    <definedName function="false" hidden="true" name="IQ_OPEB_OBLIGATION_ACTUARIAL_GAIN_LOSS" vbProcedure="false">"c3371"</definedName>
    <definedName function="false" hidden="true" name="IQ_OPEB_OBLIGATION_ACTUARIAL_GAIN_LOSS_DOM" vbProcedure="false">"c3369"</definedName>
    <definedName function="false" hidden="true" name="IQ_OPEB_OBLIGATION_ACTUARIAL_GAIN_LOSS_FOREIGN" vbProcedure="false">"c3370"</definedName>
    <definedName function="false" hidden="true" name="IQ_OPEB_OBLIGATION_BEG" vbProcedure="false">"c3359"</definedName>
    <definedName function="false" hidden="true" name="IQ_OPEB_OBLIGATION_BEG_DOM" vbProcedure="false">"c3357"</definedName>
    <definedName function="false" hidden="true" name="IQ_OPEB_OBLIGATION_BEG_FOREIGN" vbProcedure="false">"c3358"</definedName>
    <definedName function="false" hidden="true" name="IQ_OPEB_OBLIGATION_CURTAIL" vbProcedure="false">"c3383"</definedName>
    <definedName function="false" hidden="true" name="IQ_OPEB_OBLIGATION_CURTAIL_DOM" vbProcedure="false">"c3381"</definedName>
    <definedName function="false" hidden="true" name="IQ_OPEB_OBLIGATION_CURTAIL_FOREIGN" vbProcedure="false">"c3382"</definedName>
    <definedName function="false" hidden="true" name="IQ_OPEB_OBLIGATION_EMPLOYEE_CONTRIBUTIONS" vbProcedure="false">"c3368"</definedName>
    <definedName function="false" hidden="true" name="IQ_OPEB_OBLIGATION_EMPLOYEE_CONTRIBUTIONS_DOM" vbProcedure="false">"c3366"</definedName>
    <definedName function="false" hidden="true" name="IQ_OPEB_OBLIGATION_EMPLOYEE_CONTRIBUTIONS_FOREIGN" vbProcedure="false">"c3367"</definedName>
    <definedName function="false" hidden="true" name="IQ_OPEB_OBLIGATION_FX_ADJ" vbProcedure="false">"c3377"</definedName>
    <definedName function="false" hidden="true" name="IQ_OPEB_OBLIGATION_FX_ADJ_DOM" vbProcedure="false">"c3375"</definedName>
    <definedName function="false" hidden="true" name="IQ_OPEB_OBLIGATION_FX_ADJ_FOREIGN" vbProcedure="false">"c3376"</definedName>
    <definedName function="false" hidden="true" name="IQ_OPEB_OBLIGATION_INTEREST_COST" vbProcedure="false">"c3365"</definedName>
    <definedName function="false" hidden="true" name="IQ_OPEB_OBLIGATION_INTEREST_COST_DOM" vbProcedure="false">"c3363"</definedName>
    <definedName function="false" hidden="true" name="IQ_OPEB_OBLIGATION_INTEREST_COST_FOREIGN" vbProcedure="false">"c3364"</definedName>
    <definedName function="false" hidden="true" name="IQ_OPEB_OBLIGATION_OTHER_PLAN_ADJ" vbProcedure="false">"c3386"</definedName>
    <definedName function="false" hidden="true" name="IQ_OPEB_OBLIGATION_OTHER_PLAN_ADJ_DOM" vbProcedure="false">"c3384"</definedName>
    <definedName function="false" hidden="true" name="IQ_OPEB_OBLIGATION_OTHER_PLAN_ADJ_FOREIGN" vbProcedure="false">"c3385"</definedName>
    <definedName function="false" hidden="true" name="IQ_OPEB_OBLIGATION_PAID" vbProcedure="false">"c3374"</definedName>
    <definedName function="false" hidden="true" name="IQ_OPEB_OBLIGATION_PAID_DOM" vbProcedure="false">"c3372"</definedName>
    <definedName function="false" hidden="true" name="IQ_OPEB_OBLIGATION_PAID_FOREIGN" vbProcedure="false">"c3373"</definedName>
    <definedName function="false" hidden="true" name="IQ_OPEB_OBLIGATION_PROJECTED" vbProcedure="false">"c3389"</definedName>
    <definedName function="false" hidden="true" name="IQ_OPEB_OBLIGATION_PROJECTED_DOM" vbProcedure="false">"c3387"</definedName>
    <definedName function="false" hidden="true" name="IQ_OPEB_OBLIGATION_PROJECTED_FOREIGN" vbProcedure="false">"c3388"</definedName>
    <definedName function="false" hidden="true" name="IQ_OPEB_OBLIGATION_SERVICE_COST" vbProcedure="false">"c3362"</definedName>
    <definedName function="false" hidden="true" name="IQ_OPEB_OBLIGATION_SERVICE_COST_DOM" vbProcedure="false">"c3360"</definedName>
    <definedName function="false" hidden="true" name="IQ_OPEB_OBLIGATION_SERVICE_COST_FOREIGN" vbProcedure="false">"c3361"</definedName>
    <definedName function="false" hidden="true" name="IQ_OPEB_OTHER" vbProcedure="false">"c3317"</definedName>
    <definedName function="false" hidden="true" name="IQ_OPEB_OTHER_ADJ" vbProcedure="false">"c3323"</definedName>
    <definedName function="false" hidden="true" name="IQ_OPEB_OTHER_ADJ_DOM" vbProcedure="false">"c3321"</definedName>
    <definedName function="false" hidden="true" name="IQ_OPEB_OTHER_ADJ_FOREIGN" vbProcedure="false">"c3322"</definedName>
    <definedName function="false" hidden="true" name="IQ_OPEB_OTHER_COST" vbProcedure="false">"c3401"</definedName>
    <definedName function="false" hidden="true" name="IQ_OPEB_OTHER_COST_DOM" vbProcedure="false">"c3399"</definedName>
    <definedName function="false" hidden="true" name="IQ_OPEB_OTHER_COST_FOREIGN" vbProcedure="false">"c3400"</definedName>
    <definedName function="false" hidden="true" name="IQ_OPEB_OTHER_DOM" vbProcedure="false">"c3315"</definedName>
    <definedName function="false" hidden="true" name="IQ_OPEB_OTHER_FOREIGN" vbProcedure="false">"c3316"</definedName>
    <definedName function="false" hidden="true" name="IQ_OPEB_PBO_ASSUMED_RATE_RET_MAX" vbProcedure="false">"c3440"</definedName>
    <definedName function="false" hidden="true" name="IQ_OPEB_PBO_ASSUMED_RATE_RET_MAX_DOM" vbProcedure="false">"c3438"</definedName>
    <definedName function="false" hidden="true" name="IQ_OPEB_PBO_ASSUMED_RATE_RET_MAX_FOREIGN" vbProcedure="false">"c3439"</definedName>
    <definedName function="false" hidden="true" name="IQ_OPEB_PBO_ASSUMED_RATE_RET_MIN" vbProcedure="false">"c3437"</definedName>
    <definedName function="false" hidden="true" name="IQ_OPEB_PBO_ASSUMED_RATE_RET_MIN_DOM" vbProcedure="false">"c3435"</definedName>
    <definedName function="false" hidden="true" name="IQ_OPEB_PBO_ASSUMED_RATE_RET_MIN_FOREIGN" vbProcedure="false">"c3436"</definedName>
    <definedName function="false" hidden="true" name="IQ_OPEB_PBO_RATE_COMP_INCREASE_MAX" vbProcedure="false">"c3446"</definedName>
    <definedName function="false" hidden="true" name="IQ_OPEB_PBO_RATE_COMP_INCREASE_MAX_DOM" vbProcedure="false">"c3444"</definedName>
    <definedName function="false" hidden="true" name="IQ_OPEB_PBO_RATE_COMP_INCREASE_MAX_FOREIGN" vbProcedure="false">"c3445"</definedName>
    <definedName function="false" hidden="true" name="IQ_OPEB_PBO_RATE_COMP_INCREASE_MIN" vbProcedure="false">"c3443"</definedName>
    <definedName function="false" hidden="true" name="IQ_OPEB_PBO_RATE_COMP_INCREASE_MIN_DOM" vbProcedure="false">"c3441"</definedName>
    <definedName function="false" hidden="true" name="IQ_OPEB_PBO_RATE_COMP_INCREASE_MIN_FOREIGN" vbProcedure="false">"c3442"</definedName>
    <definedName function="false" hidden="true" name="IQ_OPEB_PREPAID_COST" vbProcedure="false">"c3305"</definedName>
    <definedName function="false" hidden="true" name="IQ_OPEB_PREPAID_COST_DOM" vbProcedure="false">"c3303"</definedName>
    <definedName function="false" hidden="true" name="IQ_OPEB_PREPAID_COST_FOREIGN" vbProcedure="false">"c3304"</definedName>
    <definedName function="false" hidden="true" name="IQ_OPEB_PRIOR_SERVICE_NEXT" vbProcedure="false">"c5777"</definedName>
    <definedName function="false" hidden="true" name="IQ_OPEB_PRIOR_SERVICE_NEXT_DOM" vbProcedure="false">"c5775"</definedName>
    <definedName function="false" hidden="true" name="IQ_OPEB_PRIOR_SERVICE_NEXT_FOREIGN" vbProcedure="false">"c5776"</definedName>
    <definedName function="false" hidden="true" name="IQ_OPEB_RATE_COMP_INCREASE_MAX" vbProcedure="false">"c3428"</definedName>
    <definedName function="false" hidden="true" name="IQ_OPEB_RATE_COMP_INCREASE_MAX_DOM" vbProcedure="false">"c3426"</definedName>
    <definedName function="false" hidden="true" name="IQ_OPEB_RATE_COMP_INCREASE_MAX_FOREIGN" vbProcedure="false">"c3427"</definedName>
    <definedName function="false" hidden="true" name="IQ_OPEB_RATE_COMP_INCREASE_MIN" vbProcedure="false">"c3425"</definedName>
    <definedName function="false" hidden="true" name="IQ_OPEB_RATE_COMP_INCREASE_MIN_DOM" vbProcedure="false">"c3423"</definedName>
    <definedName function="false" hidden="true" name="IQ_OPEB_RATE_COMP_INCREASE_MIN_FOREIGN" vbProcedure="false">"c3424"</definedName>
    <definedName function="false" hidden="true" name="IQ_OPEB_SERVICE_COST" vbProcedure="false">"c3392"</definedName>
    <definedName function="false" hidden="true" name="IQ_OPEB_SERVICE_COST_DOM" vbProcedure="false">"c3390"</definedName>
    <definedName function="false" hidden="true" name="IQ_OPEB_SERVICE_COST_FOREIGN" vbProcedure="false">"c3391"</definedName>
    <definedName function="false" hidden="true" name="IQ_OPEB_TOTAL_COST" vbProcedure="false">"c3404"</definedName>
    <definedName function="false" hidden="true" name="IQ_OPEB_TOTAL_COST_DOM" vbProcedure="false">"c3402"</definedName>
    <definedName function="false" hidden="true" name="IQ_OPEB_TOTAL_COST_FOREIGN" vbProcedure="false">"c3403"</definedName>
    <definedName function="false" hidden="true" name="IQ_OPEB_TRANSITION_NEXT" vbProcedure="false">"c5780"</definedName>
    <definedName function="false" hidden="true" name="IQ_OPEB_TRANSITION_NEXT_DOM" vbProcedure="false">"c5778"</definedName>
    <definedName function="false" hidden="true" name="IQ_OPEB_TRANSITION_NEXT_FOREIGN" vbProcedure="false">"c5779"</definedName>
    <definedName function="false" hidden="true" name="IQ_OPEB_UNRECOG_PRIOR" vbProcedure="false">"c3320"</definedName>
    <definedName function="false" hidden="true" name="IQ_OPEB_UNRECOG_PRIOR_DOM" vbProcedure="false">"c3318"</definedName>
    <definedName function="false" hidden="true" name="IQ_OPEB_UNRECOG_PRIOR_FOREIGN" vbProcedure="false">"c3319"</definedName>
    <definedName function="false" hidden="true" name="IQ_OPENPRICE" vbProcedure="false">"c848"</definedName>
    <definedName function="false" hidden="true" name="IQ_OPERATIONS_EXP" vbProcedure="false">"c855"</definedName>
    <definedName function="false" hidden="true" name="IQ_OPER_INC" vbProcedure="false">"c849"</definedName>
    <definedName function="false" hidden="true" name="IQ_OPER_INC_ACT_OR_EST" vbProcedure="false">"c2220"</definedName>
    <definedName function="false" hidden="true" name="IQ_OPER_INC_BR" vbProcedure="false">"c850"</definedName>
    <definedName function="false" hidden="true" name="IQ_OPER_INC_EST" vbProcedure="false">"c1688"</definedName>
    <definedName function="false" hidden="true" name="IQ_OPER_INC_FIN" vbProcedure="false">"c851"</definedName>
    <definedName function="false" hidden="true" name="IQ_OPER_INC_HIGH_EST" vbProcedure="false">"c1690"</definedName>
    <definedName function="false" hidden="true" name="IQ_OPER_INC_INS" vbProcedure="false">"c852"</definedName>
    <definedName function="false" hidden="true" name="IQ_OPER_INC_LOW_EST" vbProcedure="false">"c1691"</definedName>
    <definedName function="false" hidden="true" name="IQ_OPER_INC_MARGIN" vbProcedure="false">"c1448"</definedName>
    <definedName function="false" hidden="true" name="IQ_OPER_INC_MEDIAN_EST" vbProcedure="false">"c1689"</definedName>
    <definedName function="false" hidden="true" name="IQ_OPER_INC_NUM_EST" vbProcedure="false">"c1692"</definedName>
    <definedName function="false" hidden="true" name="IQ_OPER_INC_RE" vbProcedure="false">"c6240"</definedName>
    <definedName function="false" hidden="true" name="IQ_OPER_INC_REIT" vbProcedure="false">"c853"</definedName>
    <definedName function="false" hidden="true" name="IQ_OPER_INC_STDDEV_EST" vbProcedure="false">"c1693"</definedName>
    <definedName function="false" hidden="true" name="IQ_OPER_INC_UTI" vbProcedure="false">"c854"</definedName>
    <definedName function="false" hidden="true" name="IQ_OPTIONS_BEG_OS" vbProcedure="false">"c1572"</definedName>
    <definedName function="false" hidden="true" name="IQ_OPTIONS_CANCELLED" vbProcedure="false">"c856"</definedName>
    <definedName function="false" hidden="true" name="IQ_OPTIONS_END_OS" vbProcedure="false">"c1573"</definedName>
    <definedName function="false" hidden="true" name="IQ_OPTIONS_EXERCISABLE_END_OS" vbProcedure="false">"c5804"</definedName>
    <definedName function="false" hidden="true" name="IQ_OPTIONS_EXERCISED" vbProcedure="false">"c2116"</definedName>
    <definedName function="false" hidden="true" name="IQ_OPTIONS_GRANTED" vbProcedure="false">"c2673"</definedName>
    <definedName function="false" hidden="true" name="IQ_OPTIONS_ISSUED" vbProcedure="false">"c857"</definedName>
    <definedName function="false" hidden="true" name="IQ_OPTIONS_STRIKE_PRICE_BEG_OS" vbProcedure="false">"c5805"</definedName>
    <definedName function="false" hidden="true" name="IQ_OPTIONS_STRIKE_PRICE_CANCELLED" vbProcedure="false">"c5807"</definedName>
    <definedName function="false" hidden="true" name="IQ_OPTIONS_STRIKE_PRICE_EXERCISABLE" vbProcedure="false">"c5808"</definedName>
    <definedName function="false" hidden="true" name="IQ_OPTIONS_STRIKE_PRICE_EXERCISED" vbProcedure="false">"c5806"</definedName>
    <definedName function="false" hidden="true" name="IQ_OPTIONS_STRIKE_PRICE_GRANTED" vbProcedure="false">"c2678"</definedName>
    <definedName function="false" hidden="true" name="IQ_OPTIONS_STRIKE_PRICE_OS" vbProcedure="false">"c2677"</definedName>
    <definedName function="false" hidden="true" name="IQ_ORDER_BACKLOG" vbProcedure="false">"c2090"</definedName>
    <definedName function="false" hidden="true" name="IQ_OREO_1_4_RESIDENTIAL_FDIC" vbProcedure="false">"c6454"</definedName>
    <definedName function="false" hidden="true" name="IQ_OREO_COMMERCIAL_RE_FDIC" vbProcedure="false">"c6456"</definedName>
    <definedName function="false" hidden="true" name="IQ_OREO_CONSTRUCTION_DEVELOPMENT_FDIC" vbProcedure="false">"c6457"</definedName>
    <definedName function="false" hidden="true" name="IQ_OREO_FARMLAND_FDIC" vbProcedure="false">"c6458"</definedName>
    <definedName function="false" hidden="true" name="IQ_OREO_FOREIGN_FDIC" vbProcedure="false">"c6460"</definedName>
    <definedName function="false" hidden="true" name="IQ_OREO_MULTI_FAMILY_RESIDENTIAL_FDIC" vbProcedure="false">"c6455"</definedName>
    <definedName function="false" hidden="true" name="IQ_OTHER_ADJUST_GROSS_LOANS" vbProcedure="false">"c859"</definedName>
    <definedName function="false" hidden="true" name="IQ_OTHER_AMORT" vbProcedure="false">"c5563"</definedName>
    <definedName function="false" hidden="true" name="IQ_OTHER_AMORT_BNK" vbProcedure="false">"c5565"</definedName>
    <definedName function="false" hidden="true" name="IQ_OTHER_AMORT_BR" vbProcedure="false">"c5566"</definedName>
    <definedName function="false" hidden="true" name="IQ_OTHER_AMORT_FIN" vbProcedure="false">"c5567"</definedName>
    <definedName function="false" hidden="true" name="IQ_OTHER_AMORT_INS" vbProcedure="false">"c5568"</definedName>
    <definedName function="false" hidden="true" name="IQ_OTHER_AMORT_RE" vbProcedure="false">"c6287"</definedName>
    <definedName function="false" hidden="true" name="IQ_OTHER_AMORT_REIT" vbProcedure="false">"c5569"</definedName>
    <definedName function="false" hidden="true" name="IQ_OTHER_AMORT_UTI" vbProcedure="false">"c5570"</definedName>
    <definedName function="false" hidden="true" name="IQ_OTHER_ASSETS" vbProcedure="false">"c860"</definedName>
    <definedName function="false" hidden="true" name="IQ_OTHER_ASSETS_BNK" vbProcedure="false">"c861"</definedName>
    <definedName function="false" hidden="true" name="IQ_OTHER_ASSETS_BR" vbProcedure="false">"c862"</definedName>
    <definedName function="false" hidden="true" name="IQ_OTHER_ASSETS_FDIC" vbProcedure="false">"c6338"</definedName>
    <definedName function="false" hidden="true" name="IQ_OTHER_ASSETS_FIN" vbProcedure="false">"c863"</definedName>
    <definedName function="false" hidden="true" name="IQ_OTHER_ASSETS_INS" vbProcedure="false">"c864"</definedName>
    <definedName function="false" hidden="true" name="IQ_OTHER_ASSETS_RE" vbProcedure="false">"c6241"</definedName>
    <definedName function="false" hidden="true" name="IQ_OTHER_ASSETS_REIT" vbProcedure="false">"c865"</definedName>
    <definedName function="false" hidden="true" name="IQ_OTHER_ASSETS_SERV_RIGHTS" vbProcedure="false">"c2243"</definedName>
    <definedName function="false" hidden="true" name="IQ_OTHER_ASSETS_UTI" vbProcedure="false">"c866"</definedName>
    <definedName function="false" hidden="true" name="IQ_OTHER_BEARING_LIAB" vbProcedure="false">"c1608"</definedName>
    <definedName function="false" hidden="true" name="IQ_OTHER_BENEFITS_OBLIGATION" vbProcedure="false">"c867"</definedName>
    <definedName function="false" hidden="true" name="IQ_OTHER_BORROWED_FUNDS_FDIC" vbProcedure="false">"c6345"</definedName>
    <definedName function="false" hidden="true" name="IQ_OTHER_CA" vbProcedure="false">"c868"</definedName>
    <definedName function="false" hidden="true" name="IQ_OTHER_CA_SUPPL" vbProcedure="false">"c869"</definedName>
    <definedName function="false" hidden="true" name="IQ_OTHER_CA_SUPPL_BNK" vbProcedure="false">"c870"</definedName>
    <definedName function="false" hidden="true" name="IQ_OTHER_CA_SUPPL_BR" vbProcedure="false">"c871"</definedName>
    <definedName function="false" hidden="true" name="IQ_OTHER_CA_SUPPL_FIN" vbProcedure="false">"c872"</definedName>
    <definedName function="false" hidden="true" name="IQ_OTHER_CA_SUPPL_INS" vbProcedure="false">"c873"</definedName>
    <definedName function="false" hidden="true" name="IQ_OTHER_CA_SUPPL_RE" vbProcedure="false">"c6242"</definedName>
    <definedName function="false" hidden="true" name="IQ_OTHER_CA_SUPPL_REIT" vbProcedure="false">"c874"</definedName>
    <definedName function="false" hidden="true" name="IQ_OTHER_CA_SUPPL_UTI" vbProcedure="false">"c875"</definedName>
    <definedName function="false" hidden="true" name="IQ_OTHER_CA_UTI" vbProcedure="false">"c876"</definedName>
    <definedName function="false" hidden="true" name="IQ_OTHER_CL" vbProcedure="false">"c877"</definedName>
    <definedName function="false" hidden="true" name="IQ_OTHER_CL_SUPPL" vbProcedure="false">"c878"</definedName>
    <definedName function="false" hidden="true" name="IQ_OTHER_CL_SUPPL_BNK" vbProcedure="false">"c879"</definedName>
    <definedName function="false" hidden="true" name="IQ_OTHER_CL_SUPPL_BR" vbProcedure="false">"c880"</definedName>
    <definedName function="false" hidden="true" name="IQ_OTHER_CL_SUPPL_FIN" vbProcedure="false">"c881"</definedName>
    <definedName function="false" hidden="true" name="IQ_OTHER_CL_SUPPL_INS" vbProcedure="false">"C6021"</definedName>
    <definedName function="false" hidden="true" name="IQ_OTHER_CL_SUPPL_RE" vbProcedure="false">"c6243"</definedName>
    <definedName function="false" hidden="true" name="IQ_OTHER_CL_SUPPL_REIT" vbProcedure="false">"c882"</definedName>
    <definedName function="false" hidden="true" name="IQ_OTHER_CL_SUPPL_UTI" vbProcedure="false">"c883"</definedName>
    <definedName function="false" hidden="true" name="IQ_OTHER_CL_UTI" vbProcedure="false">"c884"</definedName>
    <definedName function="false" hidden="true" name="IQ_OTHER_COMPREHENSIVE_INCOME_FDIC" vbProcedure="false">"c6503"</definedName>
    <definedName function="false" hidden="true" name="IQ_OTHER_CURRENT_ASSETS" vbProcedure="false">"c1403"</definedName>
    <definedName function="false" hidden="true" name="IQ_OTHER_CURRENT_LIAB" vbProcedure="false">"c1404"</definedName>
    <definedName function="false" hidden="true" name="IQ_OTHER_DEBT" vbProcedure="false">"c2507"</definedName>
    <definedName function="false" hidden="true" name="IQ_OTHER_DEBT_PCT" vbProcedure="false">"c2508"</definedName>
    <definedName function="false" hidden="true" name="IQ_OTHER_DEP" vbProcedure="false">"c885"</definedName>
    <definedName function="false" hidden="true" name="IQ_OTHER_DEPOSITORY_INSTITUTIONS_LOANS_FDIC" vbProcedure="false">"c6436"</definedName>
    <definedName function="false" hidden="true" name="IQ_OTHER_DEPOSITORY_INSTITUTIONS_TOTAL_LOANS_FOREIGN_FDIC" vbProcedure="false">"c6442"</definedName>
    <definedName function="false" hidden="true" name="IQ_OTHER_DOMESTIC_DEBT_SECURITIES_FDIC" vbProcedure="false">"c6302"</definedName>
    <definedName function="false" hidden="true" name="IQ_OTHER_EARNING" vbProcedure="false">"c1609"</definedName>
    <definedName function="false" hidden="true" name="IQ_OTHER_EQUITY" vbProcedure="false">"c886"</definedName>
    <definedName function="false" hidden="true" name="IQ_OTHER_EQUITY_BNK" vbProcedure="false">"c887"</definedName>
    <definedName function="false" hidden="true" name="IQ_OTHER_EQUITY_BR" vbProcedure="false">"c888"</definedName>
    <definedName function="false" hidden="true" name="IQ_OTHER_EQUITY_FIN" vbProcedure="false">"c889"</definedName>
    <definedName function="false" hidden="true" name="IQ_OTHER_EQUITY_INS" vbProcedure="false">"c890"</definedName>
    <definedName function="false" hidden="true" name="IQ_OTHER_EQUITY_RE" vbProcedure="false">"c6244"</definedName>
    <definedName function="false" hidden="true" name="IQ_OTHER_EQUITY_REIT" vbProcedure="false">"c891"</definedName>
    <definedName function="false" hidden="true" name="IQ_OTHER_EQUITY_UTI" vbProcedure="false">"c892"</definedName>
    <definedName function="false" hidden="true" name="IQ_OTHER_FINANCE_ACT" vbProcedure="false">"c893"</definedName>
    <definedName function="false" hidden="true" name="IQ_OTHER_FINANCE_ACT_BNK" vbProcedure="false">"c894"</definedName>
    <definedName function="false" hidden="true" name="IQ_OTHER_FINANCE_ACT_BR" vbProcedure="false">"c895"</definedName>
    <definedName function="false" hidden="true" name="IQ_OTHER_FINANCE_ACT_FIN" vbProcedure="false">"c896"</definedName>
    <definedName function="false" hidden="true" name="IQ_OTHER_FINANCE_ACT_INS" vbProcedure="false">"c897"</definedName>
    <definedName function="false" hidden="true" name="IQ_OTHER_FINANCE_ACT_RE" vbProcedure="false">"c6245"</definedName>
    <definedName function="false" hidden="true" name="IQ_OTHER_FINANCE_ACT_REIT" vbProcedure="false">"c898"</definedName>
    <definedName function="false" hidden="true" name="IQ_OTHER_FINANCE_ACT_SUPPL" vbProcedure="false">"c899"</definedName>
    <definedName function="false" hidden="true" name="IQ_OTHER_FINANCE_ACT_SUPPL_BNK" vbProcedure="false">"c900"</definedName>
    <definedName function="false" hidden="true" name="IQ_OTHER_FINANCE_ACT_SUPPL_BR" vbProcedure="false">"c901"</definedName>
    <definedName function="false" hidden="true" name="IQ_OTHER_FINANCE_ACT_SUPPL_FIN" vbProcedure="false">"c902"</definedName>
    <definedName function="false" hidden="true" name="IQ_OTHER_FINANCE_ACT_SUPPL_INS" vbProcedure="false">"c903"</definedName>
    <definedName function="false" hidden="true" name="IQ_OTHER_FINANCE_ACT_SUPPL_RE" vbProcedure="false">"c6246"</definedName>
    <definedName function="false" hidden="true" name="IQ_OTHER_FINANCE_ACT_SUPPL_REIT" vbProcedure="false">"c904"</definedName>
    <definedName function="false" hidden="true" name="IQ_OTHER_FINANCE_ACT_SUPPL_UTI" vbProcedure="false">"c905"</definedName>
    <definedName function="false" hidden="true" name="IQ_OTHER_FINANCE_ACT_UTI" vbProcedure="false">"c906"</definedName>
    <definedName function="false" hidden="true" name="IQ_OTHER_INSURANCE_FEES_FDIC" vbProcedure="false">"c6672"</definedName>
    <definedName function="false" hidden="true" name="IQ_OTHER_INTAN" vbProcedure="false">"c907"</definedName>
    <definedName function="false" hidden="true" name="IQ_OTHER_INTANGIBLE_FDIC" vbProcedure="false">"c6337"</definedName>
    <definedName function="false" hidden="true" name="IQ_OTHER_INTAN_BNK" vbProcedure="false">"c908"</definedName>
    <definedName function="false" hidden="true" name="IQ_OTHER_INTAN_BR" vbProcedure="false">"c909"</definedName>
    <definedName function="false" hidden="true" name="IQ_OTHER_INTAN_FIN" vbProcedure="false">"c910"</definedName>
    <definedName function="false" hidden="true" name="IQ_OTHER_INTAN_INS" vbProcedure="false">"c911"</definedName>
    <definedName function="false" hidden="true" name="IQ_OTHER_INTAN_RE" vbProcedure="false">"c6247"</definedName>
    <definedName function="false" hidden="true" name="IQ_OTHER_INTAN_REIT" vbProcedure="false">"c912"</definedName>
    <definedName function="false" hidden="true" name="IQ_OTHER_INTAN_UTI" vbProcedure="false">"c913"</definedName>
    <definedName function="false" hidden="true" name="IQ_OTHER_INV" vbProcedure="false">"c914"</definedName>
    <definedName function="false" hidden="true" name="IQ_OTHER_INVEST" vbProcedure="false">"c915"</definedName>
    <definedName function="false" hidden="true" name="IQ_OTHER_INVESTING" vbProcedure="false">"c1408"</definedName>
    <definedName function="false" hidden="true" name="IQ_OTHER_INVEST_ACT" vbProcedure="false">"c916"</definedName>
    <definedName function="false" hidden="true" name="IQ_OTHER_INVEST_ACT_BNK" vbProcedure="false">"c917"</definedName>
    <definedName function="false" hidden="true" name="IQ_OTHER_INVEST_ACT_BR" vbProcedure="false">"c918"</definedName>
    <definedName function="false" hidden="true" name="IQ_OTHER_INVEST_ACT_FIN" vbProcedure="false">"c919"</definedName>
    <definedName function="false" hidden="true" name="IQ_OTHER_INVEST_ACT_INS" vbProcedure="false">"c920"</definedName>
    <definedName function="false" hidden="true" name="IQ_OTHER_INVEST_ACT_RE" vbProcedure="false">"c6248"</definedName>
    <definedName function="false" hidden="true" name="IQ_OTHER_INVEST_ACT_REIT" vbProcedure="false">"c921"</definedName>
    <definedName function="false" hidden="true" name="IQ_OTHER_INVEST_ACT_SUPPL" vbProcedure="false">"c922"</definedName>
    <definedName function="false" hidden="true" name="IQ_OTHER_INVEST_ACT_SUPPL_BNK" vbProcedure="false">"c923"</definedName>
    <definedName function="false" hidden="true" name="IQ_OTHER_INVEST_ACT_SUPPL_BR" vbProcedure="false">"c924"</definedName>
    <definedName function="false" hidden="true" name="IQ_OTHER_INVEST_ACT_SUPPL_FIN" vbProcedure="false">"c925"</definedName>
    <definedName function="false" hidden="true" name="IQ_OTHER_INVEST_ACT_SUPPL_INS" vbProcedure="false">"c926"</definedName>
    <definedName function="false" hidden="true" name="IQ_OTHER_INVEST_ACT_SUPPL_RE" vbProcedure="false">"c6249"</definedName>
    <definedName function="false" hidden="true" name="IQ_OTHER_INVEST_ACT_SUPPL_REIT" vbProcedure="false">"c927"</definedName>
    <definedName function="false" hidden="true" name="IQ_OTHER_INVEST_ACT_SUPPL_UTI" vbProcedure="false">"c928"</definedName>
    <definedName function="false" hidden="true" name="IQ_OTHER_INVEST_ACT_UTI" vbProcedure="false">"c929"</definedName>
    <definedName function="false" hidden="true" name="IQ_OTHER_LIAB" vbProcedure="false">"c930"</definedName>
    <definedName function="false" hidden="true" name="IQ_OTHER_LIABILITIES_FDIC" vbProcedure="false">"c6347"</definedName>
    <definedName function="false" hidden="true" name="IQ_OTHER_LIAB_BNK" vbProcedure="false">"c931"</definedName>
    <definedName function="false" hidden="true" name="IQ_OTHER_LIAB_BR" vbProcedure="false">"c932"</definedName>
    <definedName function="false" hidden="true" name="IQ_OTHER_LIAB_FIN" vbProcedure="false">"c933"</definedName>
    <definedName function="false" hidden="true" name="IQ_OTHER_LIAB_INS" vbProcedure="false">"c934"</definedName>
    <definedName function="false" hidden="true" name="IQ_OTHER_LIAB_LT" vbProcedure="false">"c935"</definedName>
    <definedName function="false" hidden="true" name="IQ_OTHER_LIAB_LT_BNK" vbProcedure="false">"c936"</definedName>
    <definedName function="false" hidden="true" name="IQ_OTHER_LIAB_LT_BR" vbProcedure="false">"c937"</definedName>
    <definedName function="false" hidden="true" name="IQ_OTHER_LIAB_LT_FIN" vbProcedure="false">"c938"</definedName>
    <definedName function="false" hidden="true" name="IQ_OTHER_LIAB_LT_INS" vbProcedure="false">"c939"</definedName>
    <definedName function="false" hidden="true" name="IQ_OTHER_LIAB_LT_RE" vbProcedure="false">"c6250"</definedName>
    <definedName function="false" hidden="true" name="IQ_OTHER_LIAB_LT_REIT" vbProcedure="false">"c940"</definedName>
    <definedName function="false" hidden="true" name="IQ_OTHER_LIAB_LT_UTI" vbProcedure="false">"c941"</definedName>
    <definedName function="false" hidden="true" name="IQ_OTHER_LIAB_RE" vbProcedure="false">"c6251"</definedName>
    <definedName function="false" hidden="true" name="IQ_OTHER_LIAB_REIT" vbProcedure="false">"c942"</definedName>
    <definedName function="false" hidden="true" name="IQ_OTHER_LIAB_UTI" vbProcedure="false">"c943"</definedName>
    <definedName function="false" hidden="true" name="IQ_OTHER_LIAB_WRITTEN" vbProcedure="false">"c944"</definedName>
    <definedName function="false" hidden="true" name="IQ_OTHER_LOANS" vbProcedure="false">"c945"</definedName>
    <definedName function="false" hidden="true" name="IQ_OTHER_LOANS_CHARGE_OFFS_FDIC" vbProcedure="false">"c6601"</definedName>
    <definedName function="false" hidden="true" name="IQ_OTHER_LOANS_FOREIGN_FDIC" vbProcedure="false">"c6446"</definedName>
    <definedName function="false" hidden="true" name="IQ_OTHER_LOANS_LEASES_FDIC" vbProcedure="false">"c6322"</definedName>
    <definedName function="false" hidden="true" name="IQ_OTHER_LOANS_NET_CHARGE_OFFS_FDIC" vbProcedure="false">"c6639"</definedName>
    <definedName function="false" hidden="true" name="IQ_OTHER_LOANS_RECOVERIES_FDIC" vbProcedure="false">"c6620"</definedName>
    <definedName function="false" hidden="true" name="IQ_OTHER_LOANS_TOTAL_FDIC" vbProcedure="false">"c6432"</definedName>
    <definedName function="false" hidden="true" name="IQ_OTHER_LONG_TERM" vbProcedure="false">"c1409"</definedName>
    <definedName function="false" hidden="true" name="IQ_OTHER_LT_ASSETS" vbProcedure="false">"c946"</definedName>
    <definedName function="false" hidden="true" name="IQ_OTHER_LT_ASSETS_BNK" vbProcedure="false">"c947"</definedName>
    <definedName function="false" hidden="true" name="IQ_OTHER_LT_ASSETS_BR" vbProcedure="false">"c948"</definedName>
    <definedName function="false" hidden="true" name="IQ_OTHER_LT_ASSETS_FIN" vbProcedure="false">"c949"</definedName>
    <definedName function="false" hidden="true" name="IQ_OTHER_LT_ASSETS_INS" vbProcedure="false">"c950"</definedName>
    <definedName function="false" hidden="true" name="IQ_OTHER_LT_ASSETS_RE" vbProcedure="false">"c6252"</definedName>
    <definedName function="false" hidden="true" name="IQ_OTHER_LT_ASSETS_REIT" vbProcedure="false">"c951"</definedName>
    <definedName function="false" hidden="true" name="IQ_OTHER_LT_ASSETS_UTI" vbProcedure="false">"c952"</definedName>
    <definedName function="false" hidden="true" name="IQ_OTHER_NET" vbProcedure="false">"c1453"</definedName>
    <definedName function="false" hidden="true" name="IQ_OTHER_NON_INT_EXP" vbProcedure="false">"c953"</definedName>
    <definedName function="false" hidden="true" name="IQ_OTHER_NON_INT_EXPENSE_FDIC" vbProcedure="false">"c6679"</definedName>
    <definedName function="false" hidden="true" name="IQ_OTHER_NON_INT_EXP_FDIC" vbProcedure="false">"c6578"</definedName>
    <definedName function="false" hidden="true" name="IQ_OTHER_NON_INT_EXP_TOTAL" vbProcedure="false">"c954"</definedName>
    <definedName function="false" hidden="true" name="IQ_OTHER_NON_INT_INC" vbProcedure="false">"c955"</definedName>
    <definedName function="false" hidden="true" name="IQ_OTHER_NON_INT_INC_FDIC" vbProcedure="false">"c6676"</definedName>
    <definedName function="false" hidden="true" name="IQ_OTHER_NON_OPER_EXP" vbProcedure="false">"c956"</definedName>
    <definedName function="false" hidden="true" name="IQ_OTHER_NON_OPER_EXP_BR" vbProcedure="false">"c957"</definedName>
    <definedName function="false" hidden="true" name="IQ_OTHER_NON_OPER_EXP_FIN" vbProcedure="false">"c958"</definedName>
    <definedName function="false" hidden="true" name="IQ_OTHER_NON_OPER_EXP_INS" vbProcedure="false">"c959"</definedName>
    <definedName function="false" hidden="true" name="IQ_OTHER_NON_OPER_EXP_RE" vbProcedure="false">"c6253"</definedName>
    <definedName function="false" hidden="true" name="IQ_OTHER_NON_OPER_EXP_REIT" vbProcedure="false">"c960"</definedName>
    <definedName function="false" hidden="true" name="IQ_OTHER_NON_OPER_EXP_SUPPL" vbProcedure="false">"c961"</definedName>
    <definedName function="false" hidden="true" name="IQ_OTHER_NON_OPER_EXP_SUPPL_BR" vbProcedure="false">"c962"</definedName>
    <definedName function="false" hidden="true" name="IQ_OTHER_NON_OPER_EXP_SUPPL_FIN" vbProcedure="false">"c963"</definedName>
    <definedName function="false" hidden="true" name="IQ_OTHER_NON_OPER_EXP_SUPPL_INS" vbProcedure="false">"c964"</definedName>
    <definedName function="false" hidden="true" name="IQ_OTHER_NON_OPER_EXP_SUPPL_RE" vbProcedure="false">"c6254"</definedName>
    <definedName function="false" hidden="true" name="IQ_OTHER_NON_OPER_EXP_SUPPL_REIT" vbProcedure="false">"c965"</definedName>
    <definedName function="false" hidden="true" name="IQ_OTHER_NON_OPER_EXP_SUPPL_UTI" vbProcedure="false">"c966"</definedName>
    <definedName function="false" hidden="true" name="IQ_OTHER_NON_OPER_EXP_UTI" vbProcedure="false">"c967"</definedName>
    <definedName function="false" hidden="true" name="IQ_OTHER_OFF_BS_LIAB_FDIC" vbProcedure="false">"c6533"</definedName>
    <definedName function="false" hidden="true" name="IQ_OTHER_OPER" vbProcedure="false">"c982"</definedName>
    <definedName function="false" hidden="true" name="IQ_OTHER_OPER_ACT" vbProcedure="false">"c983"</definedName>
    <definedName function="false" hidden="true" name="IQ_OTHER_OPER_ACT_BNK" vbProcedure="false">"c984"</definedName>
    <definedName function="false" hidden="true" name="IQ_OTHER_OPER_ACT_BR" vbProcedure="false">"c985"</definedName>
    <definedName function="false" hidden="true" name="IQ_OTHER_OPER_ACT_FIN" vbProcedure="false">"c986"</definedName>
    <definedName function="false" hidden="true" name="IQ_OTHER_OPER_ACT_INS" vbProcedure="false">"c987"</definedName>
    <definedName function="false" hidden="true" name="IQ_OTHER_OPER_ACT_RE" vbProcedure="false">"c6255"</definedName>
    <definedName function="false" hidden="true" name="IQ_OTHER_OPER_ACT_REIT" vbProcedure="false">"c988"</definedName>
    <definedName function="false" hidden="true" name="IQ_OTHER_OPER_ACT_UTI" vbProcedure="false">"c989"</definedName>
    <definedName function="false" hidden="true" name="IQ_OTHER_OPER_BR" vbProcedure="false">"c990"</definedName>
    <definedName function="false" hidden="true" name="IQ_OTHER_OPER_FIN" vbProcedure="false">"c991"</definedName>
    <definedName function="false" hidden="true" name="IQ_OTHER_OPER_INS" vbProcedure="false">"c992"</definedName>
    <definedName function="false" hidden="true" name="IQ_OTHER_OPER_RE" vbProcedure="false">"c6256"</definedName>
    <definedName function="false" hidden="true" name="IQ_OTHER_OPER_REIT" vbProcedure="false">"c993"</definedName>
    <definedName function="false" hidden="true" name="IQ_OTHER_OPER_SUPPL_BR" vbProcedure="false">"c994"</definedName>
    <definedName function="false" hidden="true" name="IQ_OTHER_OPER_SUPPL_FIN" vbProcedure="false">"c995"</definedName>
    <definedName function="false" hidden="true" name="IQ_OTHER_OPER_SUPPL_INS" vbProcedure="false">"c996"</definedName>
    <definedName function="false" hidden="true" name="IQ_OTHER_OPER_SUPPL_RE" vbProcedure="false">"c6257"</definedName>
    <definedName function="false" hidden="true" name="IQ_OTHER_OPER_SUPPL_REIT" vbProcedure="false">"c997"</definedName>
    <definedName function="false" hidden="true" name="IQ_OTHER_OPER_SUPPL_UTI" vbProcedure="false">"c998"</definedName>
    <definedName function="false" hidden="true" name="IQ_OTHER_OPER_TOT_BNK" vbProcedure="false">"c999"</definedName>
    <definedName function="false" hidden="true" name="IQ_OTHER_OPER_TOT_BR" vbProcedure="false">"c1000"</definedName>
    <definedName function="false" hidden="true" name="IQ_OTHER_OPER_TOT_FIN" vbProcedure="false">"c1001"</definedName>
    <definedName function="false" hidden="true" name="IQ_OTHER_OPER_TOT_INS" vbProcedure="false">"c1002"</definedName>
    <definedName function="false" hidden="true" name="IQ_OTHER_OPER_TOT_RE" vbProcedure="false">"c6258"</definedName>
    <definedName function="false" hidden="true" name="IQ_OTHER_OPER_TOT_REIT" vbProcedure="false">"c1003"</definedName>
    <definedName function="false" hidden="true" name="IQ_OTHER_OPER_TOT_UTI" vbProcedure="false">"c1004"</definedName>
    <definedName function="false" hidden="true" name="IQ_OTHER_OPER_UTI" vbProcedure="false">"c1005"</definedName>
    <definedName function="false" hidden="true" name="IQ_OTHER_OPTIONS_BEG_OS" vbProcedure="false">"c2686"</definedName>
    <definedName function="false" hidden="true" name="IQ_OTHER_OPTIONS_CANCELLED" vbProcedure="false">"c2689"</definedName>
    <definedName function="false" hidden="true" name="IQ_OTHER_OPTIONS_END_OS" vbProcedure="false">"c2690"</definedName>
    <definedName function="false" hidden="true" name="IQ_OTHER_OPTIONS_EXERCISABLE_END_OS" vbProcedure="false">"c5814"</definedName>
    <definedName function="false" hidden="true" name="IQ_OTHER_OPTIONS_EXERCISED" vbProcedure="false">"c2688"</definedName>
    <definedName function="false" hidden="true" name="IQ_OTHER_OPTIONS_GRANTED" vbProcedure="false">"c2687"</definedName>
    <definedName function="false" hidden="true" name="IQ_OTHER_OPTIONS_STRIKE_PRICE_BEG_OS" vbProcedure="false">"c5815"</definedName>
    <definedName function="false" hidden="true" name="IQ_OTHER_OPTIONS_STRIKE_PRICE_CANCELLED" vbProcedure="false">"c5817"</definedName>
    <definedName function="false" hidden="true" name="IQ_OTHER_OPTIONS_STRIKE_PRICE_EXERCISABLE" vbProcedure="false">"c5818"</definedName>
    <definedName function="false" hidden="true" name="IQ_OTHER_OPTIONS_STRIKE_PRICE_EXERCISED" vbProcedure="false">"c5816"</definedName>
    <definedName function="false" hidden="true" name="IQ_OTHER_OPTIONS_STRIKE_PRICE_OS" vbProcedure="false">"c2691"</definedName>
    <definedName function="false" hidden="true" name="IQ_OTHER_OUTSTANDING_BS_DATE" vbProcedure="false">"c1972"</definedName>
    <definedName function="false" hidden="true" name="IQ_OTHER_OUTSTANDING_FILING_DATE" vbProcedure="false">"c1974"</definedName>
    <definedName function="false" hidden="true" name="IQ_OTHER_PC_WRITTEN" vbProcedure="false">"c1006"</definedName>
    <definedName function="false" hidden="true" name="IQ_OTHER_REAL_ESTATE" vbProcedure="false">"c1007"</definedName>
    <definedName function="false" hidden="true" name="IQ_OTHER_RECEIV" vbProcedure="false">"c1008"</definedName>
    <definedName function="false" hidden="true" name="IQ_OTHER_RECEIV_INS" vbProcedure="false">"c1009"</definedName>
    <definedName function="false" hidden="true" name="IQ_OTHER_REV" vbProcedure="false">"c1010"</definedName>
    <definedName function="false" hidden="true" name="IQ_OTHER_REVENUE" vbProcedure="false">"c1410"</definedName>
    <definedName function="false" hidden="true" name="IQ_OTHER_REV_BR" vbProcedure="false">"c1011"</definedName>
    <definedName function="false" hidden="true" name="IQ_OTHER_REV_FIN" vbProcedure="false">"c1012"</definedName>
    <definedName function="false" hidden="true" name="IQ_OTHER_REV_INS" vbProcedure="false">"c1013"</definedName>
    <definedName function="false" hidden="true" name="IQ_OTHER_REV_RE" vbProcedure="false">"c6259"</definedName>
    <definedName function="false" hidden="true" name="IQ_OTHER_REV_REIT" vbProcedure="false">"c1014"</definedName>
    <definedName function="false" hidden="true" name="IQ_OTHER_REV_SUPPL" vbProcedure="false">"c1015"</definedName>
    <definedName function="false" hidden="true" name="IQ_OTHER_REV_SUPPL_BR" vbProcedure="false">"c1016"</definedName>
    <definedName function="false" hidden="true" name="IQ_OTHER_REV_SUPPL_FIN" vbProcedure="false">"c1017"</definedName>
    <definedName function="false" hidden="true" name="IQ_OTHER_REV_SUPPL_INS" vbProcedure="false">"c1018"</definedName>
    <definedName function="false" hidden="true" name="IQ_OTHER_REV_SUPPL_RE" vbProcedure="false">"c6260"</definedName>
    <definedName function="false" hidden="true" name="IQ_OTHER_REV_SUPPL_REIT" vbProcedure="false">"c1019"</definedName>
    <definedName function="false" hidden="true" name="IQ_OTHER_REV_SUPPL_UTI" vbProcedure="false">"c1020"</definedName>
    <definedName function="false" hidden="true" name="IQ_OTHER_REV_UTI" vbProcedure="false">"c1021"</definedName>
    <definedName function="false" hidden="true" name="IQ_OTHER_RE_OWNED_FDIC" vbProcedure="false">"c6330"</definedName>
    <definedName function="false" hidden="true" name="IQ_OTHER_SAVINGS_DEPOSITS_FDIC" vbProcedure="false">"c6554"</definedName>
    <definedName function="false" hidden="true" name="IQ_OTHER_STRIKE_PRICE_GRANTED" vbProcedure="false">"c2692"</definedName>
    <definedName function="false" hidden="true" name="IQ_OTHER_TRANSACTIONS_FDIC" vbProcedure="false">"c6504"</definedName>
    <definedName function="false" hidden="true" name="IQ_OTHER_UNDRAWN" vbProcedure="false">"c2522"</definedName>
    <definedName function="false" hidden="true" name="IQ_OTHER_UNUSED_COMMITMENTS_FDIC" vbProcedure="false">"c6530"</definedName>
    <definedName function="false" hidden="true" name="IQ_OTHER_UNUSUAL" vbProcedure="false">"c1488"</definedName>
    <definedName function="false" hidden="true" name="IQ_OTHER_UNUSUAL_BNK" vbProcedure="false">"c1560"</definedName>
    <definedName function="false" hidden="true" name="IQ_OTHER_UNUSUAL_BR" vbProcedure="false">"c1561"</definedName>
    <definedName function="false" hidden="true" name="IQ_OTHER_UNUSUAL_FIN" vbProcedure="false">"c1562"</definedName>
    <definedName function="false" hidden="true" name="IQ_OTHER_UNUSUAL_INS" vbProcedure="false">"c1563"</definedName>
    <definedName function="false" hidden="true" name="IQ_OTHER_UNUSUAL_RE" vbProcedure="false">"c6282"</definedName>
    <definedName function="false" hidden="true" name="IQ_OTHER_UNUSUAL_REIT" vbProcedure="false">"c1564"</definedName>
    <definedName function="false" hidden="true" name="IQ_OTHER_UNUSUAL_SUPPL" vbProcedure="false">"c1494"</definedName>
    <definedName function="false" hidden="true" name="IQ_OTHER_UNUSUAL_SUPPL_BNK" vbProcedure="false">"c1495"</definedName>
    <definedName function="false" hidden="true" name="IQ_OTHER_UNUSUAL_SUPPL_BR" vbProcedure="false">"c1496"</definedName>
    <definedName function="false" hidden="true" name="IQ_OTHER_UNUSUAL_SUPPL_FIN" vbProcedure="false">"c1497"</definedName>
    <definedName function="false" hidden="true" name="IQ_OTHER_UNUSUAL_SUPPL_INS" vbProcedure="false">"c1498"</definedName>
    <definedName function="false" hidden="true" name="IQ_OTHER_UNUSUAL_SUPPL_RE" vbProcedure="false">"c6281"</definedName>
    <definedName function="false" hidden="true" name="IQ_OTHER_UNUSUAL_SUPPL_REIT" vbProcedure="false">"c1499"</definedName>
    <definedName function="false" hidden="true" name="IQ_OTHER_UNUSUAL_SUPPL_UTI" vbProcedure="false">"c1500"</definedName>
    <definedName function="false" hidden="true" name="IQ_OTHER_UNUSUAL_UTI" vbProcedure="false">"c1565"</definedName>
    <definedName function="false" hidden="true" name="IQ_OTHER_WARRANTS_BEG_OS" vbProcedure="false">"c2712"</definedName>
    <definedName function="false" hidden="true" name="IQ_OTHER_WARRANTS_CANCELLED" vbProcedure="false">"c2715"</definedName>
    <definedName function="false" hidden="true" name="IQ_OTHER_WARRANTS_END_OS" vbProcedure="false">"c2716"</definedName>
    <definedName function="false" hidden="true" name="IQ_OTHER_WARRANTS_EXERCISED" vbProcedure="false">"c2714"</definedName>
    <definedName function="false" hidden="true" name="IQ_OTHER_WARRANTS_ISSUED" vbProcedure="false">"c2713"</definedName>
    <definedName function="false" hidden="true" name="IQ_OTHER_WARRANTS_STRIKE_PRICE_ISSUED" vbProcedure="false">"c2718"</definedName>
    <definedName function="false" hidden="true" name="IQ_OTHER_WARRANTS_STRIKE_PRICE_OS" vbProcedure="false">"c2717"</definedName>
    <definedName function="false" hidden="true" name="IQ_OUTSTANDING_BS_DATE" vbProcedure="false">"c2128"</definedName>
    <definedName function="false" hidden="true" name="IQ_OUTSTANDING_FILING_DATE" vbProcedure="false">"c1023"</definedName>
    <definedName function="false" hidden="true" name="IQ_OVER_FIFETEEN_YEAR_MORTGAGE_PASS_THROUGHS_FDIC" vbProcedure="false">"c6416"</definedName>
    <definedName function="false" hidden="true" name="IQ_OVER_FIFTEEN_YEAR_FIXED_AND_FLOATING_RATE_FDIC" vbProcedure="false">"c6424"</definedName>
    <definedName function="false" hidden="true" name="IQ_OVER_THREE_YEARS_FDIC" vbProcedure="false">"c6418"</definedName>
    <definedName function="false" hidden="true" name="IQ_OWNERSHIP" vbProcedure="false">"c2160"</definedName>
    <definedName function="false" hidden="true" name="IQ_PARTICIPATION_POOLS_RESIDENTIAL_MORTGAGES_FDIC" vbProcedure="false">"c6403"</definedName>
    <definedName function="false" hidden="true" name="IQ_PART_TIME" vbProcedure="false">"c1024"</definedName>
    <definedName function="false" hidden="true" name="IQ_PAST_DUE_30_1_4_FAMILY_LOANS_FDIC" vbProcedure="false">"c6693"</definedName>
    <definedName function="false" hidden="true" name="IQ_PAST_DUE_30_AUTO_LOANS_FDIC" vbProcedure="false">"c6687"</definedName>
    <definedName function="false" hidden="true" name="IQ_PAST_DUE_30_CL_LOANS_FDIC" vbProcedure="false">"c6688"</definedName>
    <definedName function="false" hidden="true" name="IQ_PAST_DUE_30_CREDIT_CARDS_RECEIVABLES_FDIC" vbProcedure="false">"c6690"</definedName>
    <definedName function="false" hidden="true" name="IQ_PAST_DUE_30_HOME_EQUITY_LINES_FDIC" vbProcedure="false">"c6691"</definedName>
    <definedName function="false" hidden="true" name="IQ_PAST_DUE_30_OTHER_CONSUMER_LOANS_FDIC" vbProcedure="false">"c6689"</definedName>
    <definedName function="false" hidden="true" name="IQ_PAST_DUE_30_OTHER_LOANS_FDIC" vbProcedure="false">"c6692"</definedName>
    <definedName function="false" hidden="true" name="IQ_PAST_DUE_90_1_4_FAMILY_LOANS_FDIC" vbProcedure="false">"c6700"</definedName>
    <definedName function="false" hidden="true" name="IQ_PAST_DUE_90_AUTO_LOANS_FDIC" vbProcedure="false">"c6694"</definedName>
    <definedName function="false" hidden="true" name="IQ_PAST_DUE_90_CL_LOANS_FDIC" vbProcedure="false">"c6695"</definedName>
    <definedName function="false" hidden="true" name="IQ_PAST_DUE_90_CREDIT_CARDS_RECEIVABLES_FDIC" vbProcedure="false">"c6697"</definedName>
    <definedName function="false" hidden="true" name="IQ_PAST_DUE_90_HOME_EQUITY_LINES_FDIC" vbProcedure="false">"c6698"</definedName>
    <definedName function="false" hidden="true" name="IQ_PAST_DUE_90_OTHER_CONSUMER_LOANS_FDIC" vbProcedure="false">"c6696"</definedName>
    <definedName function="false" hidden="true" name="IQ_PAST_DUE_90_OTHER_LOANS_FDIC" vbProcedure="false">"c6699"</definedName>
    <definedName function="false" hidden="true" name="IQ_PAYOUT_RATIO" vbProcedure="false">"c1900"</definedName>
    <definedName function="false" hidden="true" name="IQ_PAY_ACCRUED" vbProcedure="false">"c1457"</definedName>
    <definedName function="false" hidden="true" name="IQ_PBV" vbProcedure="false">"c1025"</definedName>
    <definedName function="false" hidden="true" name="IQ_PBV_AVG" vbProcedure="false">"c1026"</definedName>
    <definedName function="false" hidden="true" name="IQ_PC_EARNED" vbProcedure="false">"c2749"</definedName>
    <definedName function="false" hidden="true" name="IQ_PC_GAAP_COMBINED_RATIO" vbProcedure="false">"c2781"</definedName>
    <definedName function="false" hidden="true" name="IQ_PC_GAAP_COMBINED_RATIO_EXCL_CL" vbProcedure="false">"c2782"</definedName>
    <definedName function="false" hidden="true" name="IQ_PC_GAAP_EXPENSE_RATIO" vbProcedure="false">"c2780"</definedName>
    <definedName function="false" hidden="true" name="IQ_PC_GAAP_LOSS" vbProcedure="false">"c2779"</definedName>
    <definedName function="false" hidden="true" name="IQ_PC_POLICY_BENEFITS_EXP" vbProcedure="false">"c2790"</definedName>
    <definedName function="false" hidden="true" name="IQ_PC_STATUTORY_SURPLUS" vbProcedure="false">"c2770"</definedName>
    <definedName function="false" hidden="true" name="IQ_PC_STAT_COMBINED_RATIO" vbProcedure="false">"c2778"</definedName>
    <definedName function="false" hidden="true" name="IQ_PC_STAT_COMBINED_RATIO_EXCL_DIV" vbProcedure="false">"c2777"</definedName>
    <definedName function="false" hidden="true" name="IQ_PC_STAT_DIVIDEND_RATIO" vbProcedure="false">"c2776"</definedName>
    <definedName function="false" hidden="true" name="IQ_PC_STAT_EXPENSE_RATIO" vbProcedure="false">"c2775"</definedName>
    <definedName function="false" hidden="true" name="IQ_PC_STAT_LOSS_RATIO" vbProcedure="false">"c2774"</definedName>
    <definedName function="false" hidden="true" name="IQ_PC_WRITTEN" vbProcedure="false">"c1027"</definedName>
    <definedName function="false" hidden="true" name="IQ_PEG_FWD" vbProcedure="false">"c1863"</definedName>
    <definedName function="false" hidden="true" name="IQ_PEG_FWD_CIQ" vbProcedure="false">"c4045"</definedName>
    <definedName function="false" hidden="true" name="IQ_PEG_FWD_REUT" vbProcedure="false">"c4052"</definedName>
    <definedName function="false" hidden="true" name="IQ_PENSION" vbProcedure="false">"c1031"</definedName>
    <definedName function="false" hidden="true" name="IQ_PENSION_ACCRUED_LIAB" vbProcedure="false">"c3134"</definedName>
    <definedName function="false" hidden="true" name="IQ_PENSION_ACCRUED_LIAB_DOM" vbProcedure="false">"c3132"</definedName>
    <definedName function="false" hidden="true" name="IQ_PENSION_ACCRUED_LIAB_FOREIGN" vbProcedure="false">"c3133"</definedName>
    <definedName function="false" hidden="true" name="IQ_PENSION_ACCUMULATED_OBLIGATION" vbProcedure="false">"c3570"</definedName>
    <definedName function="false" hidden="true" name="IQ_PENSION_ACCUMULATED_OBLIGATION_DOMESTIC" vbProcedure="false">"c3568"</definedName>
    <definedName function="false" hidden="true" name="IQ_PENSION_ACCUMULATED_OBLIGATION_FOREIGN" vbProcedure="false">"c3569"</definedName>
    <definedName function="false" hidden="true" name="IQ_PENSION_ACCUM_OTHER_CI" vbProcedure="false">"c3140"</definedName>
    <definedName function="false" hidden="true" name="IQ_PENSION_ACCUM_OTHER_CI_DOM" vbProcedure="false">"c3138"</definedName>
    <definedName function="false" hidden="true" name="IQ_PENSION_ACCUM_OTHER_CI_FOREIGN" vbProcedure="false">"c3139"</definedName>
    <definedName function="false" hidden="true" name="IQ_PENSION_ACT_NEXT" vbProcedure="false">"c5738"</definedName>
    <definedName function="false" hidden="true" name="IQ_PENSION_ACT_NEXT_DOM" vbProcedure="false">"c5736"</definedName>
    <definedName function="false" hidden="true" name="IQ_PENSION_ACT_NEXT_FOREIGN" vbProcedure="false">"c5737"</definedName>
    <definedName function="false" hidden="true" name="IQ_PENSION_AMT_RECOG_NEXT_DOM" vbProcedure="false">"c5745"</definedName>
    <definedName function="false" hidden="true" name="IQ_PENSION_AMT_RECOG_NEXT_FOREIGN" vbProcedure="false">"c5746"</definedName>
    <definedName function="false" hidden="true" name="IQ_PENSION_AMT_RECOG_PERIOD" vbProcedure="false">"c5747"</definedName>
    <definedName function="false" hidden="true" name="IQ_PENSION_ASSETS" vbProcedure="false">"c3182"</definedName>
    <definedName function="false" hidden="true" name="IQ_PENSION_ASSETS_ACQ" vbProcedure="false">"c3173"</definedName>
    <definedName function="false" hidden="true" name="IQ_PENSION_ASSETS_ACQ_DOM" vbProcedure="false">"c3171"</definedName>
    <definedName function="false" hidden="true" name="IQ_PENSION_ASSETS_ACQ_FOREIGN" vbProcedure="false">"c3172"</definedName>
    <definedName function="false" hidden="true" name="IQ_PENSION_ASSETS_ACTUAL_RETURN" vbProcedure="false">"c3158"</definedName>
    <definedName function="false" hidden="true" name="IQ_PENSION_ASSETS_ACTUAL_RETURN_DOM" vbProcedure="false">"c3156"</definedName>
    <definedName function="false" hidden="true" name="IQ_PENSION_ASSETS_ACTUAL_RETURN_FOREIGN" vbProcedure="false">"c3157"</definedName>
    <definedName function="false" hidden="true" name="IQ_PENSION_ASSETS_BEG" vbProcedure="false">"c3155"</definedName>
    <definedName function="false" hidden="true" name="IQ_PENSION_ASSETS_BEG_DOM" vbProcedure="false">"c3153"</definedName>
    <definedName function="false" hidden="true" name="IQ_PENSION_ASSETS_BEG_FOREIGN" vbProcedure="false">"c3154"</definedName>
    <definedName function="false" hidden="true" name="IQ_PENSION_ASSETS_BENEFITS_PAID" vbProcedure="false">"c3167"</definedName>
    <definedName function="false" hidden="true" name="IQ_PENSION_ASSETS_BENEFITS_PAID_DOM" vbProcedure="false">"c3165"</definedName>
    <definedName function="false" hidden="true" name="IQ_PENSION_ASSETS_BENEFITS_PAID_FOREIGN" vbProcedure="false">"c3166"</definedName>
    <definedName function="false" hidden="true" name="IQ_PENSION_ASSETS_CURTAIL" vbProcedure="false">"c3176"</definedName>
    <definedName function="false" hidden="true" name="IQ_PENSION_ASSETS_CURTAIL_DOM" vbProcedure="false">"c3174"</definedName>
    <definedName function="false" hidden="true" name="IQ_PENSION_ASSETS_CURTAIL_FOREIGN" vbProcedure="false">"c3175"</definedName>
    <definedName function="false" hidden="true" name="IQ_PENSION_ASSETS_DOM" vbProcedure="false">"c3180"</definedName>
    <definedName function="false" hidden="true" name="IQ_PENSION_ASSETS_EMPLOYER_CONTRIBUTIONS" vbProcedure="false">"c3161"</definedName>
    <definedName function="false" hidden="true" name="IQ_PENSION_ASSETS_EMPLOYER_CONTRIBUTIONS_DOM" vbProcedure="false">"c3159"</definedName>
    <definedName function="false" hidden="true" name="IQ_PENSION_ASSETS_EMPLOYER_CONTRIBUTIONS_FOREIGN" vbProcedure="false">"c3160"</definedName>
    <definedName function="false" hidden="true" name="IQ_PENSION_ASSETS_FOREIGN" vbProcedure="false">"c3181"</definedName>
    <definedName function="false" hidden="true" name="IQ_PENSION_ASSETS_FX_ADJ" vbProcedure="false">"c3170"</definedName>
    <definedName function="false" hidden="true" name="IQ_PENSION_ASSETS_FX_ADJ_DOM" vbProcedure="false">"c3168"</definedName>
    <definedName function="false" hidden="true" name="IQ_PENSION_ASSETS_FX_ADJ_FOREIGN" vbProcedure="false">"c3169"</definedName>
    <definedName function="false" hidden="true" name="IQ_PENSION_ASSETS_OTHER_PLAN_ADJ" vbProcedure="false">"c3179"</definedName>
    <definedName function="false" hidden="true" name="IQ_PENSION_ASSETS_OTHER_PLAN_ADJ_DOM" vbProcedure="false">"c3177"</definedName>
    <definedName function="false" hidden="true" name="IQ_PENSION_ASSETS_OTHER_PLAN_ADJ_FOREIGN" vbProcedure="false">"c3178"</definedName>
    <definedName function="false" hidden="true" name="IQ_PENSION_ASSETS_PARTICIP_CONTRIBUTIONS" vbProcedure="false">"c3164"</definedName>
    <definedName function="false" hidden="true" name="IQ_PENSION_ASSETS_PARTICIP_CONTRIBUTIONS_DOM" vbProcedure="false">"c3162"</definedName>
    <definedName function="false" hidden="true" name="IQ_PENSION_ASSETS_PARTICIP_CONTRIBUTIONS_FOREIGN" vbProcedure="false">"c3163"</definedName>
    <definedName function="false" hidden="true" name="IQ_PENSION_BENEFIT_INFO_DATE" vbProcedure="false">"c3230"</definedName>
    <definedName function="false" hidden="true" name="IQ_PENSION_BENEFIT_INFO_DATE_DOM" vbProcedure="false">"c3228"</definedName>
    <definedName function="false" hidden="true" name="IQ_PENSION_BENEFIT_INFO_DATE_FOREIGN" vbProcedure="false">"c3229"</definedName>
    <definedName function="false" hidden="true" name="IQ_PENSION_BREAKDOWN_EQ" vbProcedure="false">"c3101"</definedName>
    <definedName function="false" hidden="true" name="IQ_PENSION_BREAKDOWN_EQ_DOM" vbProcedure="false">"c3099"</definedName>
    <definedName function="false" hidden="true" name="IQ_PENSION_BREAKDOWN_EQ_FOREIGN" vbProcedure="false">"c3100"</definedName>
    <definedName function="false" hidden="true" name="IQ_PENSION_BREAKDOWN_FI" vbProcedure="false">"c3104"</definedName>
    <definedName function="false" hidden="true" name="IQ_PENSION_BREAKDOWN_FI_DOM" vbProcedure="false">"c3102"</definedName>
    <definedName function="false" hidden="true" name="IQ_PENSION_BREAKDOWN_FI_FOREIGN" vbProcedure="false">"c3103"</definedName>
    <definedName function="false" hidden="true" name="IQ_PENSION_BREAKDOWN_OTHER" vbProcedure="false">"c3110"</definedName>
    <definedName function="false" hidden="true" name="IQ_PENSION_BREAKDOWN_OTHER_DOM" vbProcedure="false">"c3108"</definedName>
    <definedName function="false" hidden="true" name="IQ_PENSION_BREAKDOWN_OTHER_FOREIGN" vbProcedure="false">"c3109"</definedName>
    <definedName function="false" hidden="true" name="IQ_PENSION_BREAKDOWN_PCT_EQ" vbProcedure="false">"c3089"</definedName>
    <definedName function="false" hidden="true" name="IQ_PENSION_BREAKDOWN_PCT_EQ_DOM" vbProcedure="false">"c3087"</definedName>
    <definedName function="false" hidden="true" name="IQ_PENSION_BREAKDOWN_PCT_EQ_FOREIGN" vbProcedure="false">"c3088"</definedName>
    <definedName function="false" hidden="true" name="IQ_PENSION_BREAKDOWN_PCT_FI" vbProcedure="false">"c3092"</definedName>
    <definedName function="false" hidden="true" name="IQ_PENSION_BREAKDOWN_PCT_FI_DOM" vbProcedure="false">"c3090"</definedName>
    <definedName function="false" hidden="true" name="IQ_PENSION_BREAKDOWN_PCT_FI_FOREIGN" vbProcedure="false">"c3091"</definedName>
    <definedName function="false" hidden="true" name="IQ_PENSION_BREAKDOWN_PCT_OTHER" vbProcedure="false">"c3098"</definedName>
    <definedName function="false" hidden="true" name="IQ_PENSION_BREAKDOWN_PCT_OTHER_DOM" vbProcedure="false">"c3096"</definedName>
    <definedName function="false" hidden="true" name="IQ_PENSION_BREAKDOWN_PCT_OTHER_FOREIGN" vbProcedure="false">"c3097"</definedName>
    <definedName function="false" hidden="true" name="IQ_PENSION_BREAKDOWN_PCT_RE" vbProcedure="false">"c3095"</definedName>
    <definedName function="false" hidden="true" name="IQ_PENSION_BREAKDOWN_PCT_RE_DOM" vbProcedure="false">"c3093"</definedName>
    <definedName function="false" hidden="true" name="IQ_PENSION_BREAKDOWN_PCT_RE_FOREIGN" vbProcedure="false">"c3094"</definedName>
    <definedName function="false" hidden="true" name="IQ_PENSION_BREAKDOWN_RE" vbProcedure="false">"c3107"</definedName>
    <definedName function="false" hidden="true" name="IQ_PENSION_BREAKDOWN_RE_DOM" vbProcedure="false">"c3105"</definedName>
    <definedName function="false" hidden="true" name="IQ_PENSION_BREAKDOWN_RE_FOREIGN" vbProcedure="false">"c3106"</definedName>
    <definedName function="false" hidden="true" name="IQ_PENSION_CI_ACT" vbProcedure="false">"c5723"</definedName>
    <definedName function="false" hidden="true" name="IQ_PENSION_CI_ACT_DOM" vbProcedure="false">"c5721"</definedName>
    <definedName function="false" hidden="true" name="IQ_PENSION_CI_ACT_FOREIGN" vbProcedure="false">"c5722"</definedName>
    <definedName function="false" hidden="true" name="IQ_PENSION_CI_NET_AMT_RECOG" vbProcedure="false">"c5735"</definedName>
    <definedName function="false" hidden="true" name="IQ_PENSION_CI_NET_AMT_RECOG_DOM" vbProcedure="false">"c5733"</definedName>
    <definedName function="false" hidden="true" name="IQ_PENSION_CI_NET_AMT_RECOG_FOREIGN" vbProcedure="false">"c5734"</definedName>
    <definedName function="false" hidden="true" name="IQ_PENSION_CI_OTHER_MISC_ADJ" vbProcedure="false">"c5732"</definedName>
    <definedName function="false" hidden="true" name="IQ_PENSION_CI_OTHER_MISC_ADJ_DOM" vbProcedure="false">"c5730"</definedName>
    <definedName function="false" hidden="true" name="IQ_PENSION_CI_OTHER_MISC_ADJ_FOREIGN" vbProcedure="false">"c5731"</definedName>
    <definedName function="false" hidden="true" name="IQ_PENSION_CI_PRIOR_SERVICE" vbProcedure="false">"c5726"</definedName>
    <definedName function="false" hidden="true" name="IQ_PENSION_CI_PRIOR_SERVICE_DOM" vbProcedure="false">"c5724"</definedName>
    <definedName function="false" hidden="true" name="IQ_PENSION_CI_PRIOR_SERVICE_FOREIGN" vbProcedure="false">"c5725"</definedName>
    <definedName function="false" hidden="true" name="IQ_PENSION_CI_TRANSITION" vbProcedure="false">"c5729"</definedName>
    <definedName function="false" hidden="true" name="IQ_PENSION_CI_TRANSITION_DOM" vbProcedure="false">"c5727"</definedName>
    <definedName function="false" hidden="true" name="IQ_PENSION_CI_TRANSITION_FOREIGN" vbProcedure="false">"c5728"</definedName>
    <definedName function="false" hidden="true" name="IQ_PENSION_CL" vbProcedure="false">"c5753"</definedName>
    <definedName function="false" hidden="true" name="IQ_PENSION_CL_DOM" vbProcedure="false">"c5751"</definedName>
    <definedName function="false" hidden="true" name="IQ_PENSION_CL_FOREIGN" vbProcedure="false">"c5752"</definedName>
    <definedName function="false" hidden="true" name="IQ_PENSION_CONTRIBUTION_TOTAL_COST" vbProcedure="false">"c3559"</definedName>
    <definedName function="false" hidden="true" name="IQ_PENSION_DISCOUNT_RATE_DOMESTIC" vbProcedure="false">"c3573"</definedName>
    <definedName function="false" hidden="true" name="IQ_PENSION_DISCOUNT_RATE_FOREIGN" vbProcedure="false">"c3574"</definedName>
    <definedName function="false" hidden="true" name="IQ_PENSION_DISC_RATE_MAX" vbProcedure="false">"c3236"</definedName>
    <definedName function="false" hidden="true" name="IQ_PENSION_DISC_RATE_MAX_DOM" vbProcedure="false">"c3234"</definedName>
    <definedName function="false" hidden="true" name="IQ_PENSION_DISC_RATE_MAX_FOREIGN" vbProcedure="false">"c3235"</definedName>
    <definedName function="false" hidden="true" name="IQ_PENSION_DISC_RATE_MIN" vbProcedure="false">"c3233"</definedName>
    <definedName function="false" hidden="true" name="IQ_PENSION_DISC_RATE_MIN_DOM" vbProcedure="false">"c3231"</definedName>
    <definedName function="false" hidden="true" name="IQ_PENSION_DISC_RATE_MIN_FOREIGN" vbProcedure="false">"c3232"</definedName>
    <definedName function="false" hidden="true" name="IQ_PENSION_EST_BENEFIT_1YR" vbProcedure="false">"c3113"</definedName>
    <definedName function="false" hidden="true" name="IQ_PENSION_EST_BENEFIT_1YR_DOM" vbProcedure="false">"c3111"</definedName>
    <definedName function="false" hidden="true" name="IQ_PENSION_EST_BENEFIT_1YR_FOREIGN" vbProcedure="false">"c3112"</definedName>
    <definedName function="false" hidden="true" name="IQ_PENSION_EST_BENEFIT_2YR" vbProcedure="false">"c3116"</definedName>
    <definedName function="false" hidden="true" name="IQ_PENSION_EST_BENEFIT_2YR_DOM" vbProcedure="false">"c3114"</definedName>
    <definedName function="false" hidden="true" name="IQ_PENSION_EST_BENEFIT_2YR_FOREIGN" vbProcedure="false">"c3115"</definedName>
    <definedName function="false" hidden="true" name="IQ_PENSION_EST_BENEFIT_3YR" vbProcedure="false">"c3119"</definedName>
    <definedName function="false" hidden="true" name="IQ_PENSION_EST_BENEFIT_3YR_DOM" vbProcedure="false">"c3117"</definedName>
    <definedName function="false" hidden="true" name="IQ_PENSION_EST_BENEFIT_3YR_FOREIGN" vbProcedure="false">"c3118"</definedName>
    <definedName function="false" hidden="true" name="IQ_PENSION_EST_BENEFIT_4YR" vbProcedure="false">"c3122"</definedName>
    <definedName function="false" hidden="true" name="IQ_PENSION_EST_BENEFIT_4YR_DOM" vbProcedure="false">"c3120"</definedName>
    <definedName function="false" hidden="true" name="IQ_PENSION_EST_BENEFIT_4YR_FOREIGN" vbProcedure="false">"c3121"</definedName>
    <definedName function="false" hidden="true" name="IQ_PENSION_EST_BENEFIT_5YR" vbProcedure="false">"c3125"</definedName>
    <definedName function="false" hidden="true" name="IQ_PENSION_EST_BENEFIT_5YR_DOM" vbProcedure="false">"c3123"</definedName>
    <definedName function="false" hidden="true" name="IQ_PENSION_EST_BENEFIT_5YR_FOREIGN" vbProcedure="false">"c3124"</definedName>
    <definedName function="false" hidden="true" name="IQ_PENSION_EST_BENEFIT_AFTER5" vbProcedure="false">"c3128"</definedName>
    <definedName function="false" hidden="true" name="IQ_PENSION_EST_BENEFIT_AFTER5_DOM" vbProcedure="false">"c3126"</definedName>
    <definedName function="false" hidden="true" name="IQ_PENSION_EST_BENEFIT_AFTER5_FOREIGN" vbProcedure="false">"c3127"</definedName>
    <definedName function="false" hidden="true" name="IQ_PENSION_EST_CONTRIBUTIONS_NEXTYR" vbProcedure="false">"c3218"</definedName>
    <definedName function="false" hidden="true" name="IQ_PENSION_EST_CONTRIBUTIONS_NEXTYR_DOM" vbProcedure="false">"c3216"</definedName>
    <definedName function="false" hidden="true" name="IQ_PENSION_EST_CONTRIBUTIONS_NEXTYR_FOREIGN" vbProcedure="false">"c3217"</definedName>
    <definedName function="false" hidden="true" name="IQ_PENSION_EXP_RATE_RETURN_MAX" vbProcedure="false">"c3248"</definedName>
    <definedName function="false" hidden="true" name="IQ_PENSION_EXP_RATE_RETURN_MAX_DOM" vbProcedure="false">"c3246"</definedName>
    <definedName function="false" hidden="true" name="IQ_PENSION_EXP_RATE_RETURN_MAX_FOREIGN" vbProcedure="false">"c3247"</definedName>
    <definedName function="false" hidden="true" name="IQ_PENSION_EXP_RATE_RETURN_MIN" vbProcedure="false">"c3245"</definedName>
    <definedName function="false" hidden="true" name="IQ_PENSION_EXP_RATE_RETURN_MIN_DOM" vbProcedure="false">"c3243"</definedName>
    <definedName function="false" hidden="true" name="IQ_PENSION_EXP_RATE_RETURN_MIN_FOREIGN" vbProcedure="false">"c3244"</definedName>
    <definedName function="false" hidden="true" name="IQ_PENSION_EXP_RETURN_DOMESTIC" vbProcedure="false">"c3571"</definedName>
    <definedName function="false" hidden="true" name="IQ_PENSION_EXP_RETURN_FOREIGN" vbProcedure="false">"c3572"</definedName>
    <definedName function="false" hidden="true" name="IQ_PENSION_INTAN_ASSETS" vbProcedure="false">"c3137"</definedName>
    <definedName function="false" hidden="true" name="IQ_PENSION_INTAN_ASSETS_DOM" vbProcedure="false">"c3135"</definedName>
    <definedName function="false" hidden="true" name="IQ_PENSION_INTAN_ASSETS_FOREIGN" vbProcedure="false">"c3136"</definedName>
    <definedName function="false" hidden="true" name="IQ_PENSION_INTEREST_COST" vbProcedure="false">"c3582"</definedName>
    <definedName function="false" hidden="true" name="IQ_PENSION_INTEREST_COST_DOM" vbProcedure="false">"c3580"</definedName>
    <definedName function="false" hidden="true" name="IQ_PENSION_INTEREST_COST_FOREIGN" vbProcedure="false">"c3581"</definedName>
    <definedName function="false" hidden="true" name="IQ_PENSION_LT_ASSETS" vbProcedure="false">"c5750"</definedName>
    <definedName function="false" hidden="true" name="IQ_PENSION_LT_ASSETS_DOM" vbProcedure="false">"c5748"</definedName>
    <definedName function="false" hidden="true" name="IQ_PENSION_LT_ASSETS_FOREIGN" vbProcedure="false">"c5749"</definedName>
    <definedName function="false" hidden="true" name="IQ_PENSION_LT_LIAB" vbProcedure="false">"c5756"</definedName>
    <definedName function="false" hidden="true" name="IQ_PENSION_LT_LIAB_DOM" vbProcedure="false">"c5754"</definedName>
    <definedName function="false" hidden="true" name="IQ_PENSION_LT_LIAB_FOREIGN" vbProcedure="false">"c5755"</definedName>
    <definedName function="false" hidden="true" name="IQ_PENSION_NET_ASSET_RECOG" vbProcedure="false">"c3152"</definedName>
    <definedName function="false" hidden="true" name="IQ_PENSION_NET_ASSET_RECOG_DOM" vbProcedure="false">"c3150"</definedName>
    <definedName function="false" hidden="true" name="IQ_PENSION_NET_ASSET_RECOG_FOREIGN" vbProcedure="false">"c3151"</definedName>
    <definedName function="false" hidden="true" name="IQ_PENSION_OBLIGATION_ACQ" vbProcedure="false">"c3206"</definedName>
    <definedName function="false" hidden="true" name="IQ_PENSION_OBLIGATION_ACQ_DOM" vbProcedure="false">"c3204"</definedName>
    <definedName function="false" hidden="true" name="IQ_PENSION_OBLIGATION_ACQ_FOREIGN" vbProcedure="false">"c3205"</definedName>
    <definedName function="false" hidden="true" name="IQ_PENSION_OBLIGATION_ACTUARIAL_GAIN_LOSS" vbProcedure="false">"c3197"</definedName>
    <definedName function="false" hidden="true" name="IQ_PENSION_OBLIGATION_ACTUARIAL_GAIN_LOSS_DOM" vbProcedure="false">"c3195"</definedName>
    <definedName function="false" hidden="true" name="IQ_PENSION_OBLIGATION_ACTUARIAL_GAIN_LOSS_FOREIGN" vbProcedure="false">"c3196"</definedName>
    <definedName function="false" hidden="true" name="IQ_PENSION_OBLIGATION_BEG" vbProcedure="false">"c3185"</definedName>
    <definedName function="false" hidden="true" name="IQ_PENSION_OBLIGATION_BEG_DOM" vbProcedure="false">"c3183"</definedName>
    <definedName function="false" hidden="true" name="IQ_PENSION_OBLIGATION_BEG_FOREIGN" vbProcedure="false">"c3184"</definedName>
    <definedName function="false" hidden="true" name="IQ_PENSION_OBLIGATION_CURTAIL" vbProcedure="false">"c3209"</definedName>
    <definedName function="false" hidden="true" name="IQ_PENSION_OBLIGATION_CURTAIL_DOM" vbProcedure="false">"c3207"</definedName>
    <definedName function="false" hidden="true" name="IQ_PENSION_OBLIGATION_CURTAIL_FOREIGN" vbProcedure="false">"c3208"</definedName>
    <definedName function="false" hidden="true" name="IQ_PENSION_OBLIGATION_EMPLOYEE_CONTRIBUTIONS" vbProcedure="false">"c3194"</definedName>
    <definedName function="false" hidden="true" name="IQ_PENSION_OBLIGATION_EMPLOYEE_CONTRIBUTIONS_DOM" vbProcedure="false">"c3192"</definedName>
    <definedName function="false" hidden="true" name="IQ_PENSION_OBLIGATION_EMPLOYEE_CONTRIBUTIONS_FOREIGN" vbProcedure="false">"c3193"</definedName>
    <definedName function="false" hidden="true" name="IQ_PENSION_OBLIGATION_FX_ADJ" vbProcedure="false">"c3203"</definedName>
    <definedName function="false" hidden="true" name="IQ_PENSION_OBLIGATION_FX_ADJ_DOM" vbProcedure="false">"c3201"</definedName>
    <definedName function="false" hidden="true" name="IQ_PENSION_OBLIGATION_FX_ADJ_FOREIGN" vbProcedure="false">"c3202"</definedName>
    <definedName function="false" hidden="true" name="IQ_PENSION_OBLIGATION_INTEREST_COST" vbProcedure="false">"c3191"</definedName>
    <definedName function="false" hidden="true" name="IQ_PENSION_OBLIGATION_INTEREST_COST_DOM" vbProcedure="false">"c3189"</definedName>
    <definedName function="false" hidden="true" name="IQ_PENSION_OBLIGATION_INTEREST_COST_FOREIGN" vbProcedure="false">"c3190"</definedName>
    <definedName function="false" hidden="true" name="IQ_PENSION_OBLIGATION_OTHER_COST" vbProcedure="false">"c3555"</definedName>
    <definedName function="false" hidden="true" name="IQ_PENSION_OBLIGATION_OTHER_COST_DOM" vbProcedure="false">"c3553"</definedName>
    <definedName function="false" hidden="true" name="IQ_PENSION_OBLIGATION_OTHER_COST_FOREIGN" vbProcedure="false">"c3554"</definedName>
    <definedName function="false" hidden="true" name="IQ_PENSION_OBLIGATION_OTHER_PLAN_ADJ" vbProcedure="false">"c3212"</definedName>
    <definedName function="false" hidden="true" name="IQ_PENSION_OBLIGATION_OTHER_PLAN_ADJ_DOM" vbProcedure="false">"c3210"</definedName>
    <definedName function="false" hidden="true" name="IQ_PENSION_OBLIGATION_OTHER_PLAN_ADJ_FOREIGN" vbProcedure="false">"c3211"</definedName>
    <definedName function="false" hidden="true" name="IQ_PENSION_OBLIGATION_PAID" vbProcedure="false">"c3200"</definedName>
    <definedName function="false" hidden="true" name="IQ_PENSION_OBLIGATION_PAID_DOM" vbProcedure="false">"c3198"</definedName>
    <definedName function="false" hidden="true" name="IQ_PENSION_OBLIGATION_PAID_FOREIGN" vbProcedure="false">"c3199"</definedName>
    <definedName function="false" hidden="true" name="IQ_PENSION_OBLIGATION_PROJECTED" vbProcedure="false">"c3215"</definedName>
    <definedName function="false" hidden="true" name="IQ_PENSION_OBLIGATION_PROJECTED_DOM" vbProcedure="false">"c3213"</definedName>
    <definedName function="false" hidden="true" name="IQ_PENSION_OBLIGATION_PROJECTED_FOREIGN" vbProcedure="false">"c3214"</definedName>
    <definedName function="false" hidden="true" name="IQ_PENSION_OBLIGATION_ROA" vbProcedure="false">"c3552"</definedName>
    <definedName function="false" hidden="true" name="IQ_PENSION_OBLIGATION_ROA_DOM" vbProcedure="false">"c3550"</definedName>
    <definedName function="false" hidden="true" name="IQ_PENSION_OBLIGATION_ROA_FOREIGN" vbProcedure="false">"c3551"</definedName>
    <definedName function="false" hidden="true" name="IQ_PENSION_OBLIGATION_SERVICE_COST" vbProcedure="false">"c3188"</definedName>
    <definedName function="false" hidden="true" name="IQ_PENSION_OBLIGATION_SERVICE_COST_DOM" vbProcedure="false">"c3186"</definedName>
    <definedName function="false" hidden="true" name="IQ_PENSION_OBLIGATION_SERVICE_COST_FOREIGN" vbProcedure="false">"c3187"</definedName>
    <definedName function="false" hidden="true" name="IQ_PENSION_OBLIGATION_TOTAL_COST" vbProcedure="false">"c3558"</definedName>
    <definedName function="false" hidden="true" name="IQ_PENSION_OBLIGATION_TOTAL_COST_DOM" vbProcedure="false">"c3556"</definedName>
    <definedName function="false" hidden="true" name="IQ_PENSION_OBLIGATION_TOTAL_COST_FOREIGN" vbProcedure="false">"c3557"</definedName>
    <definedName function="false" hidden="true" name="IQ_PENSION_OTHER" vbProcedure="false">"c3143"</definedName>
    <definedName function="false" hidden="true" name="IQ_PENSION_OTHER_ADJ" vbProcedure="false">"c3149"</definedName>
    <definedName function="false" hidden="true" name="IQ_PENSION_OTHER_ADJ_DOM" vbProcedure="false">"c3147"</definedName>
    <definedName function="false" hidden="true" name="IQ_PENSION_OTHER_ADJ_FOREIGN" vbProcedure="false">"c3148"</definedName>
    <definedName function="false" hidden="true" name="IQ_PENSION_OTHER_DOM" vbProcedure="false">"c3141"</definedName>
    <definedName function="false" hidden="true" name="IQ_PENSION_OTHER_FOREIGN" vbProcedure="false">"c3142"</definedName>
    <definedName function="false" hidden="true" name="IQ_PENSION_PBO_ASSUMED_RATE_RET_MAX" vbProcedure="false">"c3254"</definedName>
    <definedName function="false" hidden="true" name="IQ_PENSION_PBO_ASSUMED_RATE_RET_MAX_DOM" vbProcedure="false">"c3252"</definedName>
    <definedName function="false" hidden="true" name="IQ_PENSION_PBO_ASSUMED_RATE_RET_MAX_FOREIGN" vbProcedure="false">"c3253"</definedName>
    <definedName function="false" hidden="true" name="IQ_PENSION_PBO_ASSUMED_RATE_RET_MIN" vbProcedure="false">"c3251"</definedName>
    <definedName function="false" hidden="true" name="IQ_PENSION_PBO_ASSUMED_RATE_RET_MIN_DOM" vbProcedure="false">"c3249"</definedName>
    <definedName function="false" hidden="true" name="IQ_PENSION_PBO_ASSUMED_RATE_RET_MIN_FOREIGN" vbProcedure="false">"c3250"</definedName>
    <definedName function="false" hidden="true" name="IQ_PENSION_PBO_RATE_COMP_INCREASE_MAX" vbProcedure="false">"c3260"</definedName>
    <definedName function="false" hidden="true" name="IQ_PENSION_PBO_RATE_COMP_INCREASE_MAX_DOM" vbProcedure="false">"c3258"</definedName>
    <definedName function="false" hidden="true" name="IQ_PENSION_PBO_RATE_COMP_INCREASE_MAX_FOREIGN" vbProcedure="false">"c3259"</definedName>
    <definedName function="false" hidden="true" name="IQ_PENSION_PBO_RATE_COMP_INCREASE_MIN" vbProcedure="false">"c3257"</definedName>
    <definedName function="false" hidden="true" name="IQ_PENSION_PBO_RATE_COMP_INCREASE_MIN_DOM" vbProcedure="false">"c3255"</definedName>
    <definedName function="false" hidden="true" name="IQ_PENSION_PBO_RATE_COMP_INCREASE_MIN_FOREIGN" vbProcedure="false">"c3256"</definedName>
    <definedName function="false" hidden="true" name="IQ_PENSION_PREPAID_COST" vbProcedure="false">"c3131"</definedName>
    <definedName function="false" hidden="true" name="IQ_PENSION_PREPAID_COST_DOM" vbProcedure="false">"c3129"</definedName>
    <definedName function="false" hidden="true" name="IQ_PENSION_PREPAID_COST_FOREIGN" vbProcedure="false">"c3130"</definedName>
    <definedName function="false" hidden="true" name="IQ_PENSION_PRIOR_SERVICE_NEXT" vbProcedure="false">"c5741"</definedName>
    <definedName function="false" hidden="true" name="IQ_PENSION_PRIOR_SERVICE_NEXT_DOM" vbProcedure="false">"c5739"</definedName>
    <definedName function="false" hidden="true" name="IQ_PENSION_PRIOR_SERVICE_NEXT_FOREIGN" vbProcedure="false">"c5740"</definedName>
    <definedName function="false" hidden="true" name="IQ_PENSION_PROJECTED_OBLIGATION" vbProcedure="false">"c3566"</definedName>
    <definedName function="false" hidden="true" name="IQ_PENSION_PROJECTED_OBLIGATION_DOMESTIC" vbProcedure="false">"c3564"</definedName>
    <definedName function="false" hidden="true" name="IQ_PENSION_PROJECTED_OBLIGATION_FOREIGN" vbProcedure="false">"c3565"</definedName>
    <definedName function="false" hidden="true" name="IQ_PENSION_QUART_ADDL_CONTRIBUTIONS_EXP" vbProcedure="false">"c3224"</definedName>
    <definedName function="false" hidden="true" name="IQ_PENSION_QUART_ADDL_CONTRIBUTIONS_EXP_DOM" vbProcedure="false">"c3222"</definedName>
    <definedName function="false" hidden="true" name="IQ_PENSION_QUART_ADDL_CONTRIBUTIONS_EXP_FOREIGN" vbProcedure="false">"c3223"</definedName>
    <definedName function="false" hidden="true" name="IQ_PENSION_QUART_EMPLOYER_CONTRIBUTIONS" vbProcedure="false">"c3221"</definedName>
    <definedName function="false" hidden="true" name="IQ_PENSION_QUART_EMPLOYER_CONTRIBUTIONS_DOM" vbProcedure="false">"c3219"</definedName>
    <definedName function="false" hidden="true" name="IQ_PENSION_QUART_EMPLOYER_CONTRIBUTIONS_FOREIGN" vbProcedure="false">"c3220"</definedName>
    <definedName function="false" hidden="true" name="IQ_PENSION_RATE_COMP_GROWTH_DOMESTIC" vbProcedure="false">"c3575"</definedName>
    <definedName function="false" hidden="true" name="IQ_PENSION_RATE_COMP_GROWTH_FOREIGN" vbProcedure="false">"c3576"</definedName>
    <definedName function="false" hidden="true" name="IQ_PENSION_RATE_COMP_INCREASE_MAX" vbProcedure="false">"c3242"</definedName>
    <definedName function="false" hidden="true" name="IQ_PENSION_RATE_COMP_INCREASE_MAX_DOM" vbProcedure="false">"c3240"</definedName>
    <definedName function="false" hidden="true" name="IQ_PENSION_RATE_COMP_INCREASE_MAX_FOREIGN" vbProcedure="false">"c3241"</definedName>
    <definedName function="false" hidden="true" name="IQ_PENSION_RATE_COMP_INCREASE_MIN" vbProcedure="false">"c3239"</definedName>
    <definedName function="false" hidden="true" name="IQ_PENSION_RATE_COMP_INCREASE_MIN_DOM" vbProcedure="false">"c3237"</definedName>
    <definedName function="false" hidden="true" name="IQ_PENSION_RATE_COMP_INCREASE_MIN_FOREIGN" vbProcedure="false">"c3238"</definedName>
    <definedName function="false" hidden="true" name="IQ_PENSION_SERVICE_COST" vbProcedure="false">"c3579"</definedName>
    <definedName function="false" hidden="true" name="IQ_PENSION_SERVICE_COST_DOM" vbProcedure="false">"c3577"</definedName>
    <definedName function="false" hidden="true" name="IQ_PENSION_SERVICE_COST_FOREIGN" vbProcedure="false">"c3578"</definedName>
    <definedName function="false" hidden="true" name="IQ_PENSION_TOTAL_ASSETS" vbProcedure="false">"c3563"</definedName>
    <definedName function="false" hidden="true" name="IQ_PENSION_TOTAL_ASSETS_DOMESTIC" vbProcedure="false">"c3561"</definedName>
    <definedName function="false" hidden="true" name="IQ_PENSION_TOTAL_ASSETS_FOREIGN" vbProcedure="false">"c3562"</definedName>
    <definedName function="false" hidden="true" name="IQ_PENSION_TOTAL_EXP" vbProcedure="false">"c3560"</definedName>
    <definedName function="false" hidden="true" name="IQ_PENSION_TRANSITION_NEXT" vbProcedure="false">"c5744"</definedName>
    <definedName function="false" hidden="true" name="IQ_PENSION_TRANSITION_NEXT_DOM" vbProcedure="false">"c5742"</definedName>
    <definedName function="false" hidden="true" name="IQ_PENSION_TRANSITION_NEXT_FOREIGN" vbProcedure="false">"c5743"</definedName>
    <definedName function="false" hidden="true" name="IQ_PENSION_UNFUNDED_ADDL_MIN_LIAB" vbProcedure="false">"c3227"</definedName>
    <definedName function="false" hidden="true" name="IQ_PENSION_UNFUNDED_ADDL_MIN_LIAB_DOM" vbProcedure="false">"c3225"</definedName>
    <definedName function="false" hidden="true" name="IQ_PENSION_UNFUNDED_ADDL_MIN_LIAB_FOREIGN" vbProcedure="false">"c3226"</definedName>
    <definedName function="false" hidden="true" name="IQ_PENSION_UNRECOG_PRIOR" vbProcedure="false">"c3146"</definedName>
    <definedName function="false" hidden="true" name="IQ_PENSION_UNRECOG_PRIOR_DOM" vbProcedure="false">"c3144"</definedName>
    <definedName function="false" hidden="true" name="IQ_PENSION_UNRECOG_PRIOR_FOREIGN" vbProcedure="false">"c3145"</definedName>
    <definedName function="false" hidden="true" name="IQ_PENSION_UV_LIAB" vbProcedure="false">"c3567"</definedName>
    <definedName function="false" hidden="true" name="IQ_PERCENT_CHANGE_EST_5YR_GROWTH_RATE_12MONTHS" vbProcedure="false">"c1852"</definedName>
    <definedName function="false" hidden="true" name="IQ_PERCENT_CHANGE_EST_5YR_GROWTH_RATE_12MONTHS_CIQ" vbProcedure="false">"c3790"</definedName>
    <definedName function="false" hidden="true" name="IQ_PERCENT_CHANGE_EST_5YR_GROWTH_RATE_18MONTHS" vbProcedure="false">"c1853"</definedName>
    <definedName function="false" hidden="true" name="IQ_PERCENT_CHANGE_EST_5YR_GROWTH_RATE_18MONTHS_CIQ" vbProcedure="false">"c3791"</definedName>
    <definedName function="false" hidden="true" name="IQ_PERCENT_CHANGE_EST_5YR_GROWTH_RATE_3MONTHS" vbProcedure="false">"c1849"</definedName>
    <definedName function="false" hidden="true" name="IQ_PERCENT_CHANGE_EST_5YR_GROWTH_RATE_3MONTHS_CIQ" vbProcedure="false">"c3787"</definedName>
    <definedName function="false" hidden="true" name="IQ_PERCENT_CHANGE_EST_5YR_GROWTH_RATE_6MONTHS" vbProcedure="false">"c1850"</definedName>
    <definedName function="false" hidden="true" name="IQ_PERCENT_CHANGE_EST_5YR_GROWTH_RATE_6MONTHS_CIQ" vbProcedure="false">"c3788"</definedName>
    <definedName function="false" hidden="true" name="IQ_PERCENT_CHANGE_EST_5YR_GROWTH_RATE_9MONTHS" vbProcedure="false">"c1851"</definedName>
    <definedName function="false" hidden="true" name="IQ_PERCENT_CHANGE_EST_5YR_GROWTH_RATE_9MONTHS_CIQ" vbProcedure="false">"c3789"</definedName>
    <definedName function="false" hidden="true" name="IQ_PERCENT_CHANGE_EST_5YR_GROWTH_RATE_DAY" vbProcedure="false">"c1846"</definedName>
    <definedName function="false" hidden="true" name="IQ_PERCENT_CHANGE_EST_5YR_GROWTH_RATE_DAY_CIQ" vbProcedure="false">"c3785"</definedName>
    <definedName function="false" hidden="true" name="IQ_PERCENT_CHANGE_EST_5YR_GROWTH_RATE_MONTH" vbProcedure="false">"c1848"</definedName>
    <definedName function="false" hidden="true" name="IQ_PERCENT_CHANGE_EST_5YR_GROWTH_RATE_MONTH_CIQ" vbProcedure="false">"c3786"</definedName>
    <definedName function="false" hidden="true" name="IQ_PERCENT_CHANGE_EST_5YR_GROWTH_RATE_WEEK" vbProcedure="false">"c1847"</definedName>
    <definedName function="false" hidden="true" name="IQ_PERCENT_CHANGE_EST_5YR_GROWTH_RATE_WEEK_CIQ" vbProcedure="false">"c3797"</definedName>
    <definedName function="false" hidden="true" name="IQ_PERCENT_CHANGE_EST_CFPS_12MONTHS" vbProcedure="false">"c1812"</definedName>
    <definedName function="false" hidden="true" name="IQ_PERCENT_CHANGE_EST_CFPS_12MONTHS_CIQ" vbProcedure="false">"c3755"</definedName>
    <definedName function="false" hidden="true" name="IQ_PERCENT_CHANGE_EST_CFPS_18MONTHS" vbProcedure="false">"c1813"</definedName>
    <definedName function="false" hidden="true" name="IQ_PERCENT_CHANGE_EST_CFPS_18MONTHS_CIQ" vbProcedure="false">"c3756"</definedName>
    <definedName function="false" hidden="true" name="IQ_PERCENT_CHANGE_EST_CFPS_3MONTHS" vbProcedure="false">"c1809"</definedName>
    <definedName function="false" hidden="true" name="IQ_PERCENT_CHANGE_EST_CFPS_3MONTHS_CIQ" vbProcedure="false">"c3752"</definedName>
    <definedName function="false" hidden="true" name="IQ_PERCENT_CHANGE_EST_CFPS_6MONTHS" vbProcedure="false">"c1810"</definedName>
    <definedName function="false" hidden="true" name="IQ_PERCENT_CHANGE_EST_CFPS_6MONTHS_CIQ" vbProcedure="false">"c3753"</definedName>
    <definedName function="false" hidden="true" name="IQ_PERCENT_CHANGE_EST_CFPS_9MONTHS" vbProcedure="false">"c1811"</definedName>
    <definedName function="false" hidden="true" name="IQ_PERCENT_CHANGE_EST_CFPS_9MONTHS_CIQ" vbProcedure="false">"c3754"</definedName>
    <definedName function="false" hidden="true" name="IQ_PERCENT_CHANGE_EST_CFPS_DAY" vbProcedure="false">"c1806"</definedName>
    <definedName function="false" hidden="true" name="IQ_PERCENT_CHANGE_EST_CFPS_DAY_CIQ" vbProcedure="false">"c3750"</definedName>
    <definedName function="false" hidden="true" name="IQ_PERCENT_CHANGE_EST_CFPS_MONTH" vbProcedure="false">"c1808"</definedName>
    <definedName function="false" hidden="true" name="IQ_PERCENT_CHANGE_EST_CFPS_MONTH_CIQ" vbProcedure="false">"c3751"</definedName>
    <definedName function="false" hidden="true" name="IQ_PERCENT_CHANGE_EST_CFPS_WEEK" vbProcedure="false">"c1807"</definedName>
    <definedName function="false" hidden="true" name="IQ_PERCENT_CHANGE_EST_CFPS_WEEK_CIQ" vbProcedure="false">"c3793"</definedName>
    <definedName function="false" hidden="true" name="IQ_PERCENT_CHANGE_EST_DPS_12MONTHS" vbProcedure="false">"c1820"</definedName>
    <definedName function="false" hidden="true" name="IQ_PERCENT_CHANGE_EST_DPS_12MONTHS_CIQ" vbProcedure="false">"c3762"</definedName>
    <definedName function="false" hidden="true" name="IQ_PERCENT_CHANGE_EST_DPS_18MONTHS" vbProcedure="false">"c1821"</definedName>
    <definedName function="false" hidden="true" name="IQ_PERCENT_CHANGE_EST_DPS_18MONTHS_CIQ" vbProcedure="false">"c3763"</definedName>
    <definedName function="false" hidden="true" name="IQ_PERCENT_CHANGE_EST_DPS_3MONTHS" vbProcedure="false">"c1817"</definedName>
    <definedName function="false" hidden="true" name="IQ_PERCENT_CHANGE_EST_DPS_3MONTHS_CIQ" vbProcedure="false">"c3759"</definedName>
    <definedName function="false" hidden="true" name="IQ_PERCENT_CHANGE_EST_DPS_6MONTHS" vbProcedure="false">"c1818"</definedName>
    <definedName function="false" hidden="true" name="IQ_PERCENT_CHANGE_EST_DPS_6MONTHS_CIQ" vbProcedure="false">"c3760"</definedName>
    <definedName function="false" hidden="true" name="IQ_PERCENT_CHANGE_EST_DPS_9MONTHS" vbProcedure="false">"c1819"</definedName>
    <definedName function="false" hidden="true" name="IQ_PERCENT_CHANGE_EST_DPS_9MONTHS_CIQ" vbProcedure="false">"c3761"</definedName>
    <definedName function="false" hidden="true" name="IQ_PERCENT_CHANGE_EST_DPS_DAY" vbProcedure="false">"c1814"</definedName>
    <definedName function="false" hidden="true" name="IQ_PERCENT_CHANGE_EST_DPS_DAY_CIQ" vbProcedure="false">"c3757"</definedName>
    <definedName function="false" hidden="true" name="IQ_PERCENT_CHANGE_EST_DPS_MONTH" vbProcedure="false">"c1816"</definedName>
    <definedName function="false" hidden="true" name="IQ_PERCENT_CHANGE_EST_DPS_MONTH_CIQ" vbProcedure="false">"c3758"</definedName>
    <definedName function="false" hidden="true" name="IQ_PERCENT_CHANGE_EST_DPS_WEEK" vbProcedure="false">"c1815"</definedName>
    <definedName function="false" hidden="true" name="IQ_PERCENT_CHANGE_EST_DPS_WEEK_CIQ" vbProcedure="false">"c3794"</definedName>
    <definedName function="false" hidden="true" name="IQ_PERCENT_CHANGE_EST_EBITDA_12MONTHS" vbProcedure="false">"c1804"</definedName>
    <definedName function="false" hidden="true" name="IQ_PERCENT_CHANGE_EST_EBITDA_12MONTHS_CIQ" vbProcedure="false">"c3748"</definedName>
    <definedName function="false" hidden="true" name="IQ_PERCENT_CHANGE_EST_EBITDA_18MONTHS" vbProcedure="false">"c1805"</definedName>
    <definedName function="false" hidden="true" name="IQ_PERCENT_CHANGE_EST_EBITDA_18MONTHS_CIQ" vbProcedure="false">"c3749"</definedName>
    <definedName function="false" hidden="true" name="IQ_PERCENT_CHANGE_EST_EBITDA_3MONTHS" vbProcedure="false">"c1801"</definedName>
    <definedName function="false" hidden="true" name="IQ_PERCENT_CHANGE_EST_EBITDA_3MONTHS_CIQ" vbProcedure="false">"c3745"</definedName>
    <definedName function="false" hidden="true" name="IQ_PERCENT_CHANGE_EST_EBITDA_6MONTHS" vbProcedure="false">"c1802"</definedName>
    <definedName function="false" hidden="true" name="IQ_PERCENT_CHANGE_EST_EBITDA_6MONTHS_CIQ" vbProcedure="false">"c3746"</definedName>
    <definedName function="false" hidden="true" name="IQ_PERCENT_CHANGE_EST_EBITDA_9MONTHS" vbProcedure="false">"c1803"</definedName>
    <definedName function="false" hidden="true" name="IQ_PERCENT_CHANGE_EST_EBITDA_9MONTHS_CIQ" vbProcedure="false">"c3747"</definedName>
    <definedName function="false" hidden="true" name="IQ_PERCENT_CHANGE_EST_EBITDA_DAY" vbProcedure="false">"c1798"</definedName>
    <definedName function="false" hidden="true" name="IQ_PERCENT_CHANGE_EST_EBITDA_DAY_CIQ" vbProcedure="false">"c3743"</definedName>
    <definedName function="false" hidden="true" name="IQ_PERCENT_CHANGE_EST_EBITDA_MONTH" vbProcedure="false">"c1800"</definedName>
    <definedName function="false" hidden="true" name="IQ_PERCENT_CHANGE_EST_EBITDA_MONTH_CIQ" vbProcedure="false">"c3744"</definedName>
    <definedName function="false" hidden="true" name="IQ_PERCENT_CHANGE_EST_EBITDA_WEEK" vbProcedure="false">"c1799"</definedName>
    <definedName function="false" hidden="true" name="IQ_PERCENT_CHANGE_EST_EBITDA_WEEK_CIQ" vbProcedure="false">"c3792"</definedName>
    <definedName function="false" hidden="true" name="IQ_PERCENT_CHANGE_EST_EPS_12MONTHS" vbProcedure="false">"c1788"</definedName>
    <definedName function="false" hidden="true" name="IQ_PERCENT_CHANGE_EST_EPS_12MONTHS_CIQ" vbProcedure="false">"c3733"</definedName>
    <definedName function="false" hidden="true" name="IQ_PERCENT_CHANGE_EST_EPS_18MONTHS" vbProcedure="false">"c1789"</definedName>
    <definedName function="false" hidden="true" name="IQ_PERCENT_CHANGE_EST_EPS_18MONTHS_CIQ" vbProcedure="false">"c3734"</definedName>
    <definedName function="false" hidden="true" name="IQ_PERCENT_CHANGE_EST_EPS_3MONTHS" vbProcedure="false">"c1785"</definedName>
    <definedName function="false" hidden="true" name="IQ_PERCENT_CHANGE_EST_EPS_3MONTHS_CIQ" vbProcedure="false">"c3730"</definedName>
    <definedName function="false" hidden="true" name="IQ_PERCENT_CHANGE_EST_EPS_6MONTHS" vbProcedure="false">"c1786"</definedName>
    <definedName function="false" hidden="true" name="IQ_PERCENT_CHANGE_EST_EPS_6MONTHS_CIQ" vbProcedure="false">"c3731"</definedName>
    <definedName function="false" hidden="true" name="IQ_PERCENT_CHANGE_EST_EPS_9MONTHS" vbProcedure="false">"c1787"</definedName>
    <definedName function="false" hidden="true" name="IQ_PERCENT_CHANGE_EST_EPS_9MONTHS_CIQ" vbProcedure="false">"c3732"</definedName>
    <definedName function="false" hidden="true" name="IQ_PERCENT_CHANGE_EST_EPS_DAY" vbProcedure="false">"c1782"</definedName>
    <definedName function="false" hidden="true" name="IQ_PERCENT_CHANGE_EST_EPS_DAY_CIQ" vbProcedure="false">"c3727"</definedName>
    <definedName function="false" hidden="true" name="IQ_PERCENT_CHANGE_EST_EPS_MONTH" vbProcedure="false">"c1784"</definedName>
    <definedName function="false" hidden="true" name="IQ_PERCENT_CHANGE_EST_EPS_MONTH_CIQ" vbProcedure="false">"c3729"</definedName>
    <definedName function="false" hidden="true" name="IQ_PERCENT_CHANGE_EST_EPS_WEEK" vbProcedure="false">"c1783"</definedName>
    <definedName function="false" hidden="true" name="IQ_PERCENT_CHANGE_EST_EPS_WEEK_CIQ" vbProcedure="false">"c3728"</definedName>
    <definedName function="false" hidden="true" name="IQ_PERCENT_CHANGE_EST_FFO_12MONTHS" vbProcedure="false">"c1828"</definedName>
    <definedName function="false" hidden="true" name="IQ_PERCENT_CHANGE_EST_FFO_12MONTHS_CIQ" vbProcedure="false">"c3769"</definedName>
    <definedName function="false" hidden="true" name="IQ_PERCENT_CHANGE_EST_FFO_18MONTHS" vbProcedure="false">"c1829"</definedName>
    <definedName function="false" hidden="true" name="IQ_PERCENT_CHANGE_EST_FFO_18MONTHS_CIQ" vbProcedure="false">"c3770"</definedName>
    <definedName function="false" hidden="true" name="IQ_PERCENT_CHANGE_EST_FFO_3MONTHS" vbProcedure="false">"c1825"</definedName>
    <definedName function="false" hidden="true" name="IQ_PERCENT_CHANGE_EST_FFO_3MONTHS_CIQ" vbProcedure="false">"c3766"</definedName>
    <definedName function="false" hidden="true" name="IQ_PERCENT_CHANGE_EST_FFO_6MONTHS" vbProcedure="false">"c1826"</definedName>
    <definedName function="false" hidden="true" name="IQ_PERCENT_CHANGE_EST_FFO_6MONTHS_CIQ" vbProcedure="false">"c3767"</definedName>
    <definedName function="false" hidden="true" name="IQ_PERCENT_CHANGE_EST_FFO_9MONTHS" vbProcedure="false">"c1827"</definedName>
    <definedName function="false" hidden="true" name="IQ_PERCENT_CHANGE_EST_FFO_9MONTHS_CIQ" vbProcedure="false">"c3768"</definedName>
    <definedName function="false" hidden="true" name="IQ_PERCENT_CHANGE_EST_FFO_DAY" vbProcedure="false">"c1822"</definedName>
    <definedName function="false" hidden="true" name="IQ_PERCENT_CHANGE_EST_FFO_DAY_CIQ" vbProcedure="false">"c3764"</definedName>
    <definedName function="false" hidden="true" name="IQ_PERCENT_CHANGE_EST_FFO_MONTH" vbProcedure="false">"c1824"</definedName>
    <definedName function="false" hidden="true" name="IQ_PERCENT_CHANGE_EST_FFO_MONTH_CIQ" vbProcedure="false">"c3765"</definedName>
    <definedName function="false" hidden="true" name="IQ_PERCENT_CHANGE_EST_FFO_WEEK" vbProcedure="false">"c1823"</definedName>
    <definedName function="false" hidden="true" name="IQ_PERCENT_CHANGE_EST_FFO_WEEK_CIQ" vbProcedure="false">"c3795"</definedName>
    <definedName function="false" hidden="true" name="IQ_PERCENT_CHANGE_EST_PRICE_TARGET_12MONTHS" vbProcedure="false">"c1844"</definedName>
    <definedName function="false" hidden="true" name="IQ_PERCENT_CHANGE_EST_PRICE_TARGET_12MONTHS_CIQ" vbProcedure="false">"c3783"</definedName>
    <definedName function="false" hidden="true" name="IQ_PERCENT_CHANGE_EST_PRICE_TARGET_18MONTHS" vbProcedure="false">"c1845"</definedName>
    <definedName function="false" hidden="true" name="IQ_PERCENT_CHANGE_EST_PRICE_TARGET_18MONTHS_CIQ" vbProcedure="false">"c3784"</definedName>
    <definedName function="false" hidden="true" name="IQ_PERCENT_CHANGE_EST_PRICE_TARGET_3MONTHS" vbProcedure="false">"c1841"</definedName>
    <definedName function="false" hidden="true" name="IQ_PERCENT_CHANGE_EST_PRICE_TARGET_3MONTHS_CIQ" vbProcedure="false">"c3780"</definedName>
    <definedName function="false" hidden="true" name="IQ_PERCENT_CHANGE_EST_PRICE_TARGET_6MONTHS" vbProcedure="false">"c1842"</definedName>
    <definedName function="false" hidden="true" name="IQ_PERCENT_CHANGE_EST_PRICE_TARGET_6MONTHS_CIQ" vbProcedure="false">"c3781"</definedName>
    <definedName function="false" hidden="true" name="IQ_PERCENT_CHANGE_EST_PRICE_TARGET_9MONTHS" vbProcedure="false">"c1843"</definedName>
    <definedName function="false" hidden="true" name="IQ_PERCENT_CHANGE_EST_PRICE_TARGET_9MONTHS_CIQ" vbProcedure="false">"c3782"</definedName>
    <definedName function="false" hidden="true" name="IQ_PERCENT_CHANGE_EST_PRICE_TARGET_DAY" vbProcedure="false">"c1838"</definedName>
    <definedName function="false" hidden="true" name="IQ_PERCENT_CHANGE_EST_PRICE_TARGET_DAY_CIQ" vbProcedure="false">"c3778"</definedName>
    <definedName function="false" hidden="true" name="IQ_PERCENT_CHANGE_EST_PRICE_TARGET_MONTH" vbProcedure="false">"c1840"</definedName>
    <definedName function="false" hidden="true" name="IQ_PERCENT_CHANGE_EST_PRICE_TARGET_MONTH_CIQ" vbProcedure="false">"c3779"</definedName>
    <definedName function="false" hidden="true" name="IQ_PERCENT_CHANGE_EST_PRICE_TARGET_WEEK" vbProcedure="false">"c1839"</definedName>
    <definedName function="false" hidden="true" name="IQ_PERCENT_CHANGE_EST_PRICE_TARGET_WEEK_CIQ" vbProcedure="false">"c3798"</definedName>
    <definedName function="false" hidden="true" name="IQ_PERCENT_CHANGE_EST_RECO_12MONTHS" vbProcedure="false">"c1836"</definedName>
    <definedName function="false" hidden="true" name="IQ_PERCENT_CHANGE_EST_RECO_12MONTHS_CIQ" vbProcedure="false">"c3776"</definedName>
    <definedName function="false" hidden="true" name="IQ_PERCENT_CHANGE_EST_RECO_18MONTHS" vbProcedure="false">"c1837"</definedName>
    <definedName function="false" hidden="true" name="IQ_PERCENT_CHANGE_EST_RECO_18MONTHS_CIQ" vbProcedure="false">"c3777"</definedName>
    <definedName function="false" hidden="true" name="IQ_PERCENT_CHANGE_EST_RECO_3MONTHS" vbProcedure="false">"c1833"</definedName>
    <definedName function="false" hidden="true" name="IQ_PERCENT_CHANGE_EST_RECO_3MONTHS_CIQ" vbProcedure="false">"c3773"</definedName>
    <definedName function="false" hidden="true" name="IQ_PERCENT_CHANGE_EST_RECO_6MONTHS" vbProcedure="false">"c1834"</definedName>
    <definedName function="false" hidden="true" name="IQ_PERCENT_CHANGE_EST_RECO_6MONTHS_CIQ" vbProcedure="false">"c3774"</definedName>
    <definedName function="false" hidden="true" name="IQ_PERCENT_CHANGE_EST_RECO_9MONTHS" vbProcedure="false">"c1835"</definedName>
    <definedName function="false" hidden="true" name="IQ_PERCENT_CHANGE_EST_RECO_9MONTHS_CIQ" vbProcedure="false">"c3775"</definedName>
    <definedName function="false" hidden="true" name="IQ_PERCENT_CHANGE_EST_RECO_DAY" vbProcedure="false">"c1830"</definedName>
    <definedName function="false" hidden="true" name="IQ_PERCENT_CHANGE_EST_RECO_DAY_CIQ" vbProcedure="false">"c3771"</definedName>
    <definedName function="false" hidden="true" name="IQ_PERCENT_CHANGE_EST_RECO_MONTH" vbProcedure="false">"c1832"</definedName>
    <definedName function="false" hidden="true" name="IQ_PERCENT_CHANGE_EST_RECO_MONTH_CIQ" vbProcedure="false">"c3772"</definedName>
    <definedName function="false" hidden="true" name="IQ_PERCENT_CHANGE_EST_RECO_WEEK" vbProcedure="false">"c1831"</definedName>
    <definedName function="false" hidden="true" name="IQ_PERCENT_CHANGE_EST_RECO_WEEK_CIQ" vbProcedure="false">"c3796"</definedName>
    <definedName function="false" hidden="true" name="IQ_PERCENT_CHANGE_EST_REV_12MONTHS" vbProcedure="false">"c1796"</definedName>
    <definedName function="false" hidden="true" name="IQ_PERCENT_CHANGE_EST_REV_12MONTHS_CIQ" vbProcedure="false">"c3741"</definedName>
    <definedName function="false" hidden="true" name="IQ_PERCENT_CHANGE_EST_REV_18MONTHS" vbProcedure="false">"c1797"</definedName>
    <definedName function="false" hidden="true" name="IQ_PERCENT_CHANGE_EST_REV_18MONTHS_CIQ" vbProcedure="false">"c3742"</definedName>
    <definedName function="false" hidden="true" name="IQ_PERCENT_CHANGE_EST_REV_3MONTHS" vbProcedure="false">"c1793"</definedName>
    <definedName function="false" hidden="true" name="IQ_PERCENT_CHANGE_EST_REV_3MONTHS_CIQ" vbProcedure="false">"c3738"</definedName>
    <definedName function="false" hidden="true" name="IQ_PERCENT_CHANGE_EST_REV_6MONTHS" vbProcedure="false">"c1794"</definedName>
    <definedName function="false" hidden="true" name="IQ_PERCENT_CHANGE_EST_REV_6MONTHS_CIQ" vbProcedure="false">"c3739"</definedName>
    <definedName function="false" hidden="true" name="IQ_PERCENT_CHANGE_EST_REV_9MONTHS" vbProcedure="false">"c1795"</definedName>
    <definedName function="false" hidden="true" name="IQ_PERCENT_CHANGE_EST_REV_9MONTHS_CIQ" vbProcedure="false">"c3740"</definedName>
    <definedName function="false" hidden="true" name="IQ_PERCENT_CHANGE_EST_REV_DAY" vbProcedure="false">"c1790"</definedName>
    <definedName function="false" hidden="true" name="IQ_PERCENT_CHANGE_EST_REV_DAY_CIQ" vbProcedure="false">"c3735"</definedName>
    <definedName function="false" hidden="true" name="IQ_PERCENT_CHANGE_EST_REV_MONTH" vbProcedure="false">"c1792"</definedName>
    <definedName function="false" hidden="true" name="IQ_PERCENT_CHANGE_EST_REV_MONTH_CIQ" vbProcedure="false">"c3737"</definedName>
    <definedName function="false" hidden="true" name="IQ_PERCENT_CHANGE_EST_REV_WEEK" vbProcedure="false">"c1791"</definedName>
    <definedName function="false" hidden="true" name="IQ_PERCENT_CHANGE_EST_REV_WEEK_CIQ" vbProcedure="false">"c3736"</definedName>
    <definedName function="false" hidden="true" name="IQ_PERCENT_INSURED_FDIC" vbProcedure="false">"c6374"</definedName>
    <definedName function="false" hidden="true" name="IQ_PERIODDATE" vbProcedure="false">"c1414"</definedName>
    <definedName function="false" hidden="true" name="IQ_PERIODDATE_BS" vbProcedure="false">"c1032"</definedName>
    <definedName function="false" hidden="true" name="IQ_PERIODDATE_CF" vbProcedure="false">"c1033"</definedName>
    <definedName function="false" hidden="true" name="IQ_PERIODDATE_IS" vbProcedure="false">"c1034"</definedName>
    <definedName function="false" hidden="true" name="IQ_PERIODLENGTH_CF" vbProcedure="false">"c1502"</definedName>
    <definedName function="false" hidden="true" name="IQ_PERIODLENGTH_IS" vbProcedure="false">"c1503"</definedName>
    <definedName function="false" hidden="true" name="IQ_PERTYPE" vbProcedure="false">"c1611"</definedName>
    <definedName function="false" hidden="true" name="IQ_PE_EXCL" vbProcedure="false">"c1028"</definedName>
    <definedName function="false" hidden="true" name="IQ_PE_EXCL_AVG" vbProcedure="false">"c1029"</definedName>
    <definedName function="false" hidden="true" name="IQ_PE_EXCL_FWD" vbProcedure="false">"c1030"</definedName>
    <definedName function="false" hidden="true" name="IQ_PE_EXCL_FWD_CIQ" vbProcedure="false">"c4042"</definedName>
    <definedName function="false" hidden="true" name="IQ_PE_EXCL_FWD_REUT" vbProcedure="false">"c4049"</definedName>
    <definedName function="false" hidden="true" name="IQ_PE_NORMALIZED" vbProcedure="false">"c2207"</definedName>
    <definedName function="false" hidden="true" name="IQ_PE_RATIO" vbProcedure="false">"c1610"</definedName>
    <definedName function="false" hidden="true" name="IQ_PLEDGED_SECURITIES_FDIC" vbProcedure="false">"c6401"</definedName>
    <definedName function="false" hidden="true" name="IQ_PLL" vbProcedure="false">"c2114"</definedName>
    <definedName function="false" hidden="true" name="IQ_PMT_FREQ" vbProcedure="false">"c2236"</definedName>
    <definedName function="false" hidden="true" name="IQ_POISON_PUT_EFFECT_DATE" vbProcedure="false">"c2486"</definedName>
    <definedName function="false" hidden="true" name="IQ_POISON_PUT_EXPIRATION_DATE" vbProcedure="false">"c2487"</definedName>
    <definedName function="false" hidden="true" name="IQ_POISON_PUT_PRICE" vbProcedure="false">"c2488"</definedName>
    <definedName function="false" hidden="true" name="IQ_POLICY_BENEFITS" vbProcedure="false">"c1036"</definedName>
    <definedName function="false" hidden="true" name="IQ_POLICY_COST" vbProcedure="false">"c1037"</definedName>
    <definedName function="false" hidden="true" name="IQ_POLICY_LIAB" vbProcedure="false">"c1612"</definedName>
    <definedName function="false" hidden="true" name="IQ_POLICY_LOANS" vbProcedure="false">"c1038"</definedName>
    <definedName function="false" hidden="true" name="IQ_POSTPAID_CHURN" vbProcedure="false">"c2121"</definedName>
    <definedName function="false" hidden="true" name="IQ_POSTPAID_SUBS" vbProcedure="false">"c2118"</definedName>
    <definedName function="false" hidden="true" name="IQ_POST_RETIRE_EXP" vbProcedure="false">"c1039"</definedName>
    <definedName function="false" hidden="true" name="IQ_POTENTIAL_UPSIDE" vbProcedure="false">"c1855"</definedName>
    <definedName function="false" hidden="true" name="IQ_POTENTIAL_UPSIDE_CIQ" vbProcedure="false">"c3799"</definedName>
    <definedName function="false" hidden="true" name="IQ_PREFERRED_FDIC" vbProcedure="false">"c6349"</definedName>
    <definedName function="false" hidden="true" name="IQ_PREF_CONVERT" vbProcedure="false">"c1041"</definedName>
    <definedName function="false" hidden="true" name="IQ_PREF_DIVID" vbProcedure="false">"c1461"</definedName>
    <definedName function="false" hidden="true" name="IQ_PREF_DIV_CF" vbProcedure="false">"c1042"</definedName>
    <definedName function="false" hidden="true" name="IQ_PREF_DIV_OTHER" vbProcedure="false">"c1043"</definedName>
    <definedName function="false" hidden="true" name="IQ_PREF_EQUITY" vbProcedure="false">"c1044"</definedName>
    <definedName function="false" hidden="true" name="IQ_PREF_ISSUED" vbProcedure="false">"c1045"</definedName>
    <definedName function="false" hidden="true" name="IQ_PREF_ISSUED_BNK" vbProcedure="false">"c1046"</definedName>
    <definedName function="false" hidden="true" name="IQ_PREF_ISSUED_BR" vbProcedure="false">"c1047"</definedName>
    <definedName function="false" hidden="true" name="IQ_PREF_ISSUED_FIN" vbProcedure="false">"c1048"</definedName>
    <definedName function="false" hidden="true" name="IQ_PREF_ISSUED_INS" vbProcedure="false">"c1049"</definedName>
    <definedName function="false" hidden="true" name="IQ_PREF_ISSUED_RE" vbProcedure="false">"c6261"</definedName>
    <definedName function="false" hidden="true" name="IQ_PREF_ISSUED_REIT" vbProcedure="false">"c1050"</definedName>
    <definedName function="false" hidden="true" name="IQ_PREF_ISSUED_UTI" vbProcedure="false">"c1051"</definedName>
    <definedName function="false" hidden="true" name="IQ_PREF_NON_REDEEM" vbProcedure="false">"c1052"</definedName>
    <definedName function="false" hidden="true" name="IQ_PREF_OTHER" vbProcedure="false">"c1053"</definedName>
    <definedName function="false" hidden="true" name="IQ_PREF_OTHER_BNK" vbProcedure="false">"c1054"</definedName>
    <definedName function="false" hidden="true" name="IQ_PREF_OTHER_BR" vbProcedure="false">"c1055"</definedName>
    <definedName function="false" hidden="true" name="IQ_PREF_OTHER_FIN" vbProcedure="false">"c1056"</definedName>
    <definedName function="false" hidden="true" name="IQ_PREF_OTHER_INS" vbProcedure="false">"c1057"</definedName>
    <definedName function="false" hidden="true" name="IQ_PREF_OTHER_RE" vbProcedure="false">"c6262"</definedName>
    <definedName function="false" hidden="true" name="IQ_PREF_OTHER_REIT" vbProcedure="false">"c1058"</definedName>
    <definedName function="false" hidden="true" name="IQ_PREF_OTHER_UTI" vbProcedure="false">"C6022"</definedName>
    <definedName function="false" hidden="true" name="IQ_PREF_REDEEM" vbProcedure="false">"c1059"</definedName>
    <definedName function="false" hidden="true" name="IQ_PREF_REP" vbProcedure="false">"c1060"</definedName>
    <definedName function="false" hidden="true" name="IQ_PREF_REP_BNK" vbProcedure="false">"c1061"</definedName>
    <definedName function="false" hidden="true" name="IQ_PREF_REP_BR" vbProcedure="false">"c1062"</definedName>
    <definedName function="false" hidden="true" name="IQ_PREF_REP_FIN" vbProcedure="false">"c1063"</definedName>
    <definedName function="false" hidden="true" name="IQ_PREF_REP_INS" vbProcedure="false">"c1064"</definedName>
    <definedName function="false" hidden="true" name="IQ_PREF_REP_RE" vbProcedure="false">"c6263"</definedName>
    <definedName function="false" hidden="true" name="IQ_PREF_REP_REIT" vbProcedure="false">"c1065"</definedName>
    <definedName function="false" hidden="true" name="IQ_PREF_REP_UTI" vbProcedure="false">"c1066"</definedName>
    <definedName function="false" hidden="true" name="IQ_PREF_STOCK" vbProcedure="false">"c1416"</definedName>
    <definedName function="false" hidden="true" name="IQ_PREF_TOT" vbProcedure="false">"c1415"</definedName>
    <definedName function="false" hidden="true" name="IQ_PREMISES_EQUIPMENT_FDIC" vbProcedure="false">"c6577"</definedName>
    <definedName function="false" hidden="true" name="IQ_PREMIUMS_ANNUITY_REV" vbProcedure="false">"c1067"</definedName>
    <definedName function="false" hidden="true" name="IQ_PREPAID_CHURN" vbProcedure="false">"c2120"</definedName>
    <definedName function="false" hidden="true" name="IQ_PREPAID_EXP" vbProcedure="false">"c1068"</definedName>
    <definedName function="false" hidden="true" name="IQ_PREPAID_EXPEN" vbProcedure="false">"c1418"</definedName>
    <definedName function="false" hidden="true" name="IQ_PREPAID_SUBS" vbProcedure="false">"c2117"</definedName>
    <definedName function="false" hidden="true" name="IQ_PRETAX_GW_INC_EST" vbProcedure="false">"c1702"</definedName>
    <definedName function="false" hidden="true" name="IQ_PRETAX_GW_INC_EST_CIQ" vbProcedure="false">"c4688"</definedName>
    <definedName function="false" hidden="true" name="IQ_PRETAX_GW_INC_HIGH_EST" vbProcedure="false">"c1704"</definedName>
    <definedName function="false" hidden="true" name="IQ_PRETAX_GW_INC_HIGH_EST_CIQ" vbProcedure="false">"c4690"</definedName>
    <definedName function="false" hidden="true" name="IQ_PRETAX_GW_INC_LOW_EST" vbProcedure="false">"c1705"</definedName>
    <definedName function="false" hidden="true" name="IQ_PRETAX_GW_INC_LOW_EST_CIQ" vbProcedure="false">"c4691"</definedName>
    <definedName function="false" hidden="true" name="IQ_PRETAX_GW_INC_MEDIAN_EST" vbProcedure="false">"c1703"</definedName>
    <definedName function="false" hidden="true" name="IQ_PRETAX_GW_INC_MEDIAN_EST_CIQ" vbProcedure="false">"c4689"</definedName>
    <definedName function="false" hidden="true" name="IQ_PRETAX_GW_INC_NUM_EST" vbProcedure="false">"c1706"</definedName>
    <definedName function="false" hidden="true" name="IQ_PRETAX_GW_INC_NUM_EST_CIQ" vbProcedure="false">"c4692"</definedName>
    <definedName function="false" hidden="true" name="IQ_PRETAX_GW_INC_STDDEV_EST" vbProcedure="false">"c1707"</definedName>
    <definedName function="false" hidden="true" name="IQ_PRETAX_GW_INC_STDDEV_EST_CIQ" vbProcedure="false">"c4693"</definedName>
    <definedName function="false" hidden="true" name="IQ_PRETAX_INC_EST" vbProcedure="false">"c1695"</definedName>
    <definedName function="false" hidden="true" name="IQ_PRETAX_INC_EST_CIQ" vbProcedure="false">"c4681"</definedName>
    <definedName function="false" hidden="true" name="IQ_PRETAX_INC_HIGH_EST" vbProcedure="false">"c1697"</definedName>
    <definedName function="false" hidden="true" name="IQ_PRETAX_INC_HIGH_EST_CIQ" vbProcedure="false">"c4683"</definedName>
    <definedName function="false" hidden="true" name="IQ_PRETAX_INC_LOW_EST" vbProcedure="false">"c1698"</definedName>
    <definedName function="false" hidden="true" name="IQ_PRETAX_INC_LOW_EST_CIQ" vbProcedure="false">"c4684"</definedName>
    <definedName function="false" hidden="true" name="IQ_PRETAX_INC_MEDIAN_EST" vbProcedure="false">"c1696"</definedName>
    <definedName function="false" hidden="true" name="IQ_PRETAX_INC_MEDIAN_EST_CIQ" vbProcedure="false">"c4682"</definedName>
    <definedName function="false" hidden="true" name="IQ_PRETAX_INC_NUM_EST" vbProcedure="false">"c1699"</definedName>
    <definedName function="false" hidden="true" name="IQ_PRETAX_INC_NUM_EST_CIQ" vbProcedure="false">"c4685"</definedName>
    <definedName function="false" hidden="true" name="IQ_PRETAX_INC_STDDEV_EST" vbProcedure="false">"c1700"</definedName>
    <definedName function="false" hidden="true" name="IQ_PRETAX_INC_STDDEV_EST_CIQ" vbProcedure="false">"c4686"</definedName>
    <definedName function="false" hidden="true" name="IQ_PRETAX_REPORT_INC_EST" vbProcedure="false">"c1709"</definedName>
    <definedName function="false" hidden="true" name="IQ_PRETAX_REPORT_INC_EST_CIQ" vbProcedure="false">"c4695"</definedName>
    <definedName function="false" hidden="true" name="IQ_PRETAX_REPORT_INC_HIGH_EST" vbProcedure="false">"c1711"</definedName>
    <definedName function="false" hidden="true" name="IQ_PRETAX_REPORT_INC_HIGH_EST_CIQ" vbProcedure="false">"c4697"</definedName>
    <definedName function="false" hidden="true" name="IQ_PRETAX_REPORT_INC_LOW_EST" vbProcedure="false">"c1712"</definedName>
    <definedName function="false" hidden="true" name="IQ_PRETAX_REPORT_INC_LOW_EST_CIQ" vbProcedure="false">"c4698"</definedName>
    <definedName function="false" hidden="true" name="IQ_PRETAX_REPORT_INC_MEDIAN_EST" vbProcedure="false">"c1710"</definedName>
    <definedName function="false" hidden="true" name="IQ_PRETAX_REPORT_INC_MEDIAN_EST_CIQ" vbProcedure="false">"c4696"</definedName>
    <definedName function="false" hidden="true" name="IQ_PRETAX_REPORT_INC_NUM_EST" vbProcedure="false">"c1713"</definedName>
    <definedName function="false" hidden="true" name="IQ_PRETAX_REPORT_INC_NUM_EST_CIQ" vbProcedure="false">"c4699"</definedName>
    <definedName function="false" hidden="true" name="IQ_PRETAX_REPORT_INC_STDDEV_EST" vbProcedure="false">"c1714"</definedName>
    <definedName function="false" hidden="true" name="IQ_PRETAX_REPORT_INC_STDDEV_EST_CIQ" vbProcedure="false">"c4700"</definedName>
    <definedName function="false" hidden="true" name="IQ_PRETAX_RETURN_ASSETS_FDIC" vbProcedure="false">"c6731"</definedName>
    <definedName function="false" hidden="true" name="IQ_PRE_OPEN_COST" vbProcedure="false">"c1040"</definedName>
    <definedName function="false" hidden="true" name="IQ_PRE_TAX_ACT_OR_EST" vbProcedure="false">"c2221"</definedName>
    <definedName function="false" hidden="true" name="IQ_PRE_TAX_ACT_OR_EST_CIQ" vbProcedure="false">"c5064"</definedName>
    <definedName function="false" hidden="true" name="IQ_PRE_TAX_INCOME_FDIC" vbProcedure="false">"c6581"</definedName>
    <definedName function="false" hidden="true" name="IQ_PRICEDATE" vbProcedure="false">"c1069"</definedName>
    <definedName function="false" hidden="true" name="IQ_PRICE_CFPS_FWD" vbProcedure="false">"c2237"</definedName>
    <definedName function="false" hidden="true" name="IQ_PRICE_CFPS_FWD_CIQ" vbProcedure="false">"c4046"</definedName>
    <definedName function="false" hidden="true" name="IQ_PRICE_OVER_BVPS" vbProcedure="false">"c1412"</definedName>
    <definedName function="false" hidden="true" name="IQ_PRICE_OVER_LTM_EPS" vbProcedure="false">"c1413"</definedName>
    <definedName function="false" hidden="true" name="IQ_PRICE_TARGET" vbProcedure="false">"c82"</definedName>
    <definedName function="false" hidden="true" name="IQ_PRICE_TARGET_BOTTOM_UP" vbProcedure="false">"c5486"</definedName>
    <definedName function="false" hidden="true" name="IQ_PRICE_TARGET_CIQ" vbProcedure="false">"c3613"</definedName>
    <definedName function="false" hidden="true" name="IQ_PRICE_TARGET_REUT" vbProcedure="false">"c3631"</definedName>
    <definedName function="false" hidden="true" name="IQ_PRICE_VOLATILITY_EST" vbProcedure="false">"c4492"</definedName>
    <definedName function="false" hidden="true" name="IQ_PRICE_VOLATILITY_EST_CIQ" vbProcedure="false">"c5030"</definedName>
    <definedName function="false" hidden="true" name="IQ_PRICE_VOLATILITY_HIGH" vbProcedure="false">"c4493"</definedName>
    <definedName function="false" hidden="true" name="IQ_PRICE_VOLATILITY_HIGH_CIQ" vbProcedure="false">"c5031"</definedName>
    <definedName function="false" hidden="true" name="IQ_PRICE_VOLATILITY_LOW" vbProcedure="false">"c4494"</definedName>
    <definedName function="false" hidden="true" name="IQ_PRICE_VOLATILITY_LOW_CIQ" vbProcedure="false">"c5032"</definedName>
    <definedName function="false" hidden="true" name="IQ_PRICE_VOLATILITY_MEDIAN" vbProcedure="false">"c4495"</definedName>
    <definedName function="false" hidden="true" name="IQ_PRICE_VOLATILITY_MEDIAN_CIQ" vbProcedure="false">"c5033"</definedName>
    <definedName function="false" hidden="true" name="IQ_PRICE_VOLATILITY_NUM" vbProcedure="false">"c4496"</definedName>
    <definedName function="false" hidden="true" name="IQ_PRICE_VOLATILITY_NUM_CIQ" vbProcedure="false">"c5034"</definedName>
    <definedName function="false" hidden="true" name="IQ_PRICE_VOLATILITY_STDDEV" vbProcedure="false">"c4497"</definedName>
    <definedName function="false" hidden="true" name="IQ_PRICE_VOLATILITY_STDDEV_CIQ" vbProcedure="false">"c5035"</definedName>
    <definedName function="false" hidden="true" name="IQ_PRICING_DATE" vbProcedure="false">"c1613"</definedName>
    <definedName function="false" hidden="true" name="IQ_PRIMARY_EPS_TYPE" vbProcedure="false">"c4498"</definedName>
    <definedName function="false" hidden="true" name="IQ_PRIMARY_EPS_TYPE_CIQ" vbProcedure="false">"c5036"</definedName>
    <definedName function="false" hidden="true" name="IQ_PRIMARY_INDUSTRY" vbProcedure="false">"c1070"</definedName>
    <definedName function="false" hidden="true" name="IQ_PRINCIPAL_AMT" vbProcedure="false">"c2157"</definedName>
    <definedName function="false" hidden="true" name="IQ_PRIVATELY_ISSUED_MORTGAGE_BACKED_SECURITIES_FDIC" vbProcedure="false">"c6407"</definedName>
    <definedName function="false" hidden="true" name="IQ_PRIVATELY_ISSUED_MORTGAGE_PASS_THROUGHS_FDIC" vbProcedure="false">"c6405"</definedName>
    <definedName function="false" hidden="true" name="IQ_PROFESSIONAL" vbProcedure="false">"c1071"</definedName>
    <definedName function="false" hidden="true" name="IQ_PROFESSIONAL_TITLE" vbProcedure="false">"c1072"</definedName>
    <definedName function="false" hidden="true" name="IQ_PROJECTED_PENSION_OBLIGATION" vbProcedure="false">"c1292"</definedName>
    <definedName function="false" hidden="true" name="IQ_PROJECTED_PENSION_OBLIGATION_DOMESTIC" vbProcedure="false">"c2656"</definedName>
    <definedName function="false" hidden="true" name="IQ_PROJECTED_PENSION_OBLIGATION_FOREIGN" vbProcedure="false">"c2664"</definedName>
    <definedName function="false" hidden="true" name="IQ_PROPERTY_EXP" vbProcedure="false">"c1073"</definedName>
    <definedName function="false" hidden="true" name="IQ_PROPERTY_GROSS" vbProcedure="false">"c1379"</definedName>
    <definedName function="false" hidden="true" name="IQ_PROPERTY_MGMT_FEE" vbProcedure="false">"c1074"</definedName>
    <definedName function="false" hidden="true" name="IQ_PROPERTY_NET" vbProcedure="false">"c1402"</definedName>
    <definedName function="false" hidden="true" name="IQ_PROVISION_10YR_ANN_CAGR" vbProcedure="false">"c6135"</definedName>
    <definedName function="false" hidden="true" name="IQ_PROVISION_10YR_ANN_GROWTH" vbProcedure="false">"c1077"</definedName>
    <definedName function="false" hidden="true" name="IQ_PROVISION_1YR_ANN_GROWTH" vbProcedure="false">"c1078"</definedName>
    <definedName function="false" hidden="true" name="IQ_PROVISION_2YR_ANN_CAGR" vbProcedure="false">"c6136"</definedName>
    <definedName function="false" hidden="true" name="IQ_PROVISION_2YR_ANN_GROWTH" vbProcedure="false">"c1079"</definedName>
    <definedName function="false" hidden="true" name="IQ_PROVISION_3YR_ANN_CAGR" vbProcedure="false">"c6137"</definedName>
    <definedName function="false" hidden="true" name="IQ_PROVISION_3YR_ANN_GROWTH" vbProcedure="false">"c1080"</definedName>
    <definedName function="false" hidden="true" name="IQ_PROVISION_5YR_ANN_CAGR" vbProcedure="false">"c6138"</definedName>
    <definedName function="false" hidden="true" name="IQ_PROVISION_5YR_ANN_GROWTH" vbProcedure="false">"c1081"</definedName>
    <definedName function="false" hidden="true" name="IQ_PROVISION_7YR_ANN_CAGR" vbProcedure="false">"c6139"</definedName>
    <definedName function="false" hidden="true" name="IQ_PROVISION_7YR_ANN_GROWTH" vbProcedure="false">"c1082"</definedName>
    <definedName function="false" hidden="true" name="IQ_PROVISION_CHARGE_OFFS" vbProcedure="false">"c1083"</definedName>
    <definedName function="false" hidden="true" name="IQ_PROV_BAD_DEBTS" vbProcedure="false">"c1075"</definedName>
    <definedName function="false" hidden="true" name="IQ_PROV_BAD_DEBTS_CF" vbProcedure="false">"c1076"</definedName>
    <definedName function="false" hidden="true" name="IQ_PRO_FORMA_BASIC_EPS" vbProcedure="false">"c1614"</definedName>
    <definedName function="false" hidden="true" name="IQ_PRO_FORMA_DILUT_EPS" vbProcedure="false">"c1615"</definedName>
    <definedName function="false" hidden="true" name="IQ_PRO_FORMA_NET_INC" vbProcedure="false">"c1452"</definedName>
    <definedName function="false" hidden="true" name="IQ_PTBV" vbProcedure="false">"c1084"</definedName>
    <definedName function="false" hidden="true" name="IQ_PTBV_AVG" vbProcedure="false">"c1085"</definedName>
    <definedName function="false" hidden="true" name="IQ_PURCHASED_OPTION_CONTRACTS_FDIC" vbProcedure="false">"c6510"</definedName>
    <definedName function="false" hidden="true" name="IQ_PURCHASED_OPTION_CONTRACTS_FX_RISK_FDIC" vbProcedure="false">"c6515"</definedName>
    <definedName function="false" hidden="true" name="IQ_PURCHASED_OPTION_CONTRACTS_NON_FX_IR_FDIC" vbProcedure="false">"c6520"</definedName>
    <definedName function="false" hidden="true" name="IQ_PURCHASE_FOREIGN_CURRENCIES_FDIC" vbProcedure="false">"c6513"</definedName>
    <definedName function="false" hidden="true" name="IQ_PUT_DATE_SCHEDULE" vbProcedure="false">"c2483"</definedName>
    <definedName function="false" hidden="true" name="IQ_PUT_NOTIFICATION" vbProcedure="false">"c2485"</definedName>
    <definedName function="false" hidden="true" name="IQ_PUT_PRICE_SCHEDULE" vbProcedure="false">"c2484"</definedName>
    <definedName function="false" hidden="true" name="IQ_QUICK_RATIO" vbProcedure="false">"c1086"</definedName>
    <definedName function="false" hidden="true" name="IQ_RATE_COMP_GROWTH_DOMESTIC" vbProcedure="false">"c1087"</definedName>
    <definedName function="false" hidden="true" name="IQ_RATE_COMP_GROWTH_FOREIGN" vbProcedure="false">"c1088"</definedName>
    <definedName function="false" hidden="true" name="IQ_RAW_INV" vbProcedure="false">"c1089"</definedName>
    <definedName function="false" hidden="true" name="IQ_RC" vbProcedure="false">"c2497"</definedName>
    <definedName function="false" hidden="true" name="IQ_RC_PCT" vbProcedure="false">"c2498"</definedName>
    <definedName function="false" hidden="true" name="IQ_RD_EXP" vbProcedure="false">"c1090"</definedName>
    <definedName function="false" hidden="true" name="IQ_RD_EXP_FN" vbProcedure="false">"c1091"</definedName>
    <definedName function="false" hidden="true" name="IQ_RE" vbProcedure="false">"c1092"</definedName>
    <definedName function="false" hidden="true" name="IQ_REAL_ESTATE" vbProcedure="false">"c1093"</definedName>
    <definedName function="false" hidden="true" name="IQ_REAL_ESTATE_ASSETS" vbProcedure="false">"c1094"</definedName>
    <definedName function="false" hidden="true" name="IQ_RECOVERIES_1_4_FAMILY_LOANS_FDIC" vbProcedure="false">"c6707"</definedName>
    <definedName function="false" hidden="true" name="IQ_RECOVERIES_AUTO_LOANS_FDIC" vbProcedure="false">"c6701"</definedName>
    <definedName function="false" hidden="true" name="IQ_RECOVERIES_CL_LOANS_FDIC" vbProcedure="false">"c6702"</definedName>
    <definedName function="false" hidden="true" name="IQ_RECOVERIES_CREDIT_CARDS_RECEIVABLES_FDIC" vbProcedure="false">"c6704"</definedName>
    <definedName function="false" hidden="true" name="IQ_RECOVERIES_HOME_EQUITY_LINES_FDIC" vbProcedure="false">"c6705"</definedName>
    <definedName function="false" hidden="true" name="IQ_RECOVERIES_OTHER_CONSUMER_LOANS_FDIC" vbProcedure="false">"c6703"</definedName>
    <definedName function="false" hidden="true" name="IQ_RECOVERIES_OTHER_LOANS_FDIC" vbProcedure="false">"c6706"</definedName>
    <definedName function="false" hidden="true" name="IQ_RECURRING_PROFIT_ACT_OR_EST" vbProcedure="false">"c4507"</definedName>
    <definedName function="false" hidden="true" name="IQ_RECURRING_PROFIT_ACT_OR_EST_CIQ" vbProcedure="false">"c5045"</definedName>
    <definedName function="false" hidden="true" name="IQ_RECURRING_PROFIT_EST" vbProcedure="false">"c4499"</definedName>
    <definedName function="false" hidden="true" name="IQ_RECURRING_PROFIT_EST_CIQ" vbProcedure="false">"c5037"</definedName>
    <definedName function="false" hidden="true" name="IQ_RECURRING_PROFIT_GUIDANCE" vbProcedure="false">"c4500"</definedName>
    <definedName function="false" hidden="true" name="IQ_RECURRING_PROFIT_GUIDANCE_CIQ" vbProcedure="false">"c5038"</definedName>
    <definedName function="false" hidden="true" name="IQ_RECURRING_PROFIT_HIGH_EST" vbProcedure="false">"c4501"</definedName>
    <definedName function="false" hidden="true" name="IQ_RECURRING_PROFIT_HIGH_EST_CIQ" vbProcedure="false">"c5039"</definedName>
    <definedName function="false" hidden="true" name="IQ_RECURRING_PROFIT_HIGH_GUIDANCE" vbProcedure="false">"c4179"</definedName>
    <definedName function="false" hidden="true" name="IQ_RECURRING_PROFIT_HIGH_GUIDANCE_CIQ" vbProcedure="false">"c4591"</definedName>
    <definedName function="false" hidden="true" name="IQ_RECURRING_PROFIT_LOW_EST" vbProcedure="false">"c4502"</definedName>
    <definedName function="false" hidden="true" name="IQ_RECURRING_PROFIT_LOW_EST_CIQ" vbProcedure="false">"c5040"</definedName>
    <definedName function="false" hidden="true" name="IQ_RECURRING_PROFIT_LOW_GUIDANCE" vbProcedure="false">"c4219"</definedName>
    <definedName function="false" hidden="true" name="IQ_RECURRING_PROFIT_LOW_GUIDANCE_CIQ" vbProcedure="false">"c4631"</definedName>
    <definedName function="false" hidden="true" name="IQ_RECURRING_PROFIT_MEDIAN_EST" vbProcedure="false">"c4503"</definedName>
    <definedName function="false" hidden="true" name="IQ_RECURRING_PROFIT_MEDIAN_EST_CIQ" vbProcedure="false">"c5041"</definedName>
    <definedName function="false" hidden="true" name="IQ_RECURRING_PROFIT_NUM_EST" vbProcedure="false">"c4504"</definedName>
    <definedName function="false" hidden="true" name="IQ_RECURRING_PROFIT_NUM_EST_CIQ" vbProcedure="false">"c5042"</definedName>
    <definedName function="false" hidden="true" name="IQ_RECURRING_PROFIT_SHARE_ACT_OR_EST" vbProcedure="false">"c4508"</definedName>
    <definedName function="false" hidden="true" name="IQ_RECURRING_PROFIT_SHARE_ACT_OR_EST_CIQ" vbProcedure="false">"c5046"</definedName>
    <definedName function="false" hidden="true" name="IQ_RECURRING_PROFIT_SHARE_EST" vbProcedure="false">"c4506"</definedName>
    <definedName function="false" hidden="true" name="IQ_RECURRING_PROFIT_SHARE_EST_CIQ" vbProcedure="false">"c5044"</definedName>
    <definedName function="false" hidden="true" name="IQ_RECURRING_PROFIT_SHARE_GUIDANCE" vbProcedure="false">"c4509"</definedName>
    <definedName function="false" hidden="true" name="IQ_RECURRING_PROFIT_SHARE_GUIDANCE_CIQ" vbProcedure="false">"c5047"</definedName>
    <definedName function="false" hidden="true" name="IQ_RECURRING_PROFIT_SHARE_HIGH_EST" vbProcedure="false">"c4510"</definedName>
    <definedName function="false" hidden="true" name="IQ_RECURRING_PROFIT_SHARE_HIGH_EST_CIQ" vbProcedure="false">"c5048"</definedName>
    <definedName function="false" hidden="true" name="IQ_RECURRING_PROFIT_SHARE_HIGH_GUIDANCE" vbProcedure="false">"c4200"</definedName>
    <definedName function="false" hidden="true" name="IQ_RECURRING_PROFIT_SHARE_HIGH_GUIDANCE_CIQ" vbProcedure="false">"c4612"</definedName>
    <definedName function="false" hidden="true" name="IQ_RECURRING_PROFIT_SHARE_LOW_EST" vbProcedure="false">"c4511"</definedName>
    <definedName function="false" hidden="true" name="IQ_RECURRING_PROFIT_SHARE_LOW_EST_CIQ" vbProcedure="false">"c5049"</definedName>
    <definedName function="false" hidden="true" name="IQ_RECURRING_PROFIT_SHARE_LOW_GUIDANCE" vbProcedure="false">"c4240"</definedName>
    <definedName function="false" hidden="true" name="IQ_RECURRING_PROFIT_SHARE_LOW_GUIDANCE_CIQ" vbProcedure="false">"c4652"</definedName>
    <definedName function="false" hidden="true" name="IQ_RECURRING_PROFIT_SHARE_MEDIAN_EST" vbProcedure="false">"c4512"</definedName>
    <definedName function="false" hidden="true" name="IQ_RECURRING_PROFIT_SHARE_MEDIAN_EST_CIQ" vbProcedure="false">"c5050"</definedName>
    <definedName function="false" hidden="true" name="IQ_RECURRING_PROFIT_SHARE_NUM_EST" vbProcedure="false">"c4513"</definedName>
    <definedName function="false" hidden="true" name="IQ_RECURRING_PROFIT_SHARE_NUM_EST_CIQ" vbProcedure="false">"c5051"</definedName>
    <definedName function="false" hidden="true" name="IQ_RECURRING_PROFIT_SHARE_STDDEV_EST" vbProcedure="false">"c4514"</definedName>
    <definedName function="false" hidden="true" name="IQ_RECURRING_PROFIT_SHARE_STDDEV_EST_CIQ" vbProcedure="false">"c5052"</definedName>
    <definedName function="false" hidden="true" name="IQ_RECURRING_PROFIT_STDDEV_EST" vbProcedure="false">"c4516"</definedName>
    <definedName function="false" hidden="true" name="IQ_RECURRING_PROFIT_STDDEV_EST_CIQ" vbProcedure="false">"c5054"</definedName>
    <definedName function="false" hidden="true" name="IQ_REDEEM_PREF_STOCK" vbProcedure="false">"c1417"</definedName>
    <definedName function="false" hidden="true" name="IQ_REF_ENTITY" vbProcedure="false">"c6033"</definedName>
    <definedName function="false" hidden="true" name="IQ_REF_ENTITY_CIQID" vbProcedure="false">"c6024"</definedName>
    <definedName function="false" hidden="true" name="IQ_REF_ENTITY_TICKER" vbProcedure="false">"c6023"</definedName>
    <definedName function="false" hidden="true" name="IQ_REG_ASSETS" vbProcedure="false">"c1095"</definedName>
    <definedName function="false" hidden="true" name="IQ_REINSURANCE" vbProcedure="false">"c1100"</definedName>
    <definedName function="false" hidden="true" name="IQ_REINSUR_PAY" vbProcedure="false">"c1096"</definedName>
    <definedName function="false" hidden="true" name="IQ_REINSUR_PAY_CF" vbProcedure="false">"c1097"</definedName>
    <definedName function="false" hidden="true" name="IQ_REINSUR_RECOVER" vbProcedure="false">"c1098"</definedName>
    <definedName function="false" hidden="true" name="IQ_REINSUR_RECOVER_CF" vbProcedure="false">"c1099"</definedName>
    <definedName function="false" hidden="true" name="IQ_RELATED_PLANS_FDIC" vbProcedure="false">"c6320"</definedName>
    <definedName function="false" hidden="true" name="IQ_RENTAL_REV" vbProcedure="false">"c1101"</definedName>
    <definedName function="false" hidden="true" name="IQ_RESEARCH_DEV" vbProcedure="false">"c1419"</definedName>
    <definedName function="false" hidden="true" name="IQ_RESIDENTIAL_LOANS" vbProcedure="false">"c1102"</definedName>
    <definedName function="false" hidden="true" name="IQ_RESTATEMENTS_NET_FDIC" vbProcedure="false">"c6500"</definedName>
    <definedName function="false" hidden="true" name="IQ_RESTATEMENT_BS" vbProcedure="false">"c1643"</definedName>
    <definedName function="false" hidden="true" name="IQ_RESTATEMENT_CF" vbProcedure="false">"c1644"</definedName>
    <definedName function="false" hidden="true" name="IQ_RESTATEMENT_IS" vbProcedure="false">"c1642"</definedName>
    <definedName function="false" hidden="true" name="IQ_RESTRICTED_CASH" vbProcedure="false">"c1103"</definedName>
    <definedName function="false" hidden="true" name="IQ_RESTRICTED_CASH_NON_CURRENT" vbProcedure="false">"c6192"</definedName>
    <definedName function="false" hidden="true" name="IQ_RESTRICTED_CASH_TOTAL" vbProcedure="false">"c6193"</definedName>
    <definedName function="false" hidden="true" name="IQ_RESTRUCTURE" vbProcedure="false">"c1104"</definedName>
    <definedName function="false" hidden="true" name="IQ_RESTRUCTURED_LOANS" vbProcedure="false">"c1112"</definedName>
    <definedName function="false" hidden="true" name="IQ_RESTRUCTURED_LOANS_1_4_RESIDENTIAL_FDIC" vbProcedure="false">"c6378"</definedName>
    <definedName function="false" hidden="true" name="IQ_RESTRUCTURED_LOANS_LEASES_FDIC" vbProcedure="false">"c6377"</definedName>
    <definedName function="false" hidden="true" name="IQ_RESTRUCTURED_LOANS_NON_1_4_FDIC" vbProcedure="false">"c6379"</definedName>
    <definedName function="false" hidden="true" name="IQ_RESTRUCTURE_BNK" vbProcedure="false">"c1105"</definedName>
    <definedName function="false" hidden="true" name="IQ_RESTRUCTURE_BR" vbProcedure="false">"c1106"</definedName>
    <definedName function="false" hidden="true" name="IQ_RESTRUCTURE_CF" vbProcedure="false">"c1107"</definedName>
    <definedName function="false" hidden="true" name="IQ_RESTRUCTURE_FIN" vbProcedure="false">"c1108"</definedName>
    <definedName function="false" hidden="true" name="IQ_RESTRUCTURE_INS" vbProcedure="false">"c1109"</definedName>
    <definedName function="false" hidden="true" name="IQ_RESTRUCTURE_RE" vbProcedure="false">"c6264"</definedName>
    <definedName function="false" hidden="true" name="IQ_RESTRUCTURE_REIT" vbProcedure="false">"c1110"</definedName>
    <definedName function="false" hidden="true" name="IQ_RESTRUCTURE_UTI" vbProcedure="false">"c1111"</definedName>
    <definedName function="false" hidden="true" name="IQ_RESTR_STOCK_COMP" vbProcedure="false">"c3506"</definedName>
    <definedName function="false" hidden="true" name="IQ_RESTR_STOCK_COMP_PRETAX" vbProcedure="false">"c3504"</definedName>
    <definedName function="false" hidden="true" name="IQ_RESTR_STOCK_COMP_TAX" vbProcedure="false">"c3505"</definedName>
    <definedName function="false" hidden="true" name="IQ_RETAIL_ACQUIRED_FRANCHISE_STORES" vbProcedure="false">"c2895"</definedName>
    <definedName function="false" hidden="true" name="IQ_RETAIL_ACQUIRED_OWNED_STORES" vbProcedure="false">"c2903"</definedName>
    <definedName function="false" hidden="true" name="IQ_RETAIL_ACQUIRED_STORES" vbProcedure="false">"c2887"</definedName>
    <definedName function="false" hidden="true" name="IQ_RETAIL_AVG_STORE_SIZE_GROSS" vbProcedure="false">"c2066"</definedName>
    <definedName function="false" hidden="true" name="IQ_RETAIL_AVG_STORE_SIZE_NET" vbProcedure="false">"c2067"</definedName>
    <definedName function="false" hidden="true" name="IQ_RETAIL_AVG_WK_SALES" vbProcedure="false">"c2891"</definedName>
    <definedName function="false" hidden="true" name="IQ_RETAIL_AVG_WK_SALES_FRANCHISE" vbProcedure="false">"c2899"</definedName>
    <definedName function="false" hidden="true" name="IQ_RETAIL_AVG_WK_SALES_OWNED" vbProcedure="false">"c2907"</definedName>
    <definedName function="false" hidden="true" name="IQ_RETAIL_CLOSED_FRANCHISE_STORES" vbProcedure="false">"c2896"</definedName>
    <definedName function="false" hidden="true" name="IQ_RETAIL_CLOSED_OWNED_STORES" vbProcedure="false">"c2904"</definedName>
    <definedName function="false" hidden="true" name="IQ_RETAIL_CLOSED_STORES" vbProcedure="false">"c2063"</definedName>
    <definedName function="false" hidden="true" name="IQ_RETAIL_DEPOSITS_FDIC" vbProcedure="false">"c6488"</definedName>
    <definedName function="false" hidden="true" name="IQ_RETAIL_FRANCHISE_STORES_BEG" vbProcedure="false">"c2893"</definedName>
    <definedName function="false" hidden="true" name="IQ_RETAIL_OPENED_FRANCHISE_STORES" vbProcedure="false">"c2894"</definedName>
    <definedName function="false" hidden="true" name="IQ_RETAIL_OPENED_OWNED_STORES" vbProcedure="false">"c2902"</definedName>
    <definedName function="false" hidden="true" name="IQ_RETAIL_OPENED_STORES" vbProcedure="false">"c2062"</definedName>
    <definedName function="false" hidden="true" name="IQ_RETAIL_OWNED_STORES_BEG" vbProcedure="false">"c2901"</definedName>
    <definedName function="false" hidden="true" name="IQ_RETAIL_SALES_SQFT_ALL_GROSS" vbProcedure="false">"c2138"</definedName>
    <definedName function="false" hidden="true" name="IQ_RETAIL_SALES_SQFT_ALL_NET" vbProcedure="false">"c2139"</definedName>
    <definedName function="false" hidden="true" name="IQ_RETAIL_SALES_SQFT_COMPARABLE_GROSS" vbProcedure="false">"c2136"</definedName>
    <definedName function="false" hidden="true" name="IQ_RETAIL_SALES_SQFT_COMPARABLE_NET" vbProcedure="false">"c2137"</definedName>
    <definedName function="false" hidden="true" name="IQ_RETAIL_SALES_SQFT_OWNED_GROSS" vbProcedure="false">"c2134"</definedName>
    <definedName function="false" hidden="true" name="IQ_RETAIL_SALES_SQFT_OWNED_NET" vbProcedure="false">"c2135"</definedName>
    <definedName function="false" hidden="true" name="IQ_RETAIL_SOLD_FRANCHISE_STORES" vbProcedure="false">"c2897"</definedName>
    <definedName function="false" hidden="true" name="IQ_RETAIL_SOLD_OWNED_STORES" vbProcedure="false">"c2905"</definedName>
    <definedName function="false" hidden="true" name="IQ_RETAIL_SOLD_STORES" vbProcedure="false">"c2889"</definedName>
    <definedName function="false" hidden="true" name="IQ_RETAIL_SQ_FOOTAGE" vbProcedure="false">"c2064"</definedName>
    <definedName function="false" hidden="true" name="IQ_RETAIL_STORES_BEG" vbProcedure="false">"c2885"</definedName>
    <definedName function="false" hidden="true" name="IQ_RETAIL_STORE_SELLING_AREA" vbProcedure="false">"c2065"</definedName>
    <definedName function="false" hidden="true" name="IQ_RETAIL_TOTAL_FRANCHISE_STORES" vbProcedure="false">"c2898"</definedName>
    <definedName function="false" hidden="true" name="IQ_RETAIL_TOTAL_OWNED_STORES" vbProcedure="false">"c2906"</definedName>
    <definedName function="false" hidden="true" name="IQ_RETAIL_TOTAL_STORES" vbProcedure="false">"c2061"</definedName>
    <definedName function="false" hidden="true" name="IQ_RETAINED_EARN" vbProcedure="false">"c1420"</definedName>
    <definedName function="false" hidden="true" name="IQ_RETAINED_EARNINGS_AVERAGE_EQUITY_FDIC" vbProcedure="false">"c6733"</definedName>
    <definedName function="false" hidden="true" name="IQ_RETURN_ASSETS" vbProcedure="false">"c1113"</definedName>
    <definedName function="false" hidden="true" name="IQ_RETURN_ASSETS_ACT_OR_EST" vbProcedure="false">"c3585"</definedName>
    <definedName function="false" hidden="true" name="IQ_RETURN_ASSETS_BANK" vbProcedure="false">"c1114"</definedName>
    <definedName function="false" hidden="true" name="IQ_RETURN_ASSETS_BROK" vbProcedure="false">"c1115"</definedName>
    <definedName function="false" hidden="true" name="IQ_RETURN_ASSETS_EST" vbProcedure="false">"c3529"</definedName>
    <definedName function="false" hidden="true" name="IQ_RETURN_ASSETS_EST_CIQ" vbProcedure="false">"c3828"</definedName>
    <definedName function="false" hidden="true" name="IQ_RETURN_ASSETS_FDIC" vbProcedure="false">"c6730"</definedName>
    <definedName function="false" hidden="true" name="IQ_RETURN_ASSETS_FS" vbProcedure="false">"c1116"</definedName>
    <definedName function="false" hidden="true" name="IQ_RETURN_ASSETS_GUIDANCE" vbProcedure="false">"c4517"</definedName>
    <definedName function="false" hidden="true" name="IQ_RETURN_ASSETS_GUIDANCE_CIQ" vbProcedure="false">"c5055"</definedName>
    <definedName function="false" hidden="true" name="IQ_RETURN_ASSETS_HIGH_EST" vbProcedure="false">"c3530"</definedName>
    <definedName function="false" hidden="true" name="IQ_RETURN_ASSETS_HIGH_EST_CIQ" vbProcedure="false">"c3830"</definedName>
    <definedName function="false" hidden="true" name="IQ_RETURN_ASSETS_HIGH_GUIDANCE" vbProcedure="false">"c4183"</definedName>
    <definedName function="false" hidden="true" name="IQ_RETURN_ASSETS_HIGH_GUIDANCE_CIQ" vbProcedure="false">"c4595"</definedName>
    <definedName function="false" hidden="true" name="IQ_RETURN_ASSETS_LOW_EST" vbProcedure="false">"c3531"</definedName>
    <definedName function="false" hidden="true" name="IQ_RETURN_ASSETS_LOW_EST_CIQ" vbProcedure="false">"c3831"</definedName>
    <definedName function="false" hidden="true" name="IQ_RETURN_ASSETS_LOW_GUIDANCE" vbProcedure="false">"c4223"</definedName>
    <definedName function="false" hidden="true" name="IQ_RETURN_ASSETS_LOW_GUIDANCE_CIQ" vbProcedure="false">"c4635"</definedName>
    <definedName function="false" hidden="true" name="IQ_RETURN_ASSETS_MEDIAN_EST" vbProcedure="false">"c3532"</definedName>
    <definedName function="false" hidden="true" name="IQ_RETURN_ASSETS_MEDIAN_EST_CIQ" vbProcedure="false">"c3829"</definedName>
    <definedName function="false" hidden="true" name="IQ_RETURN_ASSETS_NUM_EST" vbProcedure="false">"c3527"</definedName>
    <definedName function="false" hidden="true" name="IQ_RETURN_ASSETS_NUM_EST_CIQ" vbProcedure="false">"c3832"</definedName>
    <definedName function="false" hidden="true" name="IQ_RETURN_ASSETS_STDDEV_EST" vbProcedure="false">"c3528"</definedName>
    <definedName function="false" hidden="true" name="IQ_RETURN_ASSETS_STDDEV_EST_CIQ" vbProcedure="false">"c3833"</definedName>
    <definedName function="false" hidden="true" name="IQ_RETURN_CAPITAL" vbProcedure="false">"c1117"</definedName>
    <definedName function="false" hidden="true" name="IQ_RETURN_EQUITY" vbProcedure="false">"c1118"</definedName>
    <definedName function="false" hidden="true" name="IQ_RETURN_EQUITY_ACT_OR_EST" vbProcedure="false">"c3586"</definedName>
    <definedName function="false" hidden="true" name="IQ_RETURN_EQUITY_BANK" vbProcedure="false">"c1119"</definedName>
    <definedName function="false" hidden="true" name="IQ_RETURN_EQUITY_BROK" vbProcedure="false">"c1120"</definedName>
    <definedName function="false" hidden="true" name="IQ_RETURN_EQUITY_EST" vbProcedure="false">"c3535"</definedName>
    <definedName function="false" hidden="true" name="IQ_RETURN_EQUITY_EST_CIQ" vbProcedure="false">"c3821"</definedName>
    <definedName function="false" hidden="true" name="IQ_RETURN_EQUITY_FDIC" vbProcedure="false">"c6732"</definedName>
    <definedName function="false" hidden="true" name="IQ_RETURN_EQUITY_FS" vbProcedure="false">"c1121"</definedName>
    <definedName function="false" hidden="true" name="IQ_RETURN_EQUITY_GUIDANCE" vbProcedure="false">"c4518"</definedName>
    <definedName function="false" hidden="true" name="IQ_RETURN_EQUITY_GUIDANCE_CIQ" vbProcedure="false">"c5056"</definedName>
    <definedName function="false" hidden="true" name="IQ_RETURN_EQUITY_HIGH_EST" vbProcedure="false">"c3536"</definedName>
    <definedName function="false" hidden="true" name="IQ_RETURN_EQUITY_HIGH_EST_CIQ" vbProcedure="false">"c3823"</definedName>
    <definedName function="false" hidden="true" name="IQ_RETURN_EQUITY_HIGH_GUIDANCE" vbProcedure="false">"c4182"</definedName>
    <definedName function="false" hidden="true" name="IQ_RETURN_EQUITY_HIGH_GUIDANCE_CIQ" vbProcedure="false">"c4594"</definedName>
    <definedName function="false" hidden="true" name="IQ_RETURN_EQUITY_LOW_EST" vbProcedure="false">"c3537"</definedName>
    <definedName function="false" hidden="true" name="IQ_RETURN_EQUITY_LOW_EST_CIQ" vbProcedure="false">"c3824"</definedName>
    <definedName function="false" hidden="true" name="IQ_RETURN_EQUITY_LOW_GUIDANCE" vbProcedure="false">"c4222"</definedName>
    <definedName function="false" hidden="true" name="IQ_RETURN_EQUITY_LOW_GUIDANCE_CIQ" vbProcedure="false">"c4634"</definedName>
    <definedName function="false" hidden="true" name="IQ_RETURN_EQUITY_MEDIAN_EST" vbProcedure="false">"c3538"</definedName>
    <definedName function="false" hidden="true" name="IQ_RETURN_EQUITY_MEDIAN_EST_CIQ" vbProcedure="false">"c3822"</definedName>
    <definedName function="false" hidden="true" name="IQ_RETURN_EQUITY_NUM_EST" vbProcedure="false">"c3533"</definedName>
    <definedName function="false" hidden="true" name="IQ_RETURN_EQUITY_NUM_EST_CIQ" vbProcedure="false">"c3825"</definedName>
    <definedName function="false" hidden="true" name="IQ_RETURN_EQUITY_STDDEV_EST" vbProcedure="false">"c3534"</definedName>
    <definedName function="false" hidden="true" name="IQ_RETURN_EQUITY_STDDEV_EST_CIQ" vbProcedure="false">"c3826"</definedName>
    <definedName function="false" hidden="true" name="IQ_RETURN_INVESTMENT" vbProcedure="false">"c1421"</definedName>
    <definedName function="false" hidden="true" name="IQ_REV" vbProcedure="false">"c1122"</definedName>
    <definedName function="false" hidden="true" name="IQ_REVALUATION_GAINS_FDIC" vbProcedure="false">"c6428"</definedName>
    <definedName function="false" hidden="true" name="IQ_REVALUATION_LOSSES_FDIC" vbProcedure="false">"c6429"</definedName>
    <definedName function="false" hidden="true" name="IQ_REVENUE" vbProcedure="false">"c1422"</definedName>
    <definedName function="false" hidden="true" name="IQ_REVENUE_ACT_OR_EST" vbProcedure="false">"c2214"</definedName>
    <definedName function="false" hidden="true" name="IQ_REVENUE_ACT_OR_EST_CIQ" vbProcedure="false">"c5059"</definedName>
    <definedName function="false" hidden="true" name="IQ_REVENUE_EST" vbProcedure="false">"c1126"</definedName>
    <definedName function="false" hidden="true" name="IQ_REVENUE_EST_BOTTOM_UP" vbProcedure="false">"c5488"</definedName>
    <definedName function="false" hidden="true" name="IQ_REVENUE_EST_CIQ" vbProcedure="false">"c3616"</definedName>
    <definedName function="false" hidden="true" name="IQ_REVENUE_EST_REUT" vbProcedure="false">"c3634"</definedName>
    <definedName function="false" hidden="true" name="IQ_REVENUE_GUIDANCE" vbProcedure="false">"c4519"</definedName>
    <definedName function="false" hidden="true" name="IQ_REVENUE_GUIDANCE_CIQ" vbProcedure="false">"c5057"</definedName>
    <definedName function="false" hidden="true" name="IQ_REVENUE_HIGH_EST" vbProcedure="false">"c1127"</definedName>
    <definedName function="false" hidden="true" name="IQ_REVENUE_HIGH_EST_CIQ" vbProcedure="false">"c3618"</definedName>
    <definedName function="false" hidden="true" name="IQ_REVENUE_HIGH_EST_REUT" vbProcedure="false">"c3636"</definedName>
    <definedName function="false" hidden="true" name="IQ_REVENUE_HIGH_GUIDANCE" vbProcedure="false">"c4169"</definedName>
    <definedName function="false" hidden="true" name="IQ_REVENUE_HIGH_GUIDANCE_CIQ" vbProcedure="false">"c4581"</definedName>
    <definedName function="false" hidden="true" name="IQ_REVENUE_LOW_EST" vbProcedure="false">"c1128"</definedName>
    <definedName function="false" hidden="true" name="IQ_REVENUE_LOW_EST_CIQ" vbProcedure="false">"c3619"</definedName>
    <definedName function="false" hidden="true" name="IQ_REVENUE_LOW_EST_REUT" vbProcedure="false">"c3637"</definedName>
    <definedName function="false" hidden="true" name="IQ_REVENUE_LOW_GUIDANCE" vbProcedure="false">"c4209"</definedName>
    <definedName function="false" hidden="true" name="IQ_REVENUE_LOW_GUIDANCE_CIQ" vbProcedure="false">"c4621"</definedName>
    <definedName function="false" hidden="true" name="IQ_REVENUE_MEDIAN_EST" vbProcedure="false">"c1662"</definedName>
    <definedName function="false" hidden="true" name="IQ_REVENUE_MEDIAN_EST_CIQ" vbProcedure="false">"c3617"</definedName>
    <definedName function="false" hidden="true" name="IQ_REVENUE_MEDIAN_EST_REUT" vbProcedure="false">"c3635"</definedName>
    <definedName function="false" hidden="true" name="IQ_REVENUE_NUM_EST" vbProcedure="false">"c1129"</definedName>
    <definedName function="false" hidden="true" name="IQ_REVENUE_NUM_EST_CIQ" vbProcedure="false">"c3620"</definedName>
    <definedName function="false" hidden="true" name="IQ_REVENUE_NUM_EST_REUT" vbProcedure="false">"c3638"</definedName>
    <definedName function="false" hidden="true" name="IQ_REVISION_DATE_" vbProcedure="false">39764.6724421296</definedName>
    <definedName function="false" hidden="true" name="IQ_REV_BEFORE_LL" vbProcedure="false">"c1123"</definedName>
    <definedName function="false" hidden="true" name="IQ_REV_STDDEV_EST" vbProcedure="false">"c1124"</definedName>
    <definedName function="false" hidden="true" name="IQ_REV_STDDEV_EST_CIQ" vbProcedure="false">"c3621"</definedName>
    <definedName function="false" hidden="true" name="IQ_REV_STDDEV_EST_REUT" vbProcedure="false">"c3639"</definedName>
    <definedName function="false" hidden="true" name="IQ_REV_UTI" vbProcedure="false">"c1125"</definedName>
    <definedName function="false" hidden="true" name="IQ_RE_FORECLOSURE_FDIC" vbProcedure="false">"c6332"</definedName>
    <definedName function="false" hidden="true" name="IQ_RE_INVEST_FDIC" vbProcedure="false">"c6331"</definedName>
    <definedName function="false" hidden="true" name="IQ_RE_LOANS_DOMESTIC_CHARGE_OFFS_FDIC" vbProcedure="false">"c6589"</definedName>
    <definedName function="false" hidden="true" name="IQ_RE_LOANS_DOMESTIC_FDIC" vbProcedure="false">"c6309"</definedName>
    <definedName function="false" hidden="true" name="IQ_RE_LOANS_DOMESTIC_NET_CHARGE_OFFS_FDIC" vbProcedure="false">"c6627"</definedName>
    <definedName function="false" hidden="true" name="IQ_RE_LOANS_DOMESTIC_RECOVERIES_FDIC" vbProcedure="false">"c6608"</definedName>
    <definedName function="false" hidden="true" name="IQ_RE_LOANS_FDIC" vbProcedure="false">"c6308"</definedName>
    <definedName function="false" hidden="true" name="IQ_RE_LOANS_FOREIGN_CHARGE_OFFS_FDIC" vbProcedure="false">"c6595"</definedName>
    <definedName function="false" hidden="true" name="IQ_RE_LOANS_FOREIGN_NET_CHARGE_OFFS_FDIC" vbProcedure="false">"c6633"</definedName>
    <definedName function="false" hidden="true" name="IQ_RE_LOANS_FOREIGN_RECOVERIES_FDIC" vbProcedure="false">"c6614"</definedName>
    <definedName function="false" hidden="true" name="IQ_RISK_ADJ_BANK_ASSETS" vbProcedure="false">"c2670"</definedName>
    <definedName function="false" hidden="true" name="IQ_RISK_WEIGHTED_ASSETS_FDIC" vbProcedure="false">"c6370"</definedName>
    <definedName function="false" hidden="true" name="IQ_SALARY" vbProcedure="false">"c1130"</definedName>
    <definedName function="false" hidden="true" name="IQ_SALARY_FDIC" vbProcedure="false">"c6576"</definedName>
    <definedName function="false" hidden="true" name="IQ_SALES_MARKETING" vbProcedure="false">"c2240"</definedName>
    <definedName function="false" hidden="true" name="IQ_SALE_CONVERSION_RETIREMENT_STOCK_FDIC" vbProcedure="false">"c6661"</definedName>
    <definedName function="false" hidden="true" name="IQ_SALE_INTAN_CF" vbProcedure="false">"c1131"</definedName>
    <definedName function="false" hidden="true" name="IQ_SALE_INTAN_CF_BNK" vbProcedure="false">"c1132"</definedName>
    <definedName function="false" hidden="true" name="IQ_SALE_INTAN_CF_BR" vbProcedure="false">"c1133"</definedName>
    <definedName function="false" hidden="true" name="IQ_SALE_INTAN_CF_FIN" vbProcedure="false">"c1134"</definedName>
    <definedName function="false" hidden="true" name="IQ_SALE_INTAN_CF_INS" vbProcedure="false">"c1135"</definedName>
    <definedName function="false" hidden="true" name="IQ_SALE_INTAN_CF_RE" vbProcedure="false">"c6284"</definedName>
    <definedName function="false" hidden="true" name="IQ_SALE_INTAN_CF_REIT" vbProcedure="false">"c1627"</definedName>
    <definedName function="false" hidden="true" name="IQ_SALE_INTAN_CF_UTI" vbProcedure="false">"c1136"</definedName>
    <definedName function="false" hidden="true" name="IQ_SALE_PPE_CF" vbProcedure="false">"c1137"</definedName>
    <definedName function="false" hidden="true" name="IQ_SALE_PPE_CF_BNK" vbProcedure="false">"c1138"</definedName>
    <definedName function="false" hidden="true" name="IQ_SALE_PPE_CF_BR" vbProcedure="false">"c1139"</definedName>
    <definedName function="false" hidden="true" name="IQ_SALE_PPE_CF_FIN" vbProcedure="false">"c1140"</definedName>
    <definedName function="false" hidden="true" name="IQ_SALE_PPE_CF_INS" vbProcedure="false">"c1141"</definedName>
    <definedName function="false" hidden="true" name="IQ_SALE_PPE_CF_UTI" vbProcedure="false">"c1142"</definedName>
    <definedName function="false" hidden="true" name="IQ_SALE_REAL_ESTATE_CF" vbProcedure="false">"c1143"</definedName>
    <definedName function="false" hidden="true" name="IQ_SALE_REAL_ESTATE_CF_BNK" vbProcedure="false">"c1144"</definedName>
    <definedName function="false" hidden="true" name="IQ_SALE_REAL_ESTATE_CF_BR" vbProcedure="false">"c1145"</definedName>
    <definedName function="false" hidden="true" name="IQ_SALE_REAL_ESTATE_CF_FIN" vbProcedure="false">"c1146"</definedName>
    <definedName function="false" hidden="true" name="IQ_SALE_REAL_ESTATE_CF_INS" vbProcedure="false">"c1147"</definedName>
    <definedName function="false" hidden="true" name="IQ_SALE_REAL_ESTATE_CF_UTI" vbProcedure="false">"c1148"</definedName>
    <definedName function="false" hidden="true" name="IQ_SALE_RE_ASSETS" vbProcedure="false">"c1629"</definedName>
    <definedName function="false" hidden="true" name="IQ_SAME_STORE" vbProcedure="false">"c1149"</definedName>
    <definedName function="false" hidden="true" name="IQ_SAME_STORE_FRANCHISE" vbProcedure="false">"c2900"</definedName>
    <definedName function="false" hidden="true" name="IQ_SAME_STORE_OWNED" vbProcedure="false">"c2908"</definedName>
    <definedName function="false" hidden="true" name="IQ_SAME_STORE_TOTAL" vbProcedure="false">"c2892"</definedName>
    <definedName function="false" hidden="true" name="IQ_SAVING_DEP" vbProcedure="false">"c1150"</definedName>
    <definedName function="false" hidden="true" name="IQ_SECURED_1_4_FAMILY_RESIDENTIAL_CHARGE_OFFS_FDIC" vbProcedure="false">"c6590"</definedName>
    <definedName function="false" hidden="true" name="IQ_SECURED_1_4_FAMILY_RESIDENTIAL_NET_CHARGE_OFFS_FDIC" vbProcedure="false">"c6628"</definedName>
    <definedName function="false" hidden="true" name="IQ_SECURED_1_4_FAMILY_RESIDENTIAL_RECOVERIES_FDIC" vbProcedure="false">"c6609"</definedName>
    <definedName function="false" hidden="true" name="IQ_SECURED_DEBT" vbProcedure="false">"c2546"</definedName>
    <definedName function="false" hidden="true" name="IQ_SECURED_DEBT_PCT" vbProcedure="false">"c2547"</definedName>
    <definedName function="false" hidden="true" name="IQ_SECURED_FARMLAND_CHARGE_OFFS_FDIC" vbProcedure="false">"c6593"</definedName>
    <definedName function="false" hidden="true" name="IQ_SECURED_FARMLAND_NET_CHARGE_OFFS_FDIC" vbProcedure="false">"c6631"</definedName>
    <definedName function="false" hidden="true" name="IQ_SECURED_FARMLAND_RECOVERIES_FDIC" vbProcedure="false">"c6612"</definedName>
    <definedName function="false" hidden="true" name="IQ_SECURED_MULTIFAMILY_RESIDENTIAL_CHARGE_OFFS_FDIC" vbProcedure="false">"c6591"</definedName>
    <definedName function="false" hidden="true" name="IQ_SECURED_MULTIFAMILY_RESIDENTIAL_NET_CHARGE_OFFS_FDIC" vbProcedure="false">"c6629"</definedName>
    <definedName function="false" hidden="true" name="IQ_SECURED_MULTIFAMILY_RESIDENTIAL_RECOVERIES_FDIC" vbProcedure="false">"c6610"</definedName>
    <definedName function="false" hidden="true" name="IQ_SECURED_NONFARM_NONRESIDENTIAL_CHARGE_OFFS_FDIC" vbProcedure="false">"c6592"</definedName>
    <definedName function="false" hidden="true" name="IQ_SECURED_NONFARM_NONRESIDENTIAL_NET_CHARGE_OFFS_FDIC" vbProcedure="false">"c6630"</definedName>
    <definedName function="false" hidden="true" name="IQ_SECURED_NONFARM_NONRESIDENTIAL_RECOVERIES_FDIC" vbProcedure="false">"c6611"</definedName>
    <definedName function="false" hidden="true" name="IQ_SECURITIES_GAINS_FDIC" vbProcedure="false">"c6584"</definedName>
    <definedName function="false" hidden="true" name="IQ_SECURITIES_ISSUED_STATES_FDIC" vbProcedure="false">"c6300"</definedName>
    <definedName function="false" hidden="true" name="IQ_SECURITIES_LENT_FDIC" vbProcedure="false">"c6532"</definedName>
    <definedName function="false" hidden="true" name="IQ_SECURITIES_UNDERWRITING_FDIC" vbProcedure="false">"c6529"</definedName>
    <definedName function="false" hidden="true" name="IQ_SECURITY_BORROW" vbProcedure="false">"c1152"</definedName>
    <definedName function="false" hidden="true" name="IQ_SECURITY_LEVEL" vbProcedure="false">"c2159"</definedName>
    <definedName function="false" hidden="true" name="IQ_SECURITY_NOTES" vbProcedure="false">"c2202"</definedName>
    <definedName function="false" hidden="true" name="IQ_SECURITY_OWN" vbProcedure="false">"c1153"</definedName>
    <definedName function="false" hidden="true" name="IQ_SECURITY_RESELL" vbProcedure="false">"c1154"</definedName>
    <definedName function="false" hidden="true" name="IQ_SECURITY_TYPE" vbProcedure="false">"c2158"</definedName>
    <definedName function="false" hidden="true" name="IQ_SECUR_RECEIV" vbProcedure="false">"c1151"</definedName>
    <definedName function="false" hidden="true" name="IQ_SEC_PURCHASED_RESELL" vbProcedure="false">"c5513"</definedName>
    <definedName function="false" hidden="true" name="IQ_SEPARATE_ACCT_ASSETS" vbProcedure="false">"c1155"</definedName>
    <definedName function="false" hidden="true" name="IQ_SEPARATE_ACCT_LIAB" vbProcedure="false">"c1156"</definedName>
    <definedName function="false" hidden="true" name="IQ_SERVICE_CHARGES_FDIC" vbProcedure="false">"c6572"</definedName>
    <definedName function="false" hidden="true" name="IQ_SERV_CHARGE_DEPOSITS" vbProcedure="false">"c1157"</definedName>
    <definedName function="false" hidden="true" name="IQ_SGA" vbProcedure="false">"c1158"</definedName>
    <definedName function="false" hidden="true" name="IQ_SGA_BNK" vbProcedure="false">"c1159"</definedName>
    <definedName function="false" hidden="true" name="IQ_SGA_INS" vbProcedure="false">"c1160"</definedName>
    <definedName function="false" hidden="true" name="IQ_SGA_MARGIN" vbProcedure="false">"c1898"</definedName>
    <definedName function="false" hidden="true" name="IQ_SGA_RE" vbProcedure="false">"c6265"</definedName>
    <definedName function="false" hidden="true" name="IQ_SGA_REIT" vbProcedure="false">"c1161"</definedName>
    <definedName function="false" hidden="true" name="IQ_SGA_SUPPL" vbProcedure="false">"c1162"</definedName>
    <definedName function="false" hidden="true" name="IQ_SGA_UTI" vbProcedure="false">"c1163"</definedName>
    <definedName function="false" hidden="true" name="IQ_SHAREOUTSTANDING" vbProcedure="false">"c1347"</definedName>
    <definedName function="false" hidden="true" name="IQ_SHARESOUTSTANDING" vbProcedure="false">"c1164"</definedName>
    <definedName function="false" hidden="true" name="IQ_SHARES_PURCHASED_AVERAGE_PRICE" vbProcedure="false">"c5821"</definedName>
    <definedName function="false" hidden="true" name="IQ_SHARES_PURCHASED_QUARTER" vbProcedure="false">"c5820"</definedName>
    <definedName function="false" hidden="true" name="IQ_SHORT_INTEREST" vbProcedure="false">"c1165"</definedName>
    <definedName function="false" hidden="true" name="IQ_SHORT_INTEREST_OVER_FLOAT" vbProcedure="false">"c1577"</definedName>
    <definedName function="false" hidden="true" name="IQ_SHORT_INTEREST_PERCENT" vbProcedure="false">"c1576"</definedName>
    <definedName function="false" hidden="true" name="IQ_SHORT_TERM_INVEST" vbProcedure="false">"c1425"</definedName>
    <definedName function="false" hidden="true" name="IQ_SMALL_INT_BEAR_CD" vbProcedure="false">"c1166"</definedName>
    <definedName function="false" hidden="true" name="IQ_SOFTWARE" vbProcedure="false">"c1167"</definedName>
    <definedName function="false" hidden="true" name="IQ_SOURCE" vbProcedure="false">"c1168"</definedName>
    <definedName function="false" hidden="true" name="IQ_SPECIAL_DIV_CF" vbProcedure="false">"c1169"</definedName>
    <definedName function="false" hidden="true" name="IQ_SPECIAL_DIV_CF_BNK" vbProcedure="false">"c1170"</definedName>
    <definedName function="false" hidden="true" name="IQ_SPECIAL_DIV_CF_BR" vbProcedure="false">"c1171"</definedName>
    <definedName function="false" hidden="true" name="IQ_SPECIAL_DIV_CF_FIN" vbProcedure="false">"c1172"</definedName>
    <definedName function="false" hidden="true" name="IQ_SPECIAL_DIV_CF_INS" vbProcedure="false">"c1173"</definedName>
    <definedName function="false" hidden="true" name="IQ_SPECIAL_DIV_CF_RE" vbProcedure="false">"c6266"</definedName>
    <definedName function="false" hidden="true" name="IQ_SPECIAL_DIV_CF_REIT" vbProcedure="false">"c1174"</definedName>
    <definedName function="false" hidden="true" name="IQ_SPECIAL_DIV_CF_UTI" vbProcedure="false">"c1175"</definedName>
    <definedName function="false" hidden="true" name="IQ_SPECIAL_DIV_SHARE" vbProcedure="false">"c3007"</definedName>
    <definedName function="false" hidden="true" name="IQ_SP_BANK" vbProcedure="false">"c2637"</definedName>
    <definedName function="false" hidden="true" name="IQ_SP_BANK_ACTION" vbProcedure="false">"c2636"</definedName>
    <definedName function="false" hidden="true" name="IQ_SP_BANK_DATE" vbProcedure="false">"c2635"</definedName>
    <definedName function="false" hidden="true" name="IQ_SP_FIN_ENHANCE_FX" vbProcedure="false">"c2631"</definedName>
    <definedName function="false" hidden="true" name="IQ_SP_FIN_ENHANCE_FX_ACTION" vbProcedure="false">"c2630"</definedName>
    <definedName function="false" hidden="true" name="IQ_SP_FIN_ENHANCE_FX_DATE" vbProcedure="false">"c2629"</definedName>
    <definedName function="false" hidden="true" name="IQ_SP_FIN_ENHANCE_LC" vbProcedure="false">"c2634"</definedName>
    <definedName function="false" hidden="true" name="IQ_SP_FIN_ENHANCE_LC_ACTION" vbProcedure="false">"c2633"</definedName>
    <definedName function="false" hidden="true" name="IQ_SP_FIN_ENHANCE_LC_DATE" vbProcedure="false">"c2632"</definedName>
    <definedName function="false" hidden="true" name="IQ_SP_FIN_STRENGTH_LC_ACTION_LT" vbProcedure="false">"c2625"</definedName>
    <definedName function="false" hidden="true" name="IQ_SP_FIN_STRENGTH_LC_ACTION_ST" vbProcedure="false">"c2626"</definedName>
    <definedName function="false" hidden="true" name="IQ_SP_FIN_STRENGTH_LC_DATE_LT" vbProcedure="false">"c2623"</definedName>
    <definedName function="false" hidden="true" name="IQ_SP_FIN_STRENGTH_LC_DATE_ST" vbProcedure="false">"c2624"</definedName>
    <definedName function="false" hidden="true" name="IQ_SP_FIN_STRENGTH_LC_LT" vbProcedure="false">"c2627"</definedName>
    <definedName function="false" hidden="true" name="IQ_SP_FIN_STRENGTH_LC_ST" vbProcedure="false">"c2628"</definedName>
    <definedName function="false" hidden="true" name="IQ_SP_FX_ACTION_LT" vbProcedure="false">"c2613"</definedName>
    <definedName function="false" hidden="true" name="IQ_SP_FX_ACTION_ST" vbProcedure="false">"c2614"</definedName>
    <definedName function="false" hidden="true" name="IQ_SP_FX_DATE_LT" vbProcedure="false">"c2611"</definedName>
    <definedName function="false" hidden="true" name="IQ_SP_FX_DATE_ST" vbProcedure="false">"c2612"</definedName>
    <definedName function="false" hidden="true" name="IQ_SP_FX_LT" vbProcedure="false">"c2615"</definedName>
    <definedName function="false" hidden="true" name="IQ_SP_FX_ST" vbProcedure="false">"c2616"</definedName>
    <definedName function="false" hidden="true" name="IQ_SP_ISSUE_ACTION" vbProcedure="false">"c2644"</definedName>
    <definedName function="false" hidden="true" name="IQ_SP_ISSUE_DATE" vbProcedure="false">"c2643"</definedName>
    <definedName function="false" hidden="true" name="IQ_SP_ISSUE_LT" vbProcedure="false">"c2645"</definedName>
    <definedName function="false" hidden="true" name="IQ_SP_ISSUE_OUTLOOK_WATCH" vbProcedure="false">"c2650"</definedName>
    <definedName function="false" hidden="true" name="IQ_SP_ISSUE_OUTLOOK_WATCH_DATE" vbProcedure="false">"c2649"</definedName>
    <definedName function="false" hidden="true" name="IQ_SP_ISSUE_RECOVER" vbProcedure="false">"c2648"</definedName>
    <definedName function="false" hidden="true" name="IQ_SP_ISSUE_RECOVER_ACTION" vbProcedure="false">"c2647"</definedName>
    <definedName function="false" hidden="true" name="IQ_SP_ISSUE_RECOVER_DATE" vbProcedure="false">"c2646"</definedName>
    <definedName function="false" hidden="true" name="IQ_SP_LC_ACTION_LT" vbProcedure="false">"c2619"</definedName>
    <definedName function="false" hidden="true" name="IQ_SP_LC_ACTION_ST" vbProcedure="false">"c2620"</definedName>
    <definedName function="false" hidden="true" name="IQ_SP_LC_DATE_LT" vbProcedure="false">"c2617"</definedName>
    <definedName function="false" hidden="true" name="IQ_SP_LC_DATE_ST" vbProcedure="false">"c2618"</definedName>
    <definedName function="false" hidden="true" name="IQ_SP_LC_LT" vbProcedure="false">"c2621"</definedName>
    <definedName function="false" hidden="true" name="IQ_SP_LC_ST" vbProcedure="false">"c2622"</definedName>
    <definedName function="false" hidden="true" name="IQ_SP_OUTLOOK_WATCH" vbProcedure="false">"c2639"</definedName>
    <definedName function="false" hidden="true" name="IQ_SP_OUTLOOK_WATCH_DATE" vbProcedure="false">"c2638"</definedName>
    <definedName function="false" hidden="true" name="IQ_SR_BONDS_NOTES" vbProcedure="false">"c2501"</definedName>
    <definedName function="false" hidden="true" name="IQ_SR_BONDS_NOTES_PCT" vbProcedure="false">"c2502"</definedName>
    <definedName function="false" hidden="true" name="IQ_SR_DEBT" vbProcedure="false">"c2526"</definedName>
    <definedName function="false" hidden="true" name="IQ_SR_DEBT_EBITDA" vbProcedure="false">"c2552"</definedName>
    <definedName function="false" hidden="true" name="IQ_SR_DEBT_EBITDA_CAPEX" vbProcedure="false">"c2553"</definedName>
    <definedName function="false" hidden="true" name="IQ_SR_DEBT_PCT" vbProcedure="false">"c2527"</definedName>
    <definedName function="false" hidden="true" name="IQ_SR_SUB_DEBT" vbProcedure="false">"c2530"</definedName>
    <definedName function="false" hidden="true" name="IQ_SR_SUB_DEBT_EBITDA" vbProcedure="false">"c2556"</definedName>
    <definedName function="false" hidden="true" name="IQ_SR_SUB_DEBT_EBITDA_CAPEX" vbProcedure="false">"c2557"</definedName>
    <definedName function="false" hidden="true" name="IQ_SR_SUB_DEBT_PCT" vbProcedure="false">"c2531"</definedName>
    <definedName function="false" hidden="true" name="IQ_STATE" vbProcedure="false">"c1200"</definedName>
    <definedName function="false" hidden="true" name="IQ_STATES_NONTRANSACTION_ACCOUNTS_FDIC" vbProcedure="false">"c6547"</definedName>
    <definedName function="false" hidden="true" name="IQ_STATES_TOTAL_DEPOSITS_FDIC" vbProcedure="false">"c6473"</definedName>
    <definedName function="false" hidden="true" name="IQ_STATES_TRANSACTION_ACCOUNTS_FDIC" vbProcedure="false">"c6539"</definedName>
    <definedName function="false" hidden="true" name="IQ_STATUTORY_SURPLUS" vbProcedure="false">"c1201"</definedName>
    <definedName function="false" hidden="true" name="IQ_STOCK_BASED" vbProcedure="false">"c1202"</definedName>
    <definedName function="false" hidden="true" name="IQ_STOCK_BASED_AT" vbProcedure="false">"c2999"</definedName>
    <definedName function="false" hidden="true" name="IQ_STOCK_BASED_CF" vbProcedure="false">"c1203"</definedName>
    <definedName function="false" hidden="true" name="IQ_STOCK_BASED_COGS" vbProcedure="false">"c2990"</definedName>
    <definedName function="false" hidden="true" name="IQ_STOCK_BASED_COMP" vbProcedure="false">"c3512"</definedName>
    <definedName function="false" hidden="true" name="IQ_STOCK_BASED_COMP_PRETAX" vbProcedure="false">"c3510"</definedName>
    <definedName function="false" hidden="true" name="IQ_STOCK_BASED_COMP_TAX" vbProcedure="false">"c3511"</definedName>
    <definedName function="false" hidden="true" name="IQ_STOCK_BASED_EST" vbProcedure="false">"c4520"</definedName>
    <definedName function="false" hidden="true" name="IQ_STOCK_BASED_EST_CIQ" vbProcedure="false">"c5073"</definedName>
    <definedName function="false" hidden="true" name="IQ_STOCK_BASED_GA" vbProcedure="false">"c2993"</definedName>
    <definedName function="false" hidden="true" name="IQ_STOCK_BASED_HIGH_EST" vbProcedure="false">"c4521"</definedName>
    <definedName function="false" hidden="true" name="IQ_STOCK_BASED_HIGH_EST_CIQ" vbProcedure="false">"c5074"</definedName>
    <definedName function="false" hidden="true" name="IQ_STOCK_BASED_LOW_EST" vbProcedure="false">"c4522"</definedName>
    <definedName function="false" hidden="true" name="IQ_STOCK_BASED_LOW_EST_CIQ" vbProcedure="false">"c5075"</definedName>
    <definedName function="false" hidden="true" name="IQ_STOCK_BASED_MEDIAN_EST" vbProcedure="false">"c4523"</definedName>
    <definedName function="false" hidden="true" name="IQ_STOCK_BASED_MEDIAN_EST_CIQ" vbProcedure="false">"c5076"</definedName>
    <definedName function="false" hidden="true" name="IQ_STOCK_BASED_NUM_EST" vbProcedure="false">"c4524"</definedName>
    <definedName function="false" hidden="true" name="IQ_STOCK_BASED_NUM_EST_CIQ" vbProcedure="false">"c5077"</definedName>
    <definedName function="false" hidden="true" name="IQ_STOCK_BASED_OTHER" vbProcedure="false">"c2995"</definedName>
    <definedName function="false" hidden="true" name="IQ_STOCK_BASED_RD" vbProcedure="false">"c2991"</definedName>
    <definedName function="false" hidden="true" name="IQ_STOCK_BASED_SGA" vbProcedure="false">"c2994"</definedName>
    <definedName function="false" hidden="true" name="IQ_STOCK_BASED_SM" vbProcedure="false">"c2992"</definedName>
    <definedName function="false" hidden="true" name="IQ_STOCK_BASED_STDDEV_EST" vbProcedure="false">"c4525"</definedName>
    <definedName function="false" hidden="true" name="IQ_STOCK_BASED_STDDEV_EST_CIQ" vbProcedure="false">"c5078"</definedName>
    <definedName function="false" hidden="true" name="IQ_STOCK_BASED_TOTAL" vbProcedure="false">"c3040"</definedName>
    <definedName function="false" hidden="true" name="IQ_STOCK_OPTIONS_COMP" vbProcedure="false">"c3509"</definedName>
    <definedName function="false" hidden="true" name="IQ_STOCK_OPTIONS_COMP_PRETAX" vbProcedure="false">"c3507"</definedName>
    <definedName function="false" hidden="true" name="IQ_STOCK_OPTIONS_COMP_TAX" vbProcedure="false">"c3508"</definedName>
    <definedName function="false" hidden="true" name="IQ_STRATEGY_NOTE" vbProcedure="false">"c6791"</definedName>
    <definedName function="false" hidden="true" name="IQ_STRIKE_PRICE_ISSUED" vbProcedure="false">"c1645"</definedName>
    <definedName function="false" hidden="true" name="IQ_STRIKE_PRICE_OS" vbProcedure="false">"c1646"</definedName>
    <definedName function="false" hidden="true" name="IQ_STW" vbProcedure="false">"c2166"</definedName>
    <definedName function="false" hidden="true" name="IQ_ST_DEBT" vbProcedure="false">"c1176"</definedName>
    <definedName function="false" hidden="true" name="IQ_ST_DEBT_BNK" vbProcedure="false">"c1177"</definedName>
    <definedName function="false" hidden="true" name="IQ_ST_DEBT_BR" vbProcedure="false">"c1178"</definedName>
    <definedName function="false" hidden="true" name="IQ_ST_DEBT_FIN" vbProcedure="false">"c1179"</definedName>
    <definedName function="false" hidden="true" name="IQ_ST_DEBT_INS" vbProcedure="false">"c1180"</definedName>
    <definedName function="false" hidden="true" name="IQ_ST_DEBT_ISSUED" vbProcedure="false">"c1181"</definedName>
    <definedName function="false" hidden="true" name="IQ_ST_DEBT_ISSUED_BNK" vbProcedure="false">"c1182"</definedName>
    <definedName function="false" hidden="true" name="IQ_ST_DEBT_ISSUED_BR" vbProcedure="false">"c1183"</definedName>
    <definedName function="false" hidden="true" name="IQ_ST_DEBT_ISSUED_FIN" vbProcedure="false">"c1184"</definedName>
    <definedName function="false" hidden="true" name="IQ_ST_DEBT_ISSUED_INS" vbProcedure="false">"c1185"</definedName>
    <definedName function="false" hidden="true" name="IQ_ST_DEBT_ISSUED_RE" vbProcedure="false">"c6267"</definedName>
    <definedName function="false" hidden="true" name="IQ_ST_DEBT_ISSUED_REIT" vbProcedure="false">"c1186"</definedName>
    <definedName function="false" hidden="true" name="IQ_ST_DEBT_ISSUED_UTI" vbProcedure="false">"c1187"</definedName>
    <definedName function="false" hidden="true" name="IQ_ST_DEBT_PCT" vbProcedure="false">"c2539"</definedName>
    <definedName function="false" hidden="true" name="IQ_ST_DEBT_RE" vbProcedure="false">"c6268"</definedName>
    <definedName function="false" hidden="true" name="IQ_ST_DEBT_REIT" vbProcedure="false">"c1188"</definedName>
    <definedName function="false" hidden="true" name="IQ_ST_DEBT_REPAID" vbProcedure="false">"c1189"</definedName>
    <definedName function="false" hidden="true" name="IQ_ST_DEBT_REPAID_BNK" vbProcedure="false">"c1190"</definedName>
    <definedName function="false" hidden="true" name="IQ_ST_DEBT_REPAID_BR" vbProcedure="false">"c1191"</definedName>
    <definedName function="false" hidden="true" name="IQ_ST_DEBT_REPAID_FIN" vbProcedure="false">"c1192"</definedName>
    <definedName function="false" hidden="true" name="IQ_ST_DEBT_REPAID_INS" vbProcedure="false">"c1193"</definedName>
    <definedName function="false" hidden="true" name="IQ_ST_DEBT_REPAID_RE" vbProcedure="false">"c6269"</definedName>
    <definedName function="false" hidden="true" name="IQ_ST_DEBT_REPAID_REIT" vbProcedure="false">"c1194"</definedName>
    <definedName function="false" hidden="true" name="IQ_ST_DEBT_REPAID_UTI" vbProcedure="false">"c1195"</definedName>
    <definedName function="false" hidden="true" name="IQ_ST_DEBT_UTI" vbProcedure="false">"c1196"</definedName>
    <definedName function="false" hidden="true" name="IQ_ST_FHLB_DEBT" vbProcedure="false">"c5658"</definedName>
    <definedName function="false" hidden="true" name="IQ_ST_INVEST" vbProcedure="false">"c1197"</definedName>
    <definedName function="false" hidden="true" name="IQ_ST_INVEST_UTI" vbProcedure="false">"c1198"</definedName>
    <definedName function="false" hidden="true" name="IQ_ST_NOTE_RECEIV" vbProcedure="false">"c1199"</definedName>
    <definedName function="false" hidden="true" name="IQ_SUB_BONDS_NOTES" vbProcedure="false">"c2503"</definedName>
    <definedName function="false" hidden="true" name="IQ_SUB_BONDS_NOTES_PCT" vbProcedure="false">"c2504"</definedName>
    <definedName function="false" hidden="true" name="IQ_SUB_DEBT" vbProcedure="false">"c2532"</definedName>
    <definedName function="false" hidden="true" name="IQ_SUB_DEBT_EBITDA" vbProcedure="false">"c2558"</definedName>
    <definedName function="false" hidden="true" name="IQ_SUB_DEBT_EBITDA_CAPEX" vbProcedure="false">"c2559"</definedName>
    <definedName function="false" hidden="true" name="IQ_SUB_DEBT_FDIC" vbProcedure="false">"c6346"</definedName>
    <definedName function="false" hidden="true" name="IQ_SUB_DEBT_PCT" vbProcedure="false">"c2533"</definedName>
    <definedName function="false" hidden="true" name="IQ_SUB_LEASE_AFTER_FIVE" vbProcedure="false">"c1207"</definedName>
    <definedName function="false" hidden="true" name="IQ_SUB_LEASE_INC_CY" vbProcedure="false">"c1208"</definedName>
    <definedName function="false" hidden="true" name="IQ_SUB_LEASE_INC_CY1" vbProcedure="false">"c1209"</definedName>
    <definedName function="false" hidden="true" name="IQ_SUB_LEASE_INC_CY2" vbProcedure="false">"c1210"</definedName>
    <definedName function="false" hidden="true" name="IQ_SUB_LEASE_INC_CY3" vbProcedure="false">"c1211"</definedName>
    <definedName function="false" hidden="true" name="IQ_SUB_LEASE_INC_CY4" vbProcedure="false">"c1212"</definedName>
    <definedName function="false" hidden="true" name="IQ_SUB_LEASE_NEXT_FIVE" vbProcedure="false">"c1213"</definedName>
    <definedName function="false" hidden="true" name="IQ_SURPLUS_FDIC" vbProcedure="false">"c6351"</definedName>
    <definedName function="false" hidden="true" name="IQ_SVA" vbProcedure="false">"c1214"</definedName>
    <definedName function="false" hidden="true" name="IQ_TARGET_PRICE_NUM" vbProcedure="false">"c1653"</definedName>
    <definedName function="false" hidden="true" name="IQ_TARGET_PRICE_NUM_CIQ" vbProcedure="false">"c4661"</definedName>
    <definedName function="false" hidden="true" name="IQ_TARGET_PRICE_NUM_REUT" vbProcedure="false">"c5319"</definedName>
    <definedName function="false" hidden="true" name="IQ_TARGET_PRICE_STDDEV" vbProcedure="false">"c1654"</definedName>
    <definedName function="false" hidden="true" name="IQ_TARGET_PRICE_STDDEV_CIQ" vbProcedure="false">"c4662"</definedName>
    <definedName function="false" hidden="true" name="IQ_TARGET_PRICE_STDDEV_REUT" vbProcedure="false">"c5320"</definedName>
    <definedName function="false" hidden="true" name="IQ_TAX_BENEFIT_CF_1YR" vbProcedure="false">"c3483"</definedName>
    <definedName function="false" hidden="true" name="IQ_TAX_BENEFIT_CF_2YR" vbProcedure="false">"c3484"</definedName>
    <definedName function="false" hidden="true" name="IQ_TAX_BENEFIT_CF_3YR" vbProcedure="false">"c3485"</definedName>
    <definedName function="false" hidden="true" name="IQ_TAX_BENEFIT_CF_4YR" vbProcedure="false">"c3486"</definedName>
    <definedName function="false" hidden="true" name="IQ_TAX_BENEFIT_CF_5YR" vbProcedure="false">"c3487"</definedName>
    <definedName function="false" hidden="true" name="IQ_TAX_BENEFIT_CF_AFTER_FIVE" vbProcedure="false">"c3488"</definedName>
    <definedName function="false" hidden="true" name="IQ_TAX_BENEFIT_CF_MAX_YEAR" vbProcedure="false">"c3491"</definedName>
    <definedName function="false" hidden="true" name="IQ_TAX_BENEFIT_CF_NO_EXP" vbProcedure="false">"c3489"</definedName>
    <definedName function="false" hidden="true" name="IQ_TAX_BENEFIT_CF_TOTAL" vbProcedure="false">"c3490"</definedName>
    <definedName function="false" hidden="true" name="IQ_TAX_BENEFIT_OPTIONS" vbProcedure="false">"c1215"</definedName>
    <definedName function="false" hidden="true" name="IQ_TAX_EQUIV_NET_INT_INC" vbProcedure="false">"c1216"</definedName>
    <definedName function="false" hidden="true" name="IQ_TBV" vbProcedure="false">"c1906"</definedName>
    <definedName function="false" hidden="true" name="IQ_TBV_10YR_ANN_CAGR" vbProcedure="false">"c6169"</definedName>
    <definedName function="false" hidden="true" name="IQ_TBV_10YR_ANN_GROWTH" vbProcedure="false">"c1936"</definedName>
    <definedName function="false" hidden="true" name="IQ_TBV_1YR_ANN_GROWTH" vbProcedure="false">"c1931"</definedName>
    <definedName function="false" hidden="true" name="IQ_TBV_2YR_ANN_CAGR" vbProcedure="false">"c6165"</definedName>
    <definedName function="false" hidden="true" name="IQ_TBV_2YR_ANN_GROWTH" vbProcedure="false">"c1932"</definedName>
    <definedName function="false" hidden="true" name="IQ_TBV_3YR_ANN_CAGR" vbProcedure="false">"c6166"</definedName>
    <definedName function="false" hidden="true" name="IQ_TBV_3YR_ANN_GROWTH" vbProcedure="false">"c1933"</definedName>
    <definedName function="false" hidden="true" name="IQ_TBV_5YR_ANN_CAGR" vbProcedure="false">"c6167"</definedName>
    <definedName function="false" hidden="true" name="IQ_TBV_5YR_ANN_GROWTH" vbProcedure="false">"c1934"</definedName>
    <definedName function="false" hidden="true" name="IQ_TBV_7YR_ANN_CAGR" vbProcedure="false">"c6168"</definedName>
    <definedName function="false" hidden="true" name="IQ_TBV_7YR_ANN_GROWTH" vbProcedure="false">"c1935"</definedName>
    <definedName function="false" hidden="true" name="IQ_TBV_SHARE" vbProcedure="false">"c1217"</definedName>
    <definedName function="false" hidden="true" name="IQ_TEMPLATE" vbProcedure="false">"c1521"</definedName>
    <definedName function="false" hidden="true" name="IQ_TENANT" vbProcedure="false">"c1218"</definedName>
    <definedName function="false" hidden="true" name="IQ_TERM_LOANS" vbProcedure="false">"c2499"</definedName>
    <definedName function="false" hidden="true" name="IQ_TERM_LOANS_PCT" vbProcedure="false">"c2500"</definedName>
    <definedName function="false" hidden="true" name="IQ_TEV" vbProcedure="false">"c1219"</definedName>
    <definedName function="false" hidden="true" name="IQ_TEV_EBIT" vbProcedure="false">"c1220"</definedName>
    <definedName function="false" hidden="true" name="IQ_TEV_EBITDA" vbProcedure="false">"c1222"</definedName>
    <definedName function="false" hidden="true" name="IQ_TEV_EBITDA_AVG" vbProcedure="false">"c1223"</definedName>
    <definedName function="false" hidden="true" name="IQ_TEV_EBITDA_FWD" vbProcedure="false">"c1224"</definedName>
    <definedName function="false" hidden="true" name="IQ_TEV_EBITDA_FWD_CIQ" vbProcedure="false">"c4043"</definedName>
    <definedName function="false" hidden="true" name="IQ_TEV_EBITDA_FWD_REUT" vbProcedure="false">"c4050"</definedName>
    <definedName function="false" hidden="true" name="IQ_TEV_EBIT_AVG" vbProcedure="false">"c1221"</definedName>
    <definedName function="false" hidden="true" name="IQ_TEV_EBIT_FWD" vbProcedure="false">"c2238"</definedName>
    <definedName function="false" hidden="true" name="IQ_TEV_EBIT_FWD_CIQ" vbProcedure="false">"c4047"</definedName>
    <definedName function="false" hidden="true" name="IQ_TEV_EMPLOYEE_AVG" vbProcedure="false">"c1225"</definedName>
    <definedName function="false" hidden="true" name="IQ_TEV_EST" vbProcedure="false">"c4526"</definedName>
    <definedName function="false" hidden="true" name="IQ_TEV_EST_CIQ" vbProcedure="false">"c5079"</definedName>
    <definedName function="false" hidden="true" name="IQ_TEV_HIGH_EST" vbProcedure="false">"c4527"</definedName>
    <definedName function="false" hidden="true" name="IQ_TEV_HIGH_EST_CIQ" vbProcedure="false">"c5080"</definedName>
    <definedName function="false" hidden="true" name="IQ_TEV_LOW_EST" vbProcedure="false">"c4528"</definedName>
    <definedName function="false" hidden="true" name="IQ_TEV_LOW_EST_CIQ" vbProcedure="false">"c5081"</definedName>
    <definedName function="false" hidden="true" name="IQ_TEV_MEDIAN_EST" vbProcedure="false">"c4529"</definedName>
    <definedName function="false" hidden="true" name="IQ_TEV_MEDIAN_EST_CIQ" vbProcedure="false">"c5082"</definedName>
    <definedName function="false" hidden="true" name="IQ_TEV_NUM_EST" vbProcedure="false">"c4530"</definedName>
    <definedName function="false" hidden="true" name="IQ_TEV_NUM_EST_CIQ" vbProcedure="false">"c5083"</definedName>
    <definedName function="false" hidden="true" name="IQ_TEV_STDDEV_EST" vbProcedure="false">"c4531"</definedName>
    <definedName function="false" hidden="true" name="IQ_TEV_STDDEV_EST_CIQ" vbProcedure="false">"c5084"</definedName>
    <definedName function="false" hidden="true" name="IQ_TEV_TOTAL_REV" vbProcedure="false">"c1226"</definedName>
    <definedName function="false" hidden="true" name="IQ_TEV_TOTAL_REV_AVG" vbProcedure="false">"c1227"</definedName>
    <definedName function="false" hidden="true" name="IQ_TEV_TOTAL_REV_FWD" vbProcedure="false">"c1228"</definedName>
    <definedName function="false" hidden="true" name="IQ_TEV_TOTAL_REV_FWD_CIQ" vbProcedure="false">"c4044"</definedName>
    <definedName function="false" hidden="true" name="IQ_TEV_TOTAL_REV_FWD_REUT" vbProcedure="false">"c4051"</definedName>
    <definedName function="false" hidden="true" name="IQ_TEV_UFCF" vbProcedure="false">"c2208"</definedName>
    <definedName function="false" hidden="true" name="IQ_THREE_MONTHS_FIXED_AND_FLOATING_FDIC" vbProcedure="false">"c6419"</definedName>
    <definedName function="false" hidden="true" name="IQ_THREE_MONTHS_MORTGAGE_PASS_THROUGHS_FDIC" vbProcedure="false">"c6411"</definedName>
    <definedName function="false" hidden="true" name="IQ_THREE_YEARS_LESS_FDIC" vbProcedure="false">"c6417"</definedName>
    <definedName function="false" hidden="true" name="IQ_THREE_YEAR_FIXED_AND_FLOATING_RATE_FDIC" vbProcedure="false">"c6421"</definedName>
    <definedName function="false" hidden="true" name="IQ_THREE_YEAR_MORTGAGE_PASS_THROUGHS_FDIC" vbProcedure="false">"c6413"</definedName>
    <definedName function="false" hidden="true" name="IQ_TIER_1_RISK_BASED_CAPITAL_RATIO_FDIC" vbProcedure="false">"c6746"</definedName>
    <definedName function="false" hidden="true" name="IQ_TIER_ONE_CAPITAL" vbProcedure="false">"c2667"</definedName>
    <definedName function="false" hidden="true" name="IQ_TIER_ONE_FDIC" vbProcedure="false">"c6369"</definedName>
    <definedName function="false" hidden="true" name="IQ_TIER_ONE_RATIO" vbProcedure="false">"c1229"</definedName>
    <definedName function="false" hidden="true" name="IQ_TIER_TWO_CAPITAL" vbProcedure="false">"c2669"</definedName>
    <definedName function="false" hidden="true" name="IQ_TIME_DEP" vbProcedure="false">"c1230"</definedName>
    <definedName function="false" hidden="true" name="IQ_TIME_DEPOSITS_LESS_THAN_100K_FDIC" vbProcedure="false">"c6465"</definedName>
    <definedName function="false" hidden="true" name="IQ_TIME_DEPOSITS_MORE_THAN_100K_FDIC" vbProcedure="false">"c6470"</definedName>
    <definedName function="false" hidden="true" name="IQ_TODAY" vbProcedure="false">0</definedName>
    <definedName function="false" hidden="true" name="IQ_TOTAL_AR_BR" vbProcedure="false">"c1231"</definedName>
    <definedName function="false" hidden="true" name="IQ_TOTAL_AR_RE" vbProcedure="false">"c6270"</definedName>
    <definedName function="false" hidden="true" name="IQ_TOTAL_AR_REIT" vbProcedure="false">"c1232"</definedName>
    <definedName function="false" hidden="true" name="IQ_TOTAL_AR_UTI" vbProcedure="false">"c1233"</definedName>
    <definedName function="false" hidden="true" name="IQ_TOTAL_ASSETS" vbProcedure="false">"c1234"</definedName>
    <definedName function="false" hidden="true" name="IQ_TOTAL_ASSETS_10YR_ANN_CAGR" vbProcedure="false">"c6140"</definedName>
    <definedName function="false" hidden="true" name="IQ_TOTAL_ASSETS_10YR_ANN_GROWTH" vbProcedure="false">"c1235"</definedName>
    <definedName function="false" hidden="true" name="IQ_TOTAL_ASSETS_1YR_ANN_GROWTH" vbProcedure="false">"c1236"</definedName>
    <definedName function="false" hidden="true" name="IQ_TOTAL_ASSETS_2YR_ANN_CAGR" vbProcedure="false">"c6141"</definedName>
    <definedName function="false" hidden="true" name="IQ_TOTAL_ASSETS_2YR_ANN_GROWTH" vbProcedure="false">"c1237"</definedName>
    <definedName function="false" hidden="true" name="IQ_TOTAL_ASSETS_3YR_ANN_CAGR" vbProcedure="false">"c6142"</definedName>
    <definedName function="false" hidden="true" name="IQ_TOTAL_ASSETS_3YR_ANN_GROWTH" vbProcedure="false">"c1238"</definedName>
    <definedName function="false" hidden="true" name="IQ_TOTAL_ASSETS_5YR_ANN_CAGR" vbProcedure="false">"c6143"</definedName>
    <definedName function="false" hidden="true" name="IQ_TOTAL_ASSETS_5YR_ANN_GROWTH" vbProcedure="false">"c1239"</definedName>
    <definedName function="false" hidden="true" name="IQ_TOTAL_ASSETS_7YR_ANN_CAGR" vbProcedure="false">"c6144"</definedName>
    <definedName function="false" hidden="true" name="IQ_TOTAL_ASSETS_7YR_ANN_GROWTH" vbProcedure="false">"c1240"</definedName>
    <definedName function="false" hidden="true" name="IQ_TOTAL_ASSETS_FDIC" vbProcedure="false">"c6339"</definedName>
    <definedName function="false" hidden="true" name="IQ_TOTAL_AVG_CE_TOTAL_AVG_ASSETS" vbProcedure="false">"c1241"</definedName>
    <definedName function="false" hidden="true" name="IQ_TOTAL_AVG_EQUITY_TOTAL_AVG_ASSETS" vbProcedure="false">"c1242"</definedName>
    <definedName function="false" hidden="true" name="IQ_TOTAL_BANK_CAPITAL" vbProcedure="false">"c2668"</definedName>
    <definedName function="false" hidden="true" name="IQ_TOTAL_CA" vbProcedure="false">"c1243"</definedName>
    <definedName function="false" hidden="true" name="IQ_TOTAL_CAP" vbProcedure="false">"c1507"</definedName>
    <definedName function="false" hidden="true" name="IQ_TOTAL_CAPITAL_RATIO" vbProcedure="false">"c1244"</definedName>
    <definedName function="false" hidden="true" name="IQ_TOTAL_CASH_DIVID" vbProcedure="false">"c1455"</definedName>
    <definedName function="false" hidden="true" name="IQ_TOTAL_CASH_FINAN" vbProcedure="false">"c1352"</definedName>
    <definedName function="false" hidden="true" name="IQ_TOTAL_CASH_INVEST" vbProcedure="false">"c1353"</definedName>
    <definedName function="false" hidden="true" name="IQ_TOTAL_CASH_OPER" vbProcedure="false">"c1354"</definedName>
    <definedName function="false" hidden="true" name="IQ_TOTAL_CHARGE_OFFS_FDIC" vbProcedure="false">"c6603"</definedName>
    <definedName function="false" hidden="true" name="IQ_TOTAL_CHURN" vbProcedure="false">"c2122"</definedName>
    <definedName function="false" hidden="true" name="IQ_TOTAL_CL" vbProcedure="false">"c1245"</definedName>
    <definedName function="false" hidden="true" name="IQ_TOTAL_COMMON" vbProcedure="false">"c1411"</definedName>
    <definedName function="false" hidden="true" name="IQ_TOTAL_COMMON_EQUITY" vbProcedure="false">"c1246"</definedName>
    <definedName function="false" hidden="true" name="IQ_TOTAL_CURRENT_ASSETS" vbProcedure="false">"c1430"</definedName>
    <definedName function="false" hidden="true" name="IQ_TOTAL_CURRENT_LIAB" vbProcedure="false">"c1431"</definedName>
    <definedName function="false" hidden="true" name="IQ_TOTAL_DEBT" vbProcedure="false">"c1247"</definedName>
    <definedName function="false" hidden="true" name="IQ_TOTAL_DEBT_CAPITAL" vbProcedure="false">"c1248"</definedName>
    <definedName function="false" hidden="true" name="IQ_TOTAL_DEBT_EBITDA" vbProcedure="false">"c1249"</definedName>
    <definedName function="false" hidden="true" name="IQ_TOTAL_DEBT_EBITDA_CAPEX" vbProcedure="false">"c2948"</definedName>
    <definedName function="false" hidden="true" name="IQ_TOTAL_DEBT_EQUITY" vbProcedure="false">"c1250"</definedName>
    <definedName function="false" hidden="true" name="IQ_TOTAL_DEBT_EST" vbProcedure="false">"c4532"</definedName>
    <definedName function="false" hidden="true" name="IQ_TOTAL_DEBT_EST_CIQ" vbProcedure="false">"c5085"</definedName>
    <definedName function="false" hidden="true" name="IQ_TOTAL_DEBT_EXCL_FIN" vbProcedure="false">"c2937"</definedName>
    <definedName function="false" hidden="true" name="IQ_TOTAL_DEBT_GUIDANCE" vbProcedure="false">"c4533"</definedName>
    <definedName function="false" hidden="true" name="IQ_TOTAL_DEBT_GUIDANCE_CIQ" vbProcedure="false">"c5086"</definedName>
    <definedName function="false" hidden="true" name="IQ_TOTAL_DEBT_HIGH_EST" vbProcedure="false">"c4534"</definedName>
    <definedName function="false" hidden="true" name="IQ_TOTAL_DEBT_HIGH_EST_CIQ" vbProcedure="false">"c5087"</definedName>
    <definedName function="false" hidden="true" name="IQ_TOTAL_DEBT_HIGH_GUIDANCE" vbProcedure="false">"c4196"</definedName>
    <definedName function="false" hidden="true" name="IQ_TOTAL_DEBT_HIGH_GUIDANCE_CIQ" vbProcedure="false">"c4608"</definedName>
    <definedName function="false" hidden="true" name="IQ_TOTAL_DEBT_ISSUED" vbProcedure="false">"c1251"</definedName>
    <definedName function="false" hidden="true" name="IQ_TOTAL_DEBT_ISSUED_BNK" vbProcedure="false">"c1252"</definedName>
    <definedName function="false" hidden="true" name="IQ_TOTAL_DEBT_ISSUED_BR" vbProcedure="false">"c1253"</definedName>
    <definedName function="false" hidden="true" name="IQ_TOTAL_DEBT_ISSUED_FIN" vbProcedure="false">"c1254"</definedName>
    <definedName function="false" hidden="true" name="IQ_TOTAL_DEBT_ISSUED_RE" vbProcedure="false">"c6271"</definedName>
    <definedName function="false" hidden="true" name="IQ_TOTAL_DEBT_ISSUED_REIT" vbProcedure="false">"c1255"</definedName>
    <definedName function="false" hidden="true" name="IQ_TOTAL_DEBT_ISSUED_UTI" vbProcedure="false">"c1256"</definedName>
    <definedName function="false" hidden="true" name="IQ_TOTAL_DEBT_ISSUES_INS" vbProcedure="false">"c1257"</definedName>
    <definedName function="false" hidden="true" name="IQ_TOTAL_DEBT_LOW_EST" vbProcedure="false">"c4535"</definedName>
    <definedName function="false" hidden="true" name="IQ_TOTAL_DEBT_LOW_EST_CIQ" vbProcedure="false">"c5088"</definedName>
    <definedName function="false" hidden="true" name="IQ_TOTAL_DEBT_LOW_GUIDANCE" vbProcedure="false">"c4236"</definedName>
    <definedName function="false" hidden="true" name="IQ_TOTAL_DEBT_LOW_GUIDANCE_CIQ" vbProcedure="false">"c4648"</definedName>
    <definedName function="false" hidden="true" name="IQ_TOTAL_DEBT_MEDIAN_EST" vbProcedure="false">"c4536"</definedName>
    <definedName function="false" hidden="true" name="IQ_TOTAL_DEBT_MEDIAN_EST_CIQ" vbProcedure="false">"c5089"</definedName>
    <definedName function="false" hidden="true" name="IQ_TOTAL_DEBT_NUM_EST" vbProcedure="false">"c4537"</definedName>
    <definedName function="false" hidden="true" name="IQ_TOTAL_DEBT_NUM_EST_CIQ" vbProcedure="false">"c5090"</definedName>
    <definedName function="false" hidden="true" name="IQ_TOTAL_DEBT_OVER_EBITDA" vbProcedure="false">"c1433"</definedName>
    <definedName function="false" hidden="true" name="IQ_TOTAL_DEBT_OVER_TOTAL_BV" vbProcedure="false">"c1434"</definedName>
    <definedName function="false" hidden="true" name="IQ_TOTAL_DEBT_OVER_TOTAL_CAP" vbProcedure="false">"c1432"</definedName>
    <definedName function="false" hidden="true" name="IQ_TOTAL_DEBT_REPAID" vbProcedure="false">"c1258"</definedName>
    <definedName function="false" hidden="true" name="IQ_TOTAL_DEBT_REPAID_BNK" vbProcedure="false">"c1259"</definedName>
    <definedName function="false" hidden="true" name="IQ_TOTAL_DEBT_REPAID_BR" vbProcedure="false">"c1260"</definedName>
    <definedName function="false" hidden="true" name="IQ_TOTAL_DEBT_REPAID_FIN" vbProcedure="false">"c1261"</definedName>
    <definedName function="false" hidden="true" name="IQ_TOTAL_DEBT_REPAID_INS" vbProcedure="false">"c1262"</definedName>
    <definedName function="false" hidden="true" name="IQ_TOTAL_DEBT_REPAID_RE" vbProcedure="false">"c6272"</definedName>
    <definedName function="false" hidden="true" name="IQ_TOTAL_DEBT_REPAID_REIT" vbProcedure="false">"c1263"</definedName>
    <definedName function="false" hidden="true" name="IQ_TOTAL_DEBT_REPAID_UTI" vbProcedure="false">"c1264"</definedName>
    <definedName function="false" hidden="true" name="IQ_TOTAL_DEBT_SECURITIES_FDIC" vbProcedure="false">"c6410"</definedName>
    <definedName function="false" hidden="true" name="IQ_TOTAL_DEBT_STDDEV_EST" vbProcedure="false">"c4538"</definedName>
    <definedName function="false" hidden="true" name="IQ_TOTAL_DEBT_STDDEV_EST_CIQ" vbProcedure="false">"c5091"</definedName>
    <definedName function="false" hidden="true" name="IQ_TOTAL_DEPOSITS" vbProcedure="false">"c1265"</definedName>
    <definedName function="false" hidden="true" name="IQ_TOTAL_DEPOSITS_FDIC" vbProcedure="false">"c6342"</definedName>
    <definedName function="false" hidden="true" name="IQ_TOTAL_DIV_PAID_CF" vbProcedure="false">"c1266"</definedName>
    <definedName function="false" hidden="true" name="IQ_TOTAL_EMPLOYEE" vbProcedure="false">"c2141"</definedName>
    <definedName function="false" hidden="true" name="IQ_TOTAL_EMPLOYEES" vbProcedure="false">"c1522"</definedName>
    <definedName function="false" hidden="true" name="IQ_TOTAL_EMPLOYEES_FDIC" vbProcedure="false">"c6355"</definedName>
    <definedName function="false" hidden="true" name="IQ_TOTAL_EQUITY" vbProcedure="false">"c1267"</definedName>
    <definedName function="false" hidden="true" name="IQ_TOTAL_EQUITY_10YR_ANN_CAGR" vbProcedure="false">"c6145"</definedName>
    <definedName function="false" hidden="true" name="IQ_TOTAL_EQUITY_10YR_ANN_GROWTH" vbProcedure="false">"c1268"</definedName>
    <definedName function="false" hidden="true" name="IQ_TOTAL_EQUITY_1YR_ANN_GROWTH" vbProcedure="false">"c1269"</definedName>
    <definedName function="false" hidden="true" name="IQ_TOTAL_EQUITY_2YR_ANN_CAGR" vbProcedure="false">"c6146"</definedName>
    <definedName function="false" hidden="true" name="IQ_TOTAL_EQUITY_2YR_ANN_GROWTH" vbProcedure="false">"c1270"</definedName>
    <definedName function="false" hidden="true" name="IQ_TOTAL_EQUITY_3YR_ANN_CAGR" vbProcedure="false">"c6147"</definedName>
    <definedName function="false" hidden="true" name="IQ_TOTAL_EQUITY_3YR_ANN_GROWTH" vbProcedure="false">"c1271"</definedName>
    <definedName function="false" hidden="true" name="IQ_TOTAL_EQUITY_5YR_ANN_CAGR" vbProcedure="false">"c6148"</definedName>
    <definedName function="false" hidden="true" name="IQ_TOTAL_EQUITY_5YR_ANN_GROWTH" vbProcedure="false">"c1272"</definedName>
    <definedName function="false" hidden="true" name="IQ_TOTAL_EQUITY_7YR_ANN_CAGR" vbProcedure="false">"c6149"</definedName>
    <definedName function="false" hidden="true" name="IQ_TOTAL_EQUITY_7YR_ANN_GROWTH" vbProcedure="false">"c1273"</definedName>
    <definedName function="false" hidden="true" name="IQ_TOTAL_EQUITY_ALLOWANCE_TOTAL_LOANS" vbProcedure="false">"c1274"</definedName>
    <definedName function="false" hidden="true" name="IQ_TOTAL_INTEREST_EXP" vbProcedure="false">"c1382"</definedName>
    <definedName function="false" hidden="true" name="IQ_TOTAL_INVENTORY" vbProcedure="false">"c1385"</definedName>
    <definedName function="false" hidden="true" name="IQ_TOTAL_INVEST" vbProcedure="false">"c1275"</definedName>
    <definedName function="false" hidden="true" name="IQ_TOTAL_LIAB" vbProcedure="false">"c1276"</definedName>
    <definedName function="false" hidden="true" name="IQ_TOTAL_LIABILITIES_FDIC" vbProcedure="false">"c6348"</definedName>
    <definedName function="false" hidden="true" name="IQ_TOTAL_LIAB_BNK" vbProcedure="false">"c1277"</definedName>
    <definedName function="false" hidden="true" name="IQ_TOTAL_LIAB_BR" vbProcedure="false">"c1278"</definedName>
    <definedName function="false" hidden="true" name="IQ_TOTAL_LIAB_EQUITY" vbProcedure="false">"c1279"</definedName>
    <definedName function="false" hidden="true" name="IQ_TOTAL_LIAB_EQUITY_FDIC" vbProcedure="false">"c6354"</definedName>
    <definedName function="false" hidden="true" name="IQ_TOTAL_LIAB_FIN" vbProcedure="false">"c1280"</definedName>
    <definedName function="false" hidden="true" name="IQ_TOTAL_LIAB_INS" vbProcedure="false">"c1281"</definedName>
    <definedName function="false" hidden="true" name="IQ_TOTAL_LIAB_RE" vbProcedure="false">"c6273"</definedName>
    <definedName function="false" hidden="true" name="IQ_TOTAL_LIAB_REIT" vbProcedure="false">"c1282"</definedName>
    <definedName function="false" hidden="true" name="IQ_TOTAL_LIAB_SHAREHOLD" vbProcedure="false">"c1435"</definedName>
    <definedName function="false" hidden="true" name="IQ_TOTAL_LIAB_TOTAL_ASSETS" vbProcedure="false">"c1283"</definedName>
    <definedName function="false" hidden="true" name="IQ_TOTAL_LOANS" vbProcedure="false">"c5653"</definedName>
    <definedName function="false" hidden="true" name="IQ_TOTAL_LONG_DEBT" vbProcedure="false">"c1617"</definedName>
    <definedName function="false" hidden="true" name="IQ_TOTAL_NON_REC" vbProcedure="false">"c1444"</definedName>
    <definedName function="false" hidden="true" name="IQ_TOTAL_OPER_EXPEN" vbProcedure="false">"c1445"</definedName>
    <definedName function="false" hidden="true" name="IQ_TOTAL_OPER_EXP_BR" vbProcedure="false">"c1284"</definedName>
    <definedName function="false" hidden="true" name="IQ_TOTAL_OPER_EXP_FIN" vbProcedure="false">"c1285"</definedName>
    <definedName function="false" hidden="true" name="IQ_TOTAL_OPER_EXP_INS" vbProcedure="false">"c1286"</definedName>
    <definedName function="false" hidden="true" name="IQ_TOTAL_OPER_EXP_RE" vbProcedure="false">"c6274"</definedName>
    <definedName function="false" hidden="true" name="IQ_TOTAL_OPER_EXP_REIT" vbProcedure="false">"c1287"</definedName>
    <definedName function="false" hidden="true" name="IQ_TOTAL_OPER_EXP_UTI" vbProcedure="false">"c1288"</definedName>
    <definedName function="false" hidden="true" name="IQ_TOTAL_OPTIONS_BEG_OS" vbProcedure="false">"c2693"</definedName>
    <definedName function="false" hidden="true" name="IQ_TOTAL_OPTIONS_CANCELLED" vbProcedure="false">"c2696"</definedName>
    <definedName function="false" hidden="true" name="IQ_TOTAL_OPTIONS_END_OS" vbProcedure="false">"c2697"</definedName>
    <definedName function="false" hidden="true" name="IQ_TOTAL_OPTIONS_EXERCISABLE_END_OS" vbProcedure="false">"c5819"</definedName>
    <definedName function="false" hidden="true" name="IQ_TOTAL_OPTIONS_EXERCISED" vbProcedure="false">"c2695"</definedName>
    <definedName function="false" hidden="true" name="IQ_TOTAL_OPTIONS_GRANTED" vbProcedure="false">"c2694"</definedName>
    <definedName function="false" hidden="true" name="IQ_TOTAL_OTHER_OPER" vbProcedure="false">"c1289"</definedName>
    <definedName function="false" hidden="true" name="IQ_TOTAL_OUTSTANDING_BS_DATE" vbProcedure="false">"c1022"</definedName>
    <definedName function="false" hidden="true" name="IQ_TOTAL_OUTSTANDING_FILING_DATE" vbProcedure="false">"c2107"</definedName>
    <definedName function="false" hidden="true" name="IQ_TOTAL_PENSION_ASSETS" vbProcedure="false">"c1290"</definedName>
    <definedName function="false" hidden="true" name="IQ_TOTAL_PENSION_ASSETS_DOMESTIC" vbProcedure="false">"c2658"</definedName>
    <definedName function="false" hidden="true" name="IQ_TOTAL_PENSION_ASSETS_FOREIGN" vbProcedure="false">"c2666"</definedName>
    <definedName function="false" hidden="true" name="IQ_TOTAL_PENSION_EXP" vbProcedure="false">"c1291"</definedName>
    <definedName function="false" hidden="true" name="IQ_TOTAL_PRINCIPAL" vbProcedure="false">"c2509"</definedName>
    <definedName function="false" hidden="true" name="IQ_TOTAL_PRINCIPAL_PCT" vbProcedure="false">"c2510"</definedName>
    <definedName function="false" hidden="true" name="IQ_TOTAL_PROVED_RESERVES_NGL" vbProcedure="false">"c2924"</definedName>
    <definedName function="false" hidden="true" name="IQ_TOTAL_PROVED_RESERVES_OIL" vbProcedure="false">"c2040"</definedName>
    <definedName function="false" hidden="true" name="IQ_TOTAL_RECEIV" vbProcedure="false">"c1293"</definedName>
    <definedName function="false" hidden="true" name="IQ_TOTAL_RECOVERIES_FDIC" vbProcedure="false">"c6622"</definedName>
    <definedName function="false" hidden="true" name="IQ_TOTAL_REV" vbProcedure="false">"c1294"</definedName>
    <definedName function="false" hidden="true" name="IQ_TOTAL_REVENUE" vbProcedure="false">"c1436"</definedName>
    <definedName function="false" hidden="true" name="IQ_TOTAL_REV_10YR_ANN_CAGR" vbProcedure="false">"c6150"</definedName>
    <definedName function="false" hidden="true" name="IQ_TOTAL_REV_10YR_ANN_GROWTH" vbProcedure="false">"c1295"</definedName>
    <definedName function="false" hidden="true" name="IQ_TOTAL_REV_1YR_ANN_GROWTH" vbProcedure="false">"c1296"</definedName>
    <definedName function="false" hidden="true" name="IQ_TOTAL_REV_2YR_ANN_CAGR" vbProcedure="false">"c6151"</definedName>
    <definedName function="false" hidden="true" name="IQ_TOTAL_REV_2YR_ANN_GROWTH" vbProcedure="false">"c1297"</definedName>
    <definedName function="false" hidden="true" name="IQ_TOTAL_REV_3YR_ANN_CAGR" vbProcedure="false">"c6152"</definedName>
    <definedName function="false" hidden="true" name="IQ_TOTAL_REV_3YR_ANN_GROWTH" vbProcedure="false">"c1298"</definedName>
    <definedName function="false" hidden="true" name="IQ_TOTAL_REV_5YR_ANN_CAGR" vbProcedure="false">"c6153"</definedName>
    <definedName function="false" hidden="true" name="IQ_TOTAL_REV_5YR_ANN_GROWTH" vbProcedure="false">"c1299"</definedName>
    <definedName function="false" hidden="true" name="IQ_TOTAL_REV_7YR_ANN_CAGR" vbProcedure="false">"c6154"</definedName>
    <definedName function="false" hidden="true" name="IQ_TOTAL_REV_7YR_ANN_GROWTH" vbProcedure="false">"c1300"</definedName>
    <definedName function="false" hidden="true" name="IQ_TOTAL_REV_AS_REPORTED" vbProcedure="false">"c1301"</definedName>
    <definedName function="false" hidden="true" name="IQ_TOTAL_REV_BNK" vbProcedure="false">"c1302"</definedName>
    <definedName function="false" hidden="true" name="IQ_TOTAL_REV_BNK_FDIC" vbProcedure="false">"c6786"</definedName>
    <definedName function="false" hidden="true" name="IQ_TOTAL_REV_BR" vbProcedure="false">"c1303"</definedName>
    <definedName function="false" hidden="true" name="IQ_TOTAL_REV_EMPLOYEE" vbProcedure="false">"c1304"</definedName>
    <definedName function="false" hidden="true" name="IQ_TOTAL_REV_FIN" vbProcedure="false">"c1305"</definedName>
    <definedName function="false" hidden="true" name="IQ_TOTAL_REV_INS" vbProcedure="false">"c1306"</definedName>
    <definedName function="false" hidden="true" name="IQ_TOTAL_REV_RE" vbProcedure="false">"c6275"</definedName>
    <definedName function="false" hidden="true" name="IQ_TOTAL_REV_REIT" vbProcedure="false">"c1307"</definedName>
    <definedName function="false" hidden="true" name="IQ_TOTAL_REV_SHARE" vbProcedure="false">"c1912"</definedName>
    <definedName function="false" hidden="true" name="IQ_TOTAL_REV_UTI" vbProcedure="false">"c1308"</definedName>
    <definedName function="false" hidden="true" name="IQ_TOTAL_RISK_BASED_CAPITAL_RATIO_FDIC" vbProcedure="false">"c6747"</definedName>
    <definedName function="false" hidden="true" name="IQ_TOTAL_SECURITIES_FDIC" vbProcedure="false">"c6306"</definedName>
    <definedName function="false" hidden="true" name="IQ_TOTAL_SPECIAL" vbProcedure="false">"c1618"</definedName>
    <definedName function="false" hidden="true" name="IQ_TOTAL_ST_BORROW" vbProcedure="false">"c1424"</definedName>
    <definedName function="false" hidden="true" name="IQ_TOTAL_SUBS" vbProcedure="false">"c2119"</definedName>
    <definedName function="false" hidden="true" name="IQ_TOTAL_SUB_DEBT" vbProcedure="false">"c2528"</definedName>
    <definedName function="false" hidden="true" name="IQ_TOTAL_SUB_DEBT_EBITDA" vbProcedure="false">"c2554"</definedName>
    <definedName function="false" hidden="true" name="IQ_TOTAL_SUB_DEBT_EBITDA_CAPEX" vbProcedure="false">"c2555"</definedName>
    <definedName function="false" hidden="true" name="IQ_TOTAL_SUB_DEBT_PCT" vbProcedure="false">"c2529"</definedName>
    <definedName function="false" hidden="true" name="IQ_TOTAL_TIME_DEPOSITS_FDIC" vbProcedure="false">"c6497"</definedName>
    <definedName function="false" hidden="true" name="IQ_TOTAL_TIME_SAVINGS_DEPOSITS_FDIC" vbProcedure="false">"c6498"</definedName>
    <definedName function="false" hidden="true" name="IQ_TOTAL_UNUSED_COMMITMENTS_FDIC" vbProcedure="false">"c6536"</definedName>
    <definedName function="false" hidden="true" name="IQ_TOTAL_UNUSUAL" vbProcedure="false">"c1508"</definedName>
    <definedName function="false" hidden="true" name="IQ_TOTAL_UNUSUAL_BNK" vbProcedure="false">"c5516"</definedName>
    <definedName function="false" hidden="true" name="IQ_TOTAL_UNUSUAL_BR" vbProcedure="false">"c5517"</definedName>
    <definedName function="false" hidden="true" name="IQ_TOTAL_UNUSUAL_FIN" vbProcedure="false">"c5518"</definedName>
    <definedName function="false" hidden="true" name="IQ_TOTAL_UNUSUAL_INS" vbProcedure="false">"c5519"</definedName>
    <definedName function="false" hidden="true" name="IQ_TOTAL_UNUSUAL_RE" vbProcedure="false">"c6286"</definedName>
    <definedName function="false" hidden="true" name="IQ_TOTAL_UNUSUAL_REIT" vbProcedure="false">"c5520"</definedName>
    <definedName function="false" hidden="true" name="IQ_TOTAL_UNUSUAL_UTI" vbProcedure="false">"c5521"</definedName>
    <definedName function="false" hidden="true" name="IQ_TOTAL_WARRANTS_BEG_OS" vbProcedure="false">"c2719"</definedName>
    <definedName function="false" hidden="true" name="IQ_TOTAL_WARRANTS_CANCELLED" vbProcedure="false">"c2722"</definedName>
    <definedName function="false" hidden="true" name="IQ_TOTAL_WARRANTS_END_OS" vbProcedure="false">"c2723"</definedName>
    <definedName function="false" hidden="true" name="IQ_TOTAL_WARRANTS_EXERCISED" vbProcedure="false">"c2721"</definedName>
    <definedName function="false" hidden="true" name="IQ_TOTAL_WARRANTS_ISSUED" vbProcedure="false">"c2720"</definedName>
    <definedName function="false" hidden="true" name="IQ_TOT_ADJ_INC" vbProcedure="false">"c1616"</definedName>
    <definedName function="false" hidden="true" name="IQ_TRADE_AR" vbProcedure="false">"c1345"</definedName>
    <definedName function="false" hidden="true" name="IQ_TRADE_PRINCIPAL" vbProcedure="false">"c1309"</definedName>
    <definedName function="false" hidden="true" name="IQ_TRADING_ACCOUNT_GAINS_FEES_FDIC" vbProcedure="false">"c6573"</definedName>
    <definedName function="false" hidden="true" name="IQ_TRADING_ASSETS" vbProcedure="false">"c1310"</definedName>
    <definedName function="false" hidden="true" name="IQ_TRADING_ASSETS_FDIC" vbProcedure="false">"c6328"</definedName>
    <definedName function="false" hidden="true" name="IQ_TRADING_CURRENCY" vbProcedure="false">"c2212"</definedName>
    <definedName function="false" hidden="true" name="IQ_TRADING_LIABILITIES_FDIC" vbProcedure="false">"c6344"</definedName>
    <definedName function="false" hidden="true" name="IQ_TRANSACTION_ACCOUNTS_FDIC" vbProcedure="false">"c6544"</definedName>
    <definedName function="false" hidden="true" name="IQ_TREASURY" vbProcedure="false">"c1311"</definedName>
    <definedName function="false" hidden="true" name="IQ_TREASURY_OTHER_EQUITY" vbProcedure="false">"c1312"</definedName>
    <definedName function="false" hidden="true" name="IQ_TREASURY_OTHER_EQUITY_BNK" vbProcedure="false">"c1313"</definedName>
    <definedName function="false" hidden="true" name="IQ_TREASURY_OTHER_EQUITY_BR" vbProcedure="false">"c1314"</definedName>
    <definedName function="false" hidden="true" name="IQ_TREASURY_OTHER_EQUITY_FIN" vbProcedure="false">"c1315"</definedName>
    <definedName function="false" hidden="true" name="IQ_TREASURY_OTHER_EQUITY_INS" vbProcedure="false">"c1316"</definedName>
    <definedName function="false" hidden="true" name="IQ_TREASURY_OTHER_EQUITY_RE" vbProcedure="false">"c6276"</definedName>
    <definedName function="false" hidden="true" name="IQ_TREASURY_OTHER_EQUITY_REIT" vbProcedure="false">"c1317"</definedName>
    <definedName function="false" hidden="true" name="IQ_TREASURY_OTHER_EQUITY_UTI" vbProcedure="false">"c1318"</definedName>
    <definedName function="false" hidden="true" name="IQ_TREASURY_STOCK" vbProcedure="false">"c1438"</definedName>
    <definedName function="false" hidden="true" name="IQ_TREASURY_STOCK_TRANSACTIONS_FDIC" vbProcedure="false">"c6501"</definedName>
    <definedName function="false" hidden="true" name="IQ_TRUST_INC" vbProcedure="false">"c1319"</definedName>
    <definedName function="false" hidden="true" name="IQ_TRUST_PREF" vbProcedure="false">"c1320"</definedName>
    <definedName function="false" hidden="true" name="IQ_TRUST_PREFERRED" vbProcedure="false">"c3029"</definedName>
    <definedName function="false" hidden="true" name="IQ_TRUST_PREFERRED_PCT" vbProcedure="false">"c3030"</definedName>
    <definedName function="false" hidden="true" name="IQ_TR_ACCT_METHOD" vbProcedure="false">"c2363"</definedName>
    <definedName function="false" hidden="true" name="IQ_TR_ACQ_52_WK_HI_PCT" vbProcedure="false">"c2348"</definedName>
    <definedName function="false" hidden="true" name="IQ_TR_ACQ_52_WK_LOW_PCT" vbProcedure="false">"c2347"</definedName>
    <definedName function="false" hidden="true" name="IQ_TR_ACQ_CASH_ST_INVEST" vbProcedure="false">"c2372"</definedName>
    <definedName function="false" hidden="true" name="IQ_TR_ACQ_CLOSEPRICE_1D" vbProcedure="false">"c3027"</definedName>
    <definedName function="false" hidden="true" name="IQ_TR_ACQ_DILUT_EPS_EXCL" vbProcedure="false">"c3028"</definedName>
    <definedName function="false" hidden="true" name="IQ_TR_ACQ_EARNING_CO" vbProcedure="false">"c2379"</definedName>
    <definedName function="false" hidden="true" name="IQ_TR_ACQ_EBIT" vbProcedure="false">"c2380"</definedName>
    <definedName function="false" hidden="true" name="IQ_TR_ACQ_EBITDA" vbProcedure="false">"c2381"</definedName>
    <definedName function="false" hidden="true" name="IQ_TR_ACQ_EBITDA_EQ_INC" vbProcedure="false">"c3610"</definedName>
    <definedName function="false" hidden="true" name="IQ_TR_ACQ_EBIT_EQ_INC" vbProcedure="false">"c3611"</definedName>
    <definedName function="false" hidden="true" name="IQ_TR_ACQ_FILINGDATE" vbProcedure="false">"c3607"</definedName>
    <definedName function="false" hidden="true" name="IQ_TR_ACQ_FILING_CURRENCY" vbProcedure="false">"c3033"</definedName>
    <definedName function="false" hidden="true" name="IQ_TR_ACQ_MCAP_1DAY" vbProcedure="false">"c2345"</definedName>
    <definedName function="false" hidden="true" name="IQ_TR_ACQ_MIN_INT" vbProcedure="false">"c2374"</definedName>
    <definedName function="false" hidden="true" name="IQ_TR_ACQ_NET_DEBT" vbProcedure="false">"c2373"</definedName>
    <definedName function="false" hidden="true" name="IQ_TR_ACQ_NI" vbProcedure="false">"c2378"</definedName>
    <definedName function="false" hidden="true" name="IQ_TR_ACQ_PERIODDATE" vbProcedure="false">"c3606"</definedName>
    <definedName function="false" hidden="true" name="IQ_TR_ACQ_PRICEDATE_1D" vbProcedure="false">"c2346"</definedName>
    <definedName function="false" hidden="true" name="IQ_TR_ACQ_RETURN" vbProcedure="false">"c2349"</definedName>
    <definedName function="false" hidden="true" name="IQ_TR_ACQ_STOCKYEARHIGH_1D" vbProcedure="false">"c2343"</definedName>
    <definedName function="false" hidden="true" name="IQ_TR_ACQ_STOCKYEARLOW_1D" vbProcedure="false">"c2344"</definedName>
    <definedName function="false" hidden="true" name="IQ_TR_ACQ_TOTAL_ASSETS" vbProcedure="false">"c2371"</definedName>
    <definedName function="false" hidden="true" name="IQ_TR_ACQ_TOTAL_COMMON_EQ" vbProcedure="false">"c2377"</definedName>
    <definedName function="false" hidden="true" name="IQ_TR_ACQ_TOTAL_DEBT" vbProcedure="false">"c2376"</definedName>
    <definedName function="false" hidden="true" name="IQ_TR_ACQ_TOTAL_PREF" vbProcedure="false">"c2375"</definedName>
    <definedName function="false" hidden="true" name="IQ_TR_ACQ_TOTAL_REV" vbProcedure="false">"c2382"</definedName>
    <definedName function="false" hidden="true" name="IQ_TR_ADJ_SIZE" vbProcedure="false">"c3024"</definedName>
    <definedName function="false" hidden="true" name="IQ_TR_ANN_DATE" vbProcedure="false">"c2395"</definedName>
    <definedName function="false" hidden="true" name="IQ_TR_ANN_DATE_BL" vbProcedure="false">"c2394"</definedName>
    <definedName function="false" hidden="true" name="IQ_TR_BID_DATE" vbProcedure="false">"c2357"</definedName>
    <definedName function="false" hidden="true" name="IQ_TR_BLUESKY_FEES" vbProcedure="false">"c2277"</definedName>
    <definedName function="false" hidden="true" name="IQ_TR_BUYERNAME" vbProcedure="false">"c2401"</definedName>
    <definedName function="false" hidden="true" name="IQ_TR_BUYER_ID" vbProcedure="false">"c2404"</definedName>
    <definedName function="false" hidden="true" name="IQ_TR_BUY_ACC_ADVISORS" vbProcedure="false">"c3048"</definedName>
    <definedName function="false" hidden="true" name="IQ_TR_BUY_FIN_ADVISORS" vbProcedure="false">"c3045"</definedName>
    <definedName function="false" hidden="true" name="IQ_TR_BUY_LEG_ADVISORS" vbProcedure="false">"c2387"</definedName>
    <definedName function="false" hidden="true" name="IQ_TR_CANCELLED_DATE" vbProcedure="false">"c2284"</definedName>
    <definedName function="false" hidden="true" name="IQ_TR_CASH_CONSID_PCT" vbProcedure="false">"c2296"</definedName>
    <definedName function="false" hidden="true" name="IQ_TR_CASH_ST_INVEST" vbProcedure="false">"c3025"</definedName>
    <definedName function="false" hidden="true" name="IQ_TR_CHANGE_CONTROL" vbProcedure="false">"c2365"</definedName>
    <definedName function="false" hidden="true" name="IQ_TR_CLOSED_DATE" vbProcedure="false">"c2283"</definedName>
    <definedName function="false" hidden="true" name="IQ_TR_COMMENTS" vbProcedure="false">"c2383"</definedName>
    <definedName function="false" hidden="true" name="IQ_TR_CO_NET_PROCEEDS" vbProcedure="false">"c2268"</definedName>
    <definedName function="false" hidden="true" name="IQ_TR_CO_NET_PROCEEDS_PCT" vbProcedure="false">"c2270"</definedName>
    <definedName function="false" hidden="true" name="IQ_TR_CURRENCY" vbProcedure="false">"c3016"</definedName>
    <definedName function="false" hidden="true" name="IQ_TR_DEAL_ATTITUDE" vbProcedure="false">"c2364"</definedName>
    <definedName function="false" hidden="true" name="IQ_TR_DEAL_CONDITIONS" vbProcedure="false">"c2367"</definedName>
    <definedName function="false" hidden="true" name="IQ_TR_DEAL_RESOLUTION" vbProcedure="false">"c2391"</definedName>
    <definedName function="false" hidden="true" name="IQ_TR_DEAL_RESPONSES" vbProcedure="false">"c2366"</definedName>
    <definedName function="false" hidden="true" name="IQ_TR_DEBT_CONSID_PCT" vbProcedure="false">"c2299"</definedName>
    <definedName function="false" hidden="true" name="IQ_TR_DEF_AGRMT_DATE" vbProcedure="false">"c2285"</definedName>
    <definedName function="false" hidden="true" name="IQ_TR_DISCLOSED_FEES_EXP" vbProcedure="false">"c2288"</definedName>
    <definedName function="false" hidden="true" name="IQ_TR_EARNOUTS" vbProcedure="false">"c3023"</definedName>
    <definedName function="false" hidden="true" name="IQ_TR_EXPIRED_DATE" vbProcedure="false">"c2412"</definedName>
    <definedName function="false" hidden="true" name="IQ_TR_GROSS_OFFERING_AMT" vbProcedure="false">"c2262"</definedName>
    <definedName function="false" hidden="true" name="IQ_TR_HYBRID_CONSID_PCT" vbProcedure="false">"c2300"</definedName>
    <definedName function="false" hidden="true" name="IQ_TR_IMPLIED_EQ" vbProcedure="false">"c3018"</definedName>
    <definedName function="false" hidden="true" name="IQ_TR_IMPLIED_EQ_BV" vbProcedure="false">"c3019"</definedName>
    <definedName function="false" hidden="true" name="IQ_TR_IMPLIED_EQ_NI_LTM" vbProcedure="false">"c3020"</definedName>
    <definedName function="false" hidden="true" name="IQ_TR_IMPLIED_EV" vbProcedure="false">"c2301"</definedName>
    <definedName function="false" hidden="true" name="IQ_TR_IMPLIED_EV_BV" vbProcedure="false">"c2306"</definedName>
    <definedName function="false" hidden="true" name="IQ_TR_IMPLIED_EV_EBIT" vbProcedure="false">"c2302"</definedName>
    <definedName function="false" hidden="true" name="IQ_TR_IMPLIED_EV_EBITDA" vbProcedure="false">"c2303"</definedName>
    <definedName function="false" hidden="true" name="IQ_TR_IMPLIED_EV_NI_LTM" vbProcedure="false">"c2307"</definedName>
    <definedName function="false" hidden="true" name="IQ_TR_IMPLIED_EV_REV" vbProcedure="false">"c2304"</definedName>
    <definedName function="false" hidden="true" name="IQ_TR_INIT_FILED_DATE" vbProcedure="false">"c3495"</definedName>
    <definedName function="false" hidden="true" name="IQ_TR_LOI_DATE" vbProcedure="false">"c2282"</definedName>
    <definedName function="false" hidden="true" name="IQ_TR_MAJ_MIN_STAKE" vbProcedure="false">"c2389"</definedName>
    <definedName function="false" hidden="true" name="IQ_TR_NEGOTIATED_BUYBACK_PRICE" vbProcedure="false">"c2414"</definedName>
    <definedName function="false" hidden="true" name="IQ_TR_NET_ASSUM_LIABILITIES" vbProcedure="false">"c2308"</definedName>
    <definedName function="false" hidden="true" name="IQ_TR_NET_PROCEEDS" vbProcedure="false">"c2267"</definedName>
    <definedName function="false" hidden="true" name="IQ_TR_OFFER_DATE" vbProcedure="false">"c2265"</definedName>
    <definedName function="false" hidden="true" name="IQ_TR_OFFER_DATE_MA" vbProcedure="false">"c3035"</definedName>
    <definedName function="false" hidden="true" name="IQ_TR_OFFER_PER_SHARE" vbProcedure="false">"c3017"</definedName>
    <definedName function="false" hidden="true" name="IQ_TR_OPTIONS_CONSID_PCT" vbProcedure="false">"c2311"</definedName>
    <definedName function="false" hidden="true" name="IQ_TR_OTHER_CONSID" vbProcedure="false">"c3022"</definedName>
    <definedName function="false" hidden="true" name="IQ_TR_PCT_SOUGHT" vbProcedure="false">"c2309"</definedName>
    <definedName function="false" hidden="true" name="IQ_TR_PFEATURES" vbProcedure="false">"c2384"</definedName>
    <definedName function="false" hidden="true" name="IQ_TR_PIPE_CONV_PRICE_SHARE" vbProcedure="false">"c2292"</definedName>
    <definedName function="false" hidden="true" name="IQ_TR_PIPE_CPN_PCT" vbProcedure="false">"c2291"</definedName>
    <definedName function="false" hidden="true" name="IQ_TR_PIPE_NUMBER_SHARES" vbProcedure="false">"c2293"</definedName>
    <definedName function="false" hidden="true" name="IQ_TR_PIPE_PPS" vbProcedure="false">"c2290"</definedName>
    <definedName function="false" hidden="true" name="IQ_TR_POSTMONEY_VAL" vbProcedure="false">"c2286"</definedName>
    <definedName function="false" hidden="true" name="IQ_TR_PREDEAL_SITUATION" vbProcedure="false">"c2390"</definedName>
    <definedName function="false" hidden="true" name="IQ_TR_PREF_CONSID_PCT" vbProcedure="false">"c2310"</definedName>
    <definedName function="false" hidden="true" name="IQ_TR_PREMONEY_VAL" vbProcedure="false">"c2287"</definedName>
    <definedName function="false" hidden="true" name="IQ_TR_PRINTING_FEES" vbProcedure="false">"c2276"</definedName>
    <definedName function="false" hidden="true" name="IQ_TR_PT_MONETARY_VALUES" vbProcedure="false">"c2415"</definedName>
    <definedName function="false" hidden="true" name="IQ_TR_PT_NUMBER_SHARES" vbProcedure="false">"c2417"</definedName>
    <definedName function="false" hidden="true" name="IQ_TR_PT_PCT_SHARES" vbProcedure="false">"c2416"</definedName>
    <definedName function="false" hidden="true" name="IQ_TR_RATING_FEES" vbProcedure="false">"c2275"</definedName>
    <definedName function="false" hidden="true" name="IQ_TR_REG_EFFECT_DATE" vbProcedure="false">"c2264"</definedName>
    <definedName function="false" hidden="true" name="IQ_TR_REG_FILED_DATE" vbProcedure="false">"c2263"</definedName>
    <definedName function="false" hidden="true" name="IQ_TR_RENEWAL_BUYBACK" vbProcedure="false">"c2413"</definedName>
    <definedName function="false" hidden="true" name="IQ_TR_ROUND_NUMBER" vbProcedure="false">"c2295"</definedName>
    <definedName function="false" hidden="true" name="IQ_TR_SECURITY_TYPE_REG" vbProcedure="false">"c2279"</definedName>
    <definedName function="false" hidden="true" name="IQ_TR_SEC_FEES" vbProcedure="false">"c2274"</definedName>
    <definedName function="false" hidden="true" name="IQ_TR_SELLERNAME" vbProcedure="false">"c2402"</definedName>
    <definedName function="false" hidden="true" name="IQ_TR_SELLER_ID" vbProcedure="false">"c2406"</definedName>
    <definedName function="false" hidden="true" name="IQ_TR_SELL_ACC_ADVISORS" vbProcedure="false">"c3049"</definedName>
    <definedName function="false" hidden="true" name="IQ_TR_SELL_FIN_ADVISORS" vbProcedure="false">"c3046"</definedName>
    <definedName function="false" hidden="true" name="IQ_TR_SELL_LEG_ADVISORS" vbProcedure="false">"c2388"</definedName>
    <definedName function="false" hidden="true" name="IQ_TR_SFEATURES" vbProcedure="false">"c2385"</definedName>
    <definedName function="false" hidden="true" name="IQ_TR_SH_NET_PROCEEDS" vbProcedure="false">"c2269"</definedName>
    <definedName function="false" hidden="true" name="IQ_TR_SH_NET_PROCEEDS_PCT" vbProcedure="false">"c2271"</definedName>
    <definedName function="false" hidden="true" name="IQ_TR_SPECIAL_COMMITTEE" vbProcedure="false">"c2362"</definedName>
    <definedName function="false" hidden="true" name="IQ_TR_STATUS" vbProcedure="false">"c2399"</definedName>
    <definedName function="false" hidden="true" name="IQ_TR_STOCK_CONSID_PCT" vbProcedure="false">"c2312"</definedName>
    <definedName function="false" hidden="true" name="IQ_TR_SUSPENDED_DATE" vbProcedure="false">"c2407"</definedName>
    <definedName function="false" hidden="true" name="IQ_TR_TARGETNAME" vbProcedure="false">"c2403"</definedName>
    <definedName function="false" hidden="true" name="IQ_TR_TARGET_52WKHI_PCT" vbProcedure="false">"c2351"</definedName>
    <definedName function="false" hidden="true" name="IQ_TR_TARGET_52WKLOW_PCT" vbProcedure="false">"c2350"</definedName>
    <definedName function="false" hidden="true" name="IQ_TR_TARGET_ACC_ADVISORS" vbProcedure="false">"c3047"</definedName>
    <definedName function="false" hidden="true" name="IQ_TR_TARGET_CASH_ST_INVEST" vbProcedure="false">"c2327"</definedName>
    <definedName function="false" hidden="true" name="IQ_TR_TARGET_CLOSEPRICE_1D" vbProcedure="false">"c2352"</definedName>
    <definedName function="false" hidden="true" name="IQ_TR_TARGET_CLOSEPRICE_1M" vbProcedure="false">"c2354"</definedName>
    <definedName function="false" hidden="true" name="IQ_TR_TARGET_CLOSEPRICE_1W" vbProcedure="false">"c2353"</definedName>
    <definedName function="false" hidden="true" name="IQ_TR_TARGET_DILUT_EPS_EXCL" vbProcedure="false">"c2324"</definedName>
    <definedName function="false" hidden="true" name="IQ_TR_TARGET_EARNING_CO" vbProcedure="false">"c2332"</definedName>
    <definedName function="false" hidden="true" name="IQ_TR_TARGET_EBIT" vbProcedure="false">"c2333"</definedName>
    <definedName function="false" hidden="true" name="IQ_TR_TARGET_EBITDA" vbProcedure="false">"c2334"</definedName>
    <definedName function="false" hidden="true" name="IQ_TR_TARGET_EBITDA_EQ_INC" vbProcedure="false">"c3608"</definedName>
    <definedName function="false" hidden="true" name="IQ_TR_TARGET_EBIT_EQ_INC" vbProcedure="false">"c3609"</definedName>
    <definedName function="false" hidden="true" name="IQ_TR_TARGET_FILINGDATE" vbProcedure="false">"c3605"</definedName>
    <definedName function="false" hidden="true" name="IQ_TR_TARGET_FILING_CURRENCY" vbProcedure="false">"c3034"</definedName>
    <definedName function="false" hidden="true" name="IQ_TR_TARGET_FIN_ADVISORS" vbProcedure="false">"c3044"</definedName>
    <definedName function="false" hidden="true" name="IQ_TR_TARGET_ID" vbProcedure="false">"c2405"</definedName>
    <definedName function="false" hidden="true" name="IQ_TR_TARGET_LEG_ADVISORS" vbProcedure="false">"c2386"</definedName>
    <definedName function="false" hidden="true" name="IQ_TR_TARGET_MARKETCAP" vbProcedure="false">"c2342"</definedName>
    <definedName function="false" hidden="true" name="IQ_TR_TARGET_MIN_INT" vbProcedure="false">"c2328"</definedName>
    <definedName function="false" hidden="true" name="IQ_TR_TARGET_NET_DEBT" vbProcedure="false">"c2326"</definedName>
    <definedName function="false" hidden="true" name="IQ_TR_TARGET_NI" vbProcedure="false">"c2331"</definedName>
    <definedName function="false" hidden="true" name="IQ_TR_TARGET_PERIODDATE" vbProcedure="false">"c3604"</definedName>
    <definedName function="false" hidden="true" name="IQ_TR_TARGET_PRICEDATE_1D" vbProcedure="false">"c2341"</definedName>
    <definedName function="false" hidden="true" name="IQ_TR_TARGET_RETURN" vbProcedure="false">"c2355"</definedName>
    <definedName function="false" hidden="true" name="IQ_TR_TARGET_SEC_DETAIL" vbProcedure="false">"c3021"</definedName>
    <definedName function="false" hidden="true" name="IQ_TR_TARGET_SEC_TI_ID" vbProcedure="false">"c2368"</definedName>
    <definedName function="false" hidden="true" name="IQ_TR_TARGET_SEC_TYPE" vbProcedure="false">"c2369"</definedName>
    <definedName function="false" hidden="true" name="IQ_TR_TARGET_SPD" vbProcedure="false">"c2313"</definedName>
    <definedName function="false" hidden="true" name="IQ_TR_TARGET_SPD_PCT" vbProcedure="false">"c2314"</definedName>
    <definedName function="false" hidden="true" name="IQ_TR_TARGET_STOCKPREMIUM_1D" vbProcedure="false">"c2336"</definedName>
    <definedName function="false" hidden="true" name="IQ_TR_TARGET_STOCKPREMIUM_1M" vbProcedure="false">"c2337"</definedName>
    <definedName function="false" hidden="true" name="IQ_TR_TARGET_STOCKPREMIUM_1W" vbProcedure="false">"c2338"</definedName>
    <definedName function="false" hidden="true" name="IQ_TR_TARGET_STOCKYEARHIGH_1D" vbProcedure="false">"c2339"</definedName>
    <definedName function="false" hidden="true" name="IQ_TR_TARGET_STOCKYEARLOW_1D" vbProcedure="false">"c2340"</definedName>
    <definedName function="false" hidden="true" name="IQ_TR_TARGET_TOTAL_ASSETS" vbProcedure="false">"c2325"</definedName>
    <definedName function="false" hidden="true" name="IQ_TR_TARGET_TOTAL_COMMON_EQ" vbProcedure="false">"c2421"</definedName>
    <definedName function="false" hidden="true" name="IQ_TR_TARGET_TOTAL_DEBT" vbProcedure="false">"c2330"</definedName>
    <definedName function="false" hidden="true" name="IQ_TR_TARGET_TOTAL_PREF" vbProcedure="false">"c2329"</definedName>
    <definedName function="false" hidden="true" name="IQ_TR_TARGET_TOTAL_REV" vbProcedure="false">"c2335"</definedName>
    <definedName function="false" hidden="true" name="IQ_TR_TERM_FEE" vbProcedure="false">"c2298"</definedName>
    <definedName function="false" hidden="true" name="IQ_TR_TERM_FEE_PCT" vbProcedure="false">"c2297"</definedName>
    <definedName function="false" hidden="true" name="IQ_TR_TODATE" vbProcedure="false">"c3036"</definedName>
    <definedName function="false" hidden="true" name="IQ_TR_TODATE_MONETARY_VALUE" vbProcedure="false">"c2418"</definedName>
    <definedName function="false" hidden="true" name="IQ_TR_TODATE_NUMBER_SHARES" vbProcedure="false">"c2420"</definedName>
    <definedName function="false" hidden="true" name="IQ_TR_TODATE_PCT_SHARES" vbProcedure="false">"c2419"</definedName>
    <definedName function="false" hidden="true" name="IQ_TR_TOTALVALUE" vbProcedure="false">"c2400"</definedName>
    <definedName function="false" hidden="true" name="IQ_TR_TOTAL_ACCT_FEES" vbProcedure="false">"c2273"</definedName>
    <definedName function="false" hidden="true" name="IQ_TR_TOTAL_CASH" vbProcedure="false">"c2315"</definedName>
    <definedName function="false" hidden="true" name="IQ_TR_TOTAL_CONSID_SH" vbProcedure="false">"c2316"</definedName>
    <definedName function="false" hidden="true" name="IQ_TR_TOTAL_DEBT" vbProcedure="false">"c2317"</definedName>
    <definedName function="false" hidden="true" name="IQ_TR_TOTAL_GROSS_TV" vbProcedure="false">"c2318"</definedName>
    <definedName function="false" hidden="true" name="IQ_TR_TOTAL_HYBRID" vbProcedure="false">"c2319"</definedName>
    <definedName function="false" hidden="true" name="IQ_TR_TOTAL_LEGAL_FEES" vbProcedure="false">"c2272"</definedName>
    <definedName function="false" hidden="true" name="IQ_TR_TOTAL_NET_TV" vbProcedure="false">"c2320"</definedName>
    <definedName function="false" hidden="true" name="IQ_TR_TOTAL_NEWMONEY" vbProcedure="false">"c2289"</definedName>
    <definedName function="false" hidden="true" name="IQ_TR_TOTAL_OPTIONS" vbProcedure="false">"c2322"</definedName>
    <definedName function="false" hidden="true" name="IQ_TR_TOTAL_OPTIONS_BUYER" vbProcedure="false">"c3026"</definedName>
    <definedName function="false" hidden="true" name="IQ_TR_TOTAL_PREFERRED" vbProcedure="false">"c2321"</definedName>
    <definedName function="false" hidden="true" name="IQ_TR_TOTAL_REG_AMT" vbProcedure="false">"c2261"</definedName>
    <definedName function="false" hidden="true" name="IQ_TR_TOTAL_STOCK" vbProcedure="false">"c2323"</definedName>
    <definedName function="false" hidden="true" name="IQ_TR_TOTAL_TAKEDOWNS" vbProcedure="false">"c2278"</definedName>
    <definedName function="false" hidden="true" name="IQ_TR_TOTAL_UW_COMP" vbProcedure="false">"c2280"</definedName>
    <definedName function="false" hidden="true" name="IQ_TR_TRANSACTION_TYPE" vbProcedure="false">"c2398"</definedName>
    <definedName function="false" hidden="true" name="IQ_TR_WITHDRAWN_DTE" vbProcedure="false">"c2266"</definedName>
    <definedName function="false" hidden="true" name="IQ_TWELVE_MONTHS_FIXED_AND_FLOATING_FDIC" vbProcedure="false">"c6420"</definedName>
    <definedName function="false" hidden="true" name="IQ_TWELVE_MONTHS_MORTGAGE_PASS_THROUGHS_FDIC" vbProcedure="false">"c6412"</definedName>
    <definedName function="false" hidden="true" name="IQ_UFCF_10YR_ANN_CAGR" vbProcedure="false">"c6179"</definedName>
    <definedName function="false" hidden="true" name="IQ_UFCF_10YR_ANN_GROWTH" vbProcedure="false">"c1948"</definedName>
    <definedName function="false" hidden="true" name="IQ_UFCF_1YR_ANN_GROWTH" vbProcedure="false">"c1943"</definedName>
    <definedName function="false" hidden="true" name="IQ_UFCF_2YR_ANN_CAGR" vbProcedure="false">"c6175"</definedName>
    <definedName function="false" hidden="true" name="IQ_UFCF_2YR_ANN_GROWTH" vbProcedure="false">"c1944"</definedName>
    <definedName function="false" hidden="true" name="IQ_UFCF_3YR_ANN_CAGR" vbProcedure="false">"c6176"</definedName>
    <definedName function="false" hidden="true" name="IQ_UFCF_3YR_ANN_GROWTH" vbProcedure="false">"c1945"</definedName>
    <definedName function="false" hidden="true" name="IQ_UFCF_5YR_ANN_CAGR" vbProcedure="false">"c6177"</definedName>
    <definedName function="false" hidden="true" name="IQ_UFCF_5YR_ANN_GROWTH" vbProcedure="false">"c1946"</definedName>
    <definedName function="false" hidden="true" name="IQ_UFCF_7YR_ANN_CAGR" vbProcedure="false">"c6178"</definedName>
    <definedName function="false" hidden="true" name="IQ_UFCF_7YR_ANN_GROWTH" vbProcedure="false">"c1947"</definedName>
    <definedName function="false" hidden="true" name="IQ_UFCF_MARGIN" vbProcedure="false">"c1962"</definedName>
    <definedName function="false" hidden="true" name="IQ_ULT_PARENT" vbProcedure="false">"c3037"</definedName>
    <definedName function="false" hidden="true" name="IQ_ULT_PARENT_CIQID" vbProcedure="false">"c3039"</definedName>
    <definedName function="false" hidden="true" name="IQ_ULT_PARENT_TICKER" vbProcedure="false">"c3038"</definedName>
    <definedName function="false" hidden="true" name="IQ_UNAMORT_DISC" vbProcedure="false">"c2513"</definedName>
    <definedName function="false" hidden="true" name="IQ_UNAMORT_DISC_PCT" vbProcedure="false">"c2514"</definedName>
    <definedName function="false" hidden="true" name="IQ_UNAMORT_PREMIUM" vbProcedure="false">"c2511"</definedName>
    <definedName function="false" hidden="true" name="IQ_UNAMORT_PREMIUM_PCT" vbProcedure="false">"c2512"</definedName>
    <definedName function="false" hidden="true" name="IQ_UNDIVIDED_PROFITS_FDIC" vbProcedure="false">"c6352"</definedName>
    <definedName function="false" hidden="true" name="IQ_UNDRAWN_CP" vbProcedure="false">"c2518"</definedName>
    <definedName function="false" hidden="true" name="IQ_UNDRAWN_CREDIT" vbProcedure="false">"c3032"</definedName>
    <definedName function="false" hidden="true" name="IQ_UNDRAWN_RC" vbProcedure="false">"c2517"</definedName>
    <definedName function="false" hidden="true" name="IQ_UNDRAWN_TL" vbProcedure="false">"c2519"</definedName>
    <definedName function="false" hidden="true" name="IQ_UNEARNED_INCOME_FDIC" vbProcedure="false">"c6324"</definedName>
    <definedName function="false" hidden="true" name="IQ_UNEARNED_INCOME_FOREIGN_FDIC" vbProcedure="false">"c6385"</definedName>
    <definedName function="false" hidden="true" name="IQ_UNEARN_PREMIUM" vbProcedure="false">"c1321"</definedName>
    <definedName function="false" hidden="true" name="IQ_UNEARN_REV_CURRENT" vbProcedure="false">"c1322"</definedName>
    <definedName function="false" hidden="true" name="IQ_UNEARN_REV_CURRENT_BNK" vbProcedure="false">"c1323"</definedName>
    <definedName function="false" hidden="true" name="IQ_UNEARN_REV_CURRENT_BR" vbProcedure="false">"c1324"</definedName>
    <definedName function="false" hidden="true" name="IQ_UNEARN_REV_CURRENT_FIN" vbProcedure="false">"c1325"</definedName>
    <definedName function="false" hidden="true" name="IQ_UNEARN_REV_CURRENT_INS" vbProcedure="false">"c1326"</definedName>
    <definedName function="false" hidden="true" name="IQ_UNEARN_REV_CURRENT_RE" vbProcedure="false">"c6277"</definedName>
    <definedName function="false" hidden="true" name="IQ_UNEARN_REV_CURRENT_REIT" vbProcedure="false">"c1327"</definedName>
    <definedName function="false" hidden="true" name="IQ_UNEARN_REV_CURRENT_UTI" vbProcedure="false">"c1328"</definedName>
    <definedName function="false" hidden="true" name="IQ_UNEARN_REV_LT" vbProcedure="false">"c1329"</definedName>
    <definedName function="false" hidden="true" name="IQ_UNLEVERED_FCF" vbProcedure="false">"c1908"</definedName>
    <definedName function="false" hidden="true" name="IQ_UNPAID_CLAIMS" vbProcedure="false">"c1330"</definedName>
    <definedName function="false" hidden="true" name="IQ_UNPROFITABLE_INSTITUTIONS_FDIC" vbProcedure="false">"c6722"</definedName>
    <definedName function="false" hidden="true" name="IQ_UNREALIZED_GAIN" vbProcedure="false">"c1619"</definedName>
    <definedName function="false" hidden="true" name="IQ_UNSECURED_DEBT" vbProcedure="false">"c2548"</definedName>
    <definedName function="false" hidden="true" name="IQ_UNSECURED_DEBT_PCT" vbProcedure="false">"c2549"</definedName>
    <definedName function="false" hidden="true" name="IQ_UNUSED_LOAN_COMMITMENTS_FDIC" vbProcedure="false">"c6368"</definedName>
    <definedName function="false" hidden="true" name="IQ_UNUSUAL_EXP" vbProcedure="false">"c1456"</definedName>
    <definedName function="false" hidden="true" name="IQ_US_BRANCHES_FOREIGN_BANKS_FDIC" vbProcedure="false">"c6390"</definedName>
    <definedName function="false" hidden="true" name="IQ_US_BRANCHES_FOREIGN_BANK_LOANS_FDIC" vbProcedure="false">"c6435"</definedName>
    <definedName function="false" hidden="true" name="IQ_US_GAAP" vbProcedure="false">"c1331"</definedName>
    <definedName function="false" hidden="true" name="IQ_US_GAAP_BASIC_EPS_EXCL" vbProcedure="false">"c2984"</definedName>
    <definedName function="false" hidden="true" name="IQ_US_GAAP_BASIC_EPS_INCL" vbProcedure="false">"c2982"</definedName>
    <definedName function="false" hidden="true" name="IQ_US_GAAP_BASIC_WEIGHT" vbProcedure="false">"c2980"</definedName>
    <definedName function="false" hidden="true" name="IQ_US_GAAP_CASH_FINAN" vbProcedure="false">"c2945"</definedName>
    <definedName function="false" hidden="true" name="IQ_US_GAAP_CASH_FINAN_ADJ" vbProcedure="false">"c2941"</definedName>
    <definedName function="false" hidden="true" name="IQ_US_GAAP_CASH_INVEST" vbProcedure="false">"c2944"</definedName>
    <definedName function="false" hidden="true" name="IQ_US_GAAP_CASH_INVEST_ADJ" vbProcedure="false">"c2940"</definedName>
    <definedName function="false" hidden="true" name="IQ_US_GAAP_CASH_OPER" vbProcedure="false">"c2943"</definedName>
    <definedName function="false" hidden="true" name="IQ_US_GAAP_CASH_OPER_ADJ" vbProcedure="false">"c2939"</definedName>
    <definedName function="false" hidden="true" name="IQ_US_GAAP_CA_ADJ" vbProcedure="false">"c2925"</definedName>
    <definedName function="false" hidden="true" name="IQ_US_GAAP_CL_ADJ" vbProcedure="false">"c2927"</definedName>
    <definedName function="false" hidden="true" name="IQ_US_GAAP_COST_REV_ADJ" vbProcedure="false">"c2951"</definedName>
    <definedName function="false" hidden="true" name="IQ_US_GAAP_DILUT_EPS_EXCL" vbProcedure="false">"c2985"</definedName>
    <definedName function="false" hidden="true" name="IQ_US_GAAP_DILUT_EPS_INCL" vbProcedure="false">"c2983"</definedName>
    <definedName function="false" hidden="true" name="IQ_US_GAAP_DILUT_NI" vbProcedure="false">"c2979"</definedName>
    <definedName function="false" hidden="true" name="IQ_US_GAAP_DILUT_WEIGHT" vbProcedure="false">"c2981"</definedName>
    <definedName function="false" hidden="true" name="IQ_US_GAAP_DO_ADJ" vbProcedure="false">"c2959"</definedName>
    <definedName function="false" hidden="true" name="IQ_US_GAAP_EXTRA_ACC_ITEMS_ADJ" vbProcedure="false">"c2958"</definedName>
    <definedName function="false" hidden="true" name="IQ_US_GAAP_INC_TAX_ADJ" vbProcedure="false">"c2961"</definedName>
    <definedName function="false" hidden="true" name="IQ_US_GAAP_INTEREST_EXP_ADJ" vbProcedure="false">"c2957"</definedName>
    <definedName function="false" hidden="true" name="IQ_US_GAAP_LIAB_LT_ADJ" vbProcedure="false">"c2928"</definedName>
    <definedName function="false" hidden="true" name="IQ_US_GAAP_LIAB_TOTAL_LIAB" vbProcedure="false">"c2933"</definedName>
    <definedName function="false" hidden="true" name="IQ_US_GAAP_MINORITY_INTEREST_IS_ADJ" vbProcedure="false">"c2960"</definedName>
    <definedName function="false" hidden="true" name="IQ_US_GAAP_NCA_ADJ" vbProcedure="false">"c2926"</definedName>
    <definedName function="false" hidden="true" name="IQ_US_GAAP_NET_CHANGE" vbProcedure="false">"c2946"</definedName>
    <definedName function="false" hidden="true" name="IQ_US_GAAP_NET_CHANGE_ADJ" vbProcedure="false">"c2942"</definedName>
    <definedName function="false" hidden="true" name="IQ_US_GAAP_NI" vbProcedure="false">"c2976"</definedName>
    <definedName function="false" hidden="true" name="IQ_US_GAAP_NI_ADJ" vbProcedure="false">"c2963"</definedName>
    <definedName function="false" hidden="true" name="IQ_US_GAAP_NI_AVAIL_INCL" vbProcedure="false">"c2978"</definedName>
    <definedName function="false" hidden="true" name="IQ_US_GAAP_OTHER_ADJ_ADJ" vbProcedure="false">"c2962"</definedName>
    <definedName function="false" hidden="true" name="IQ_US_GAAP_OTHER_NON_OPER_ADJ" vbProcedure="false">"c2955"</definedName>
    <definedName function="false" hidden="true" name="IQ_US_GAAP_OTHER_OPER_ADJ" vbProcedure="false">"c2954"</definedName>
    <definedName function="false" hidden="true" name="IQ_US_GAAP_RD_ADJ" vbProcedure="false">"c2953"</definedName>
    <definedName function="false" hidden="true" name="IQ_US_GAAP_SGA_ADJ" vbProcedure="false">"c2952"</definedName>
    <definedName function="false" hidden="true" name="IQ_US_GAAP_TOTAL_ASSETS" vbProcedure="false">"c2931"</definedName>
    <definedName function="false" hidden="true" name="IQ_US_GAAP_TOTAL_EQUITY" vbProcedure="false">"c2934"</definedName>
    <definedName function="false" hidden="true" name="IQ_US_GAAP_TOTAL_EQUITY_ADJ" vbProcedure="false">"c2929"</definedName>
    <definedName function="false" hidden="true" name="IQ_US_GAAP_TOTAL_REV_ADJ" vbProcedure="false">"c2950"</definedName>
    <definedName function="false" hidden="true" name="IQ_US_GAAP_TOTAL_UNUSUAL_ADJ" vbProcedure="false">"c2956"</definedName>
    <definedName function="false" hidden="true" name="IQ_US_GOV_AGENCIES_FDIC" vbProcedure="false">"c6395"</definedName>
    <definedName function="false" hidden="true" name="IQ_US_GOV_DEPOSITS_FDIC" vbProcedure="false">"c6483"</definedName>
    <definedName function="false" hidden="true" name="IQ_US_GOV_ENTERPRISES_FDIC" vbProcedure="false">"c6396"</definedName>
    <definedName function="false" hidden="true" name="IQ_US_GOV_NONCURRENT_LOANS_TOTAL_NONCURRENT_FDIC" vbProcedure="false">"c6779"</definedName>
    <definedName function="false" hidden="true" name="IQ_US_GOV_NONTRANSACTION_ACCOUNTS_FDIC" vbProcedure="false">"c6546"</definedName>
    <definedName function="false" hidden="true" name="IQ_US_GOV_OBLIGATIONS_FDIC" vbProcedure="false">"c6299"</definedName>
    <definedName function="false" hidden="true" name="IQ_US_GOV_SECURITIES_FDIC" vbProcedure="false">"c6297"</definedName>
    <definedName function="false" hidden="true" name="IQ_US_GOV_TOTAL_DEPOSITS_FDIC" vbProcedure="false">"c6472"</definedName>
    <definedName function="false" hidden="true" name="IQ_US_GOV_TRANSACTION_ACCOUNTS_FDIC" vbProcedure="false">"c6538"</definedName>
    <definedName function="false" hidden="true" name="IQ_US_TREASURY_SECURITIES_FDIC" vbProcedure="false">"c6298"</definedName>
    <definedName function="false" hidden="true" name="IQ_UTIL_PPE_NET" vbProcedure="false">"c1620"</definedName>
    <definedName function="false" hidden="true" name="IQ_UTIL_REV" vbProcedure="false">"c2091"</definedName>
    <definedName function="false" hidden="true" name="IQ_UV_PENSION_LIAB" vbProcedure="false">"c1332"</definedName>
    <definedName function="false" hidden="true" name="IQ_VALUATION_ALLOWANCES_FDIC" vbProcedure="false">"c6400"</definedName>
    <definedName function="false" hidden="true" name="IQ_VALUE_TRADED" vbProcedure="false">"c1519"</definedName>
    <definedName function="false" hidden="true" name="IQ_VALUE_TRADED_LAST_3MTH" vbProcedure="false">"c1530"</definedName>
    <definedName function="false" hidden="true" name="IQ_VALUE_TRADED_LAST_6MTH" vbProcedure="false">"c1531"</definedName>
    <definedName function="false" hidden="true" name="IQ_VALUE_TRADED_LAST_MTH" vbProcedure="false">"c1529"</definedName>
    <definedName function="false" hidden="true" name="IQ_VALUE_TRADED_LAST_WK" vbProcedure="false">"c1528"</definedName>
    <definedName function="false" hidden="true" name="IQ_VALUE_TRADED_LAST_YR" vbProcedure="false">"c1532"</definedName>
    <definedName function="false" hidden="true" name="IQ_VC_REVENUE_FDIC" vbProcedure="false">"c6667"</definedName>
    <definedName function="false" hidden="true" name="IQ_VOLATILE_LIABILITIES_FDIC" vbProcedure="false">"c6364"</definedName>
    <definedName function="false" hidden="true" name="IQ_VOLUME" vbProcedure="false">"c1333"</definedName>
    <definedName function="false" hidden="true" name="IQ_VOL_LAST_3MTH" vbProcedure="false">"c1525"</definedName>
    <definedName function="false" hidden="true" name="IQ_VOL_LAST_6MTH" vbProcedure="false">"c1526"</definedName>
    <definedName function="false" hidden="true" name="IQ_VOL_LAST_MTH" vbProcedure="false">"c1524"</definedName>
    <definedName function="false" hidden="true" name="IQ_VOL_LAST_WK" vbProcedure="false">"c1523"</definedName>
    <definedName function="false" hidden="true" name="IQ_VOL_LAST_YR" vbProcedure="false">"c1527"</definedName>
    <definedName function="false" hidden="true" name="IQ_WARRANTS_BEG_OS" vbProcedure="false">"c2698"</definedName>
    <definedName function="false" hidden="true" name="IQ_WARRANTS_CANCELLED" vbProcedure="false">"c2701"</definedName>
    <definedName function="false" hidden="true" name="IQ_WARRANTS_END_OS" vbProcedure="false">"c2702"</definedName>
    <definedName function="false" hidden="true" name="IQ_WARRANTS_EXERCISED" vbProcedure="false">"c2700"</definedName>
    <definedName function="false" hidden="true" name="IQ_WARRANTS_ISSUED" vbProcedure="false">"c2699"</definedName>
    <definedName function="false" hidden="true" name="IQ_WARRANTS_STRIKE_PRICE_ISSUED" vbProcedure="false">"c2704"</definedName>
    <definedName function="false" hidden="true" name="IQ_WARRANTS_STRIKE_PRICE_OS" vbProcedure="false">"c2703"</definedName>
    <definedName function="false" hidden="true" name="IQ_WEIGHTED_AVG_PRICE" vbProcedure="false">"c1334"</definedName>
    <definedName function="false" hidden="true" name="IQ_WIP_INV" vbProcedure="false">"c1335"</definedName>
    <definedName function="false" hidden="true" name="IQ_WORKING_CAP" vbProcedure="false">"c3494"</definedName>
    <definedName function="false" hidden="true" name="IQ_WORKMEN_WRITTEN" vbProcedure="false">"c1336"</definedName>
    <definedName function="false" hidden="true" name="IQ_WRITTEN_OPTION_CONTRACTS_FDIC" vbProcedure="false">"c6509"</definedName>
    <definedName function="false" hidden="true" name="IQ_WRITTEN_OPTION_CONTRACTS_FX_RISK_FDIC" vbProcedure="false">"c6514"</definedName>
    <definedName function="false" hidden="true" name="IQ_WRITTEN_OPTION_CONTRACTS_NON_FX_IR_FDIC" vbProcedure="false">"c6519"</definedName>
    <definedName function="false" hidden="true" name="IQ_XDIV_DATE" vbProcedure="false">"c2104"</definedName>
    <definedName function="false" hidden="true" name="IQ_YEARHIGH" vbProcedure="false">"c1337"</definedName>
    <definedName function="false" hidden="true" name="IQ_YEARHIGH_DATE" vbProcedure="false">"c2250"</definedName>
    <definedName function="false" hidden="true" name="IQ_YEARLOW" vbProcedure="false">"c1338"</definedName>
    <definedName function="false" hidden="true" name="IQ_YEARLOW_DATE" vbProcedure="false">"c2251"</definedName>
    <definedName function="false" hidden="true" name="IQ_YEAR_FOUNDED" vbProcedure="false">"c6793"</definedName>
    <definedName function="false" hidden="true" name="IQ_YTD" vbProcedure="false">3000</definedName>
    <definedName function="false" hidden="true" name="IQ_YTW" vbProcedure="false">"c2163"</definedName>
    <definedName function="false" hidden="true" name="IQ_YTW_DATE" vbProcedure="false">"c2164"</definedName>
    <definedName function="false" hidden="true" name="IQ_YTW_DATE_TYPE" vbProcedure="false">"c2165"</definedName>
    <definedName function="false" hidden="true" name="IQ_Z_SCORE" vbProcedure="false">"c1339"</definedName>
    <definedName function="false" hidden="false" name="IR" vbProcedure="false">'[2]Percentual de Impostos'!$D$10</definedName>
    <definedName function="false" hidden="false" name="IREFETIVO" vbProcedure="false">'[2]Percentual de Impostos'!$G$10</definedName>
    <definedName function="false" hidden="false" name="Last_Row" vbProcedure="false">IF(Values_Entered,Header_Row+Number_of_Payments,Header_Row)</definedName>
    <definedName function="false" hidden="false" name="Values_Entered" vbProcedure="false">IF(Loan_Amount*Interest_Rate*Loan_Years*Loan_Start&gt;0,1,0)</definedName>
    <definedName function="false" hidden="false" name="Loan_Amount" vbProcedure="false">'[16]Calculadora de empréstimo'!$E$4</definedName>
    <definedName function="false" hidden="false" name="Loan_Years" vbProcedure="false">'[16]Calculadora de empréstimo'!$E$6</definedName>
    <definedName function="false" hidden="false" name="Loan_Start" vbProcedure="false">'[16]Calculadora de empréstimo'!$E$7</definedName>
    <definedName function="false" hidden="false" name="Number_of_Payments" vbProcedure="false">'[16]Calculadora de empréstimo'!$E$10</definedName>
    <definedName function="false" hidden="false" name="LICENCIAMENTO" vbProcedure="false">[9]Parâmetros!$C$9</definedName>
    <definedName function="false" hidden="true" name="limcount" vbProcedure="false">1</definedName>
    <definedName function="false" hidden="false" name="Loan_Not_Paid" vbProcedure="false">IF(Payment_Number&lt;=Number_of_Payments,1,0)</definedName>
    <definedName function="false" hidden="false" name="Payment_Number" vbProcedure="false">ROW()-Header_Row</definedName>
    <definedName function="false" hidden="false" name="LOJA" vbProcedure="false">[8]premissas!#ref!</definedName>
    <definedName function="false" hidden="false" name="Macro1" vbProcedure="false">[18]!Macro1</definedName>
    <definedName function="false" hidden="false" name="Macro2" vbProcedure="false">[18]!Macro2</definedName>
    <definedName function="false" hidden="false" name="Macro3" vbProcedure="false">[18]!Macro3</definedName>
    <definedName function="false" hidden="false" name="Macro4" vbProcedure="false">[18]!Macro4</definedName>
    <definedName function="false" hidden="false" name="MESES" vbProcedure="false">[19]LISTAS!$B$3:$B$14</definedName>
    <definedName function="false" hidden="false" name="mesesano1" vbProcedure="false">'[4]00- Premissas'!$C$36</definedName>
    <definedName function="false" hidden="false" name="mesesano2" vbProcedure="false">'[4]00- Premissas'!$C$37</definedName>
    <definedName function="false" hidden="false" name="MINAS_FERTIL___INSUMOS_AGROPECUﾁRIOS_LTD" vbProcedure="false">#REF!</definedName>
    <definedName function="false" hidden="false" name="Modalidade" vbProcedure="false">'[20]Contas a Receber Resumido'!$C$25:$C$27</definedName>
    <definedName function="false" hidden="false" name="mofev" vbProcedure="false">'[21]Folha Pagto Orçado'!$B$26</definedName>
    <definedName function="false" hidden="false" name="mojan" vbProcedure="false">'[21]Folha Pagto Orçado'!$B$11</definedName>
    <definedName function="false" hidden="false" name="novo" vbProcedure="false">#REF!</definedName>
    <definedName function="false" hidden="false" name="ok" vbProcedure="false">'[22]Base de Dados'!$C$6:$C$27</definedName>
    <definedName function="false" hidden="true" name="other" vbProcedure="false">{"FTSE44","COMPANIES",TRUE}</definedName>
    <definedName function="false" hidden="true" name="other2" vbProcedure="false">{"350FTSE44","COMPANIES",TRUE}</definedName>
    <definedName function="false" hidden="true" name="other2_1" vbProcedure="false">{"350FTSE44","COMPANIES",TRUE}</definedName>
    <definedName function="false" hidden="true" name="other_1" vbProcedure="false">{"FTSE44","COMPANIES",TRUE}</definedName>
    <definedName function="false" hidden="false" name="pgto" vbProcedure="false">#REF!</definedName>
    <definedName function="false" hidden="false" name="PIS" vbProcedure="false">'[2]Percentual de Impostos'!$D$7</definedName>
    <definedName function="false" hidden="false" name="portadores" vbProcedure="false">#REF!</definedName>
    <definedName function="false" hidden="true" name="ppp" vbProcedure="false">#REF!</definedName>
    <definedName function="false" hidden="false" name="precosdevenda" vbProcedure="false">#REF!</definedName>
    <definedName function="false" hidden="false" name="PROV13" vbProcedure="false">'[15]Provisões Trabalhistas'!$J$6</definedName>
    <definedName function="false" hidden="false" name="PROV13_REAL" vbProcedure="false">#REF!</definedName>
    <definedName function="false" hidden="false" name="PROV13_SIMPLES" vbProcedure="false">#REF!</definedName>
    <definedName function="false" hidden="false" name="PROVFERIAS" vbProcedure="false">'[15]Provisões Trabalhistas'!$J$7</definedName>
    <definedName function="false" hidden="false" name="PROVFERIAS_REAL" vbProcedure="false">#REF!</definedName>
    <definedName function="false" hidden="false" name="PROVFERIAS_SIMPLES" vbProcedure="false">#REF!</definedName>
    <definedName function="false" hidden="false" name="Publicidade" vbProcedure="false">'[4]00- Premissas'!$C$21</definedName>
    <definedName function="false" hidden="true" name="qqq" vbProcedure="false">{#N/A,#N/A,FALSE,"cpt"}</definedName>
    <definedName function="false" hidden="true" name="qqq_1" vbProcedure="false">{#N/A,#N/A,FALSE,"cpt"}</definedName>
    <definedName function="false" hidden="true" name="RangeChange" vbProcedure="false">#N/A</definedName>
    <definedName function="false" hidden="false" name="rcbto" vbProcedure="false">#REF!</definedName>
    <definedName function="false" hidden="false" name="Recebimento" vbProcedure="false">#REF!</definedName>
    <definedName function="false" hidden="false" name="RECEBIMENTOS" vbProcedure="false">[5]Realizado!$B$4:$B$10</definedName>
    <definedName function="false" hidden="false" name="receitas" vbProcedure="false">#REF!</definedName>
    <definedName function="false" hidden="false" name="SAIDAS" vbProcedure="false">#REF!</definedName>
    <definedName function="false" hidden="true" name="sencount" vbProcedure="false">1</definedName>
    <definedName function="false" hidden="false" name="serasa" vbProcedure="false">'[4]00- Premissas'!$C$23</definedName>
    <definedName function="false" hidden="false" name="simples" vbProcedure="false">'[24]Simples Nacional'!$Y$9</definedName>
    <definedName function="false" hidden="true" name="SLEVI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SLEVI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solver_cvg" vbProcedure="false">0.001</definedName>
    <definedName function="false" hidden="true" name="solver_drv" vbProcedure="false">1</definedName>
    <definedName function="false" hidden="true" name="solver_est" vbProcedure="false">1</definedName>
    <definedName function="false" hidden="true" name="solver_itr" vbProcedure="false">100</definedName>
    <definedName function="false" hidden="true" name="solver_lin" vbProcedure="false">2</definedName>
    <definedName function="false" hidden="true" name="solver_neg" vbProcedure="false">2</definedName>
    <definedName function="false" hidden="true" name="solver_num" vbProcedure="false">1</definedName>
    <definedName function="false" hidden="true" name="solver_nwt" vbProcedure="false">1</definedName>
    <definedName function="false" hidden="true" name="solver_pre" vbProcedure="false">0.000001</definedName>
    <definedName function="false" hidden="true" name="solver_rel1" vbProcedure="false">2</definedName>
    <definedName function="false" hidden="true" name="solver_rel2" vbProcedure="false">3</definedName>
    <definedName function="false" hidden="true" name="solver_rhs2" vbProcedure="false">0</definedName>
    <definedName function="false" hidden="true" name="solver_scl" vbProcedure="false">2</definedName>
    <definedName function="false" hidden="true" name="solver_sho" vbProcedure="false">2</definedName>
    <definedName function="false" hidden="true" name="solver_tim" vbProcedure="false">100</definedName>
    <definedName function="false" hidden="true" name="solver_tol" vbProcedure="false">0.05</definedName>
    <definedName function="false" hidden="true" name="solver_typ" vbProcedure="false">3</definedName>
    <definedName function="false" hidden="true" name="solver_val" vbProcedure="false">106.196</definedName>
    <definedName function="false" hidden="true" name="Sompther" vbProcedure="false">{#N/A,#N/A,FALSE,"Aging Summary";#N/A,#N/A,FALSE,"Ratio Analysis";#N/A,#N/A,FALSE,"Test 120 Day Accts";#N/A,#N/A,FALSE,"Tickmarks"}</definedName>
    <definedName function="false" hidden="true" name="Sompther_1" vbProcedure="false">{#N/A,#N/A,FALSE,"Aging Summary";#N/A,#N/A,FALSE,"Ratio Analysis";#N/A,#N/A,FALSE,"Test 120 Day Accts";#N/A,#N/A,FALSE,"Tickmarks"}</definedName>
    <definedName function="false" hidden="true" name="ss" vbProcedure="false">#REF!</definedName>
    <definedName function="false" hidden="false" name="sss" vbProcedure="false">#REF!</definedName>
    <definedName function="false" hidden="true" name="sumtijdschriften" vbProcedure="false">{#N/A,#N/A,FALSE,"Aging Summary";#N/A,#N/A,FALSE,"Ratio Analysis";#N/A,#N/A,FALSE,"Test 120 Day Accts";#N/A,#N/A,FALSE,"Tickmarks"}</definedName>
    <definedName function="false" hidden="true" name="sumtijdschriften_1" vbProcedure="false">{#N/A,#N/A,FALSE,"Aging Summary";#N/A,#N/A,FALSE,"Ratio Analysis";#N/A,#N/A,FALSE,"Test 120 Day Accts";#N/A,#N/A,FALSE,"Tickmarks"}</definedName>
    <definedName function="false" hidden="false" name="taxaefetiva" vbProcedure="false">'[25]Percentual Descontos'!$G$5</definedName>
    <definedName function="false" hidden="false" name="TAXAREMCAPITAL" vbProcedure="false">[9]Parâmetros!$C$11</definedName>
    <definedName function="false" hidden="false" name="TAXAVISTTAC" vbProcedure="false">[9]Parâmetros!$C$8</definedName>
    <definedName function="false" hidden="false" name="telecheque" vbProcedure="false">'[4]00- Premissas'!$C$24</definedName>
    <definedName function="false" hidden="false" name="terceirizações" vbProcedure="false">'[4]00- Premissas'!$C$17</definedName>
    <definedName function="false" hidden="false" name="TIPODESPESAS" vbProcedure="false">#REF!</definedName>
    <definedName function="false" hidden="false" name="tipos" vbProcedure="false">#REF!</definedName>
    <definedName function="false" hidden="false" name="treinador" vbProcedure="false">'[4]00- Premissas'!$C$22</definedName>
    <definedName function="false" hidden="false" name="tttt" vbProcedure="false">#REF!</definedName>
    <definedName function="false" hidden="true" name="Wallace" vbProcedure="false">{"Cover",#N/A,FALSE,"Cover";"Summary",#N/A,FALSE,"Summarpage"}</definedName>
    <definedName function="false" hidden="true" name="Wallace1" vbProcedure="false">{"Data Entry",#N/A,FALSE,"COMPTEMP";"Ratios",#N/A,FALSE,"COMPTEMP";"Aggregate Values",#N/A,FALSE,"COMPTEMP";"Equity Multiples",#N/A,FALSE,"COMPTEMP";"Summary Overview",#N/A,FALSE,"COMPTEMP"}</definedName>
    <definedName function="false" hidden="true" name="Wallace1_1" vbProcedure="false">{"Data Entry",#N/A,FALSE,"COMPTEMP";"Ratios",#N/A,FALSE,"COMPTEMP";"Aggregate Values",#N/A,FALSE,"COMPTEMP";"Equity Multiples",#N/A,FALSE,"COMPTEMP";"Summary Overview",#N/A,FALSE,"COMPTEMP"}</definedName>
    <definedName function="false" hidden="true" name="Wallace_1" vbProcedure="false">{"Cover",#N/A,FALSE,"Cover";"Summary",#N/A,FALSE,"Summarpage"}</definedName>
    <definedName function="false" hidden="true" name="wer" vbProcedure="false">{#N/A,#N/A,FALSE,"Aging Summary";#N/A,#N/A,FALSE,"Ratio Analysis";#N/A,#N/A,FALSE,"Test 120 Day Accts";#N/A,#N/A,FALSE,"Tickmarks"}</definedName>
    <definedName function="false" hidden="true" name="wer_1" vbProcedure="false">{#N/A,#N/A,FALSE,"Aging Summary";#N/A,#N/A,FALSE,"Ratio Analysis";#N/A,#N/A,FALSE,"Test 120 Day Accts";#N/A,#N/A,FALSE,"Tickmarks"}</definedName>
    <definedName function="false" hidden="true" name="wrn.2._.pagers." vbProcedure="false">{"Cover",#N/A,FALSE,"Cover";"Summary",#N/A,FALSE,"Summarpage"}</definedName>
    <definedName function="false" hidden="true" name="wrn.2._.pagers._1" vbProcedure="false">{"Cover",#N/A,FALSE,"Cover";"Summary",#N/A,FALSE,"Summarpage"}</definedName>
    <definedName function="false" hidden="true" name="wrn.Acquisition_matrix." vbProcedure="false">{"Acq_matrix",#N/A,FALSE,"Acquisition Matrix"}</definedName>
    <definedName function="false" hidden="true" name="wrn.Acquisition_matrix._1" vbProcedure="false">{"Acq_matrix",#N/A,FALSE,"Acquisition Matrix"}</definedName>
    <definedName function="false" hidden="true" name="wrn.ALAN.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name="wrn.ALAN._1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name="wrn.all." vbProcedure="false">{#N/A,#N/A,FALSE,"cpt"}</definedName>
    <definedName function="false" hidden="true" name="wrn.All._.Sections." vbProcedure="false">{"Data Entry",#N/A,FALSE,"COMPTEMP";"Ratios",#N/A,FALSE,"COMPTEMP";"Aggregate Values",#N/A,FALSE,"COMPTEMP";"Equity Multiples",#N/A,FALSE,"COMPTEMP";"Summary Overview",#N/A,FALSE,"COMPTEMP"}</definedName>
    <definedName function="false" hidden="true" name="wrn.All._.Sections._1" vbProcedure="false">{"Data Entry",#N/A,FALSE,"COMPTEMP";"Ratios",#N/A,FALSE,"COMPTEMP";"Aggregate Values",#N/A,FALSE,"COMPTEMP";"Equity Multiples",#N/A,FALSE,"COMPTEMP";"Summary Overview",#N/A,FALSE,"COMPTEMP"}</definedName>
    <definedName function="false" hidden="true" name="wrn.all._1" vbProcedure="false">{#N/A,#N/A,FALSE,"cpt"}</definedName>
    <definedName function="false" hidden="true" name="wrn.AQUIROR._.DCF." vbProcedure="false">{"AQUIRORDCF",#N/A,FALSE,"Merger consequences";"Acquirorassns",#N/A,FALSE,"Merger consequences"}</definedName>
    <definedName function="false" hidden="true" name="wrn.AQUIROR._.DCF._1" vbProcedure="false">{"AQUIRORDCF",#N/A,FALSE,"Merger consequences";"Acquirorassns",#N/A,FALSE,"Merger consequences"}</definedName>
    <definedName function="false" hidden="true" name="wrn.breakup.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name="wrn.breakup.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name="wrn.Buildups.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name="wrn.Buildups._1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name="wrn.COMPCO." vbProcedure="false">{"Page1",#N/A,FALSE,"CompCo";"Page2",#N/A,FALSE,"CompCo"}</definedName>
    <definedName function="false" hidden="true" name="wrn.COMPCO._1" vbProcedure="false">{"Page1",#N/A,FALSE,"CompCo";"Page2",#N/A,FALSE,"CompCo"}</definedName>
    <definedName function="false" hidden="true" name="wrn.Complete.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name="wrn.Complete.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name="wrn.DCF_Terminal_Value_qchm." vbProcedure="false">{"qchm_dcf",#N/A,FALSE,"QCHMDCF2";"qchm_terminal",#N/A,FALSE,"QCHMDCF2"}</definedName>
    <definedName function="false" hidden="true" name="wrn.DCF_Terminal_Value_qchm._1" vbProcedure="false">{"qchm_dcf",#N/A,FALSE,"QCHMDCF2";"qchm_terminal",#N/A,FALSE,"QCHMDCF2"}</definedName>
    <definedName function="false" hidden="true" name="wrn.Entire._.Model.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name="wrn.Entire._.Model._1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name="wrn.Financials_long." vbProcedure="false">{"IS",#N/A,FALSE,"Financials2 (Expanded)";"bsa",#N/A,FALSE,"Financials2 (Expanded)";"BS",#N/A,FALSE,"Financials2 (Expanded)";"CF",#N/A,FALSE,"Financials2 (Expanded)"}</definedName>
    <definedName function="false" hidden="true" name="wrn.Financials_long._1" vbProcedure="false">{"IS",#N/A,FALSE,"Financials2 (Expanded)";"bsa",#N/A,FALSE,"Financials2 (Expanded)";"BS",#N/A,FALSE,"Financials2 (Expanded)";"CF",#N/A,FALSE,"Financials2 (Expanded)"}</definedName>
    <definedName function="false" hidden="true" name="wrn.Full._.Monty.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name="wrn.Full._.Monty._1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name="wrn.full._.report.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name="wrn.full._.report._1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name="wrn.JOGO_CONSOLIDADO.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name="wrn.JOGO_CONSOLIDADO._1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name="wrn.Print." vbProcedure="false">{"vi1",#N/A,FALSE,"Financial Statements";"vi2",#N/A,FALSE,"Financial Statements";#N/A,#N/A,FALSE,"DCF"}</definedName>
    <definedName function="false" hidden="true" name="wrn.Print._.Report.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name="wrn.Print._.Report._1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name="wrn.Print._1" vbProcedure="false">{"vi1",#N/A,FALSE,"Financial Statements";"vi2",#N/A,FALSE,"Financial Statements";#N/A,#N/A,FALSE,"DCF"}</definedName>
    <definedName function="false" hidden="true" name="wrn.PrintAll." vbProcedure="false">{"PA1",#N/A,FALSE,"BORDMW";"pa2",#N/A,FALSE,"BORDMW";"PA3",#N/A,FALSE,"BORDMW";"PA4",#N/A,FALSE,"BORDMW"}</definedName>
    <definedName function="false" hidden="true" name="wrn.PrintAll._1" vbProcedure="false">{"PA1",#N/A,FALSE,"BORDMW";"pa2",#N/A,FALSE,"BORDMW";"PA3",#N/A,FALSE,"BORDMW";"PA4",#N/A,FALSE,"BORDMW"}</definedName>
    <definedName function="false" hidden="true" name="wrn.Pulp." vbProcedure="false">{"Pulp Production",#N/A,FALSE,"Pulp";"Pulp Earnings",#N/A,FALSE,"Pulp"}</definedName>
    <definedName function="false" hidden="true" name="wrn.Pulp._1" vbProcedure="false">{"Pulp Production",#N/A,FALSE,"Pulp";"Pulp Earnings",#N/A,FALSE,"Pulp"}</definedName>
    <definedName function="false" hidden="true" name="wrn.Report.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name="wrn.Report.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name="wrn.sales." vbProcedure="false">{"sales",#N/A,FALSE,"Sales";"sales existing",#N/A,FALSE,"Sales";"sales rd1",#N/A,FALSE,"Sales";"sales rd2",#N/A,FALSE,"Sales"}</definedName>
    <definedName function="false" hidden="true" name="wrn.sales._1" vbProcedure="false">{"sales",#N/A,FALSE,"Sales";"sales existing",#N/A,FALSE,"Sales";"sales rd1",#N/A,FALSE,"Sales";"sales rd2",#N/A,FALSE,"Sales"}</definedName>
    <definedName function="false" hidden="true" name="wrn.SHORT." vbProcedure="false">{"CREDIT STATISTICS",#N/A,FALSE,"STATS";"CF_AND_IS",#N/A,FALSE,"PLAN";"BALSHEET",#N/A,FALSE,"BALANCE SHEET"}</definedName>
    <definedName function="false" hidden="true" name="wrn.SHORT._1" vbProcedure="false">{"CREDIT STATISTICS",#N/A,FALSE,"STATS";"CF_AND_IS",#N/A,FALSE,"PLAN";"BALSHEET",#N/A,FALSE,"BALANCE SHEET"}</definedName>
    <definedName function="false" hidden="true" name="wrn.SUMMARY.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wrn.SUMMARY.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name="wrn.TARGET._.DCF." vbProcedure="false">{"targetdcf",#N/A,FALSE,"Merger consequences";"TARGETASSU",#N/A,FALSE,"Merger consequences";"TERMINAL VALUE",#N/A,FALSE,"Merger consequences"}</definedName>
    <definedName function="false" hidden="true" name="wrn.TARGET._.DCF._1" vbProcedure="false">{"targetdcf",#N/A,FALSE,"Merger consequences";"TARGETASSU",#N/A,FALSE,"Merger consequences";"TERMINAL VALUE",#N/A,FALSE,"Merger consequences"}</definedName>
    <definedName function="false" hidden="true" name="wrn.todo." vbProcedure="false">{"Caja",#N/A,TRUE,"P&amp;G BG";"PyG",#N/A,TRUE,"P&amp;G BG";"Balance",#N/A,TRUE,"P&amp;G BG"}</definedName>
    <definedName function="false" hidden="true" name="wrn.todo._1" vbProcedure="false">{"Caja",#N/A,TRUE,"P&amp;G BG";"PyG",#N/A,TRUE,"P&amp;G BG";"Balance",#N/A,TRUE,"P&amp;G BG"}</definedName>
    <definedName function="false" hidden="true" name="wrn.Wacc." vbProcedure="false">{"Area1",#N/A,FALSE,"OREWACC";"Area2",#N/A,FALSE,"OREWACC"}</definedName>
    <definedName function="false" hidden="true" name="wrn.Wacc._1" vbProcedure="false">{"Area1",#N/A,FALSE,"OREWACC";"Area2",#N/A,FALSE,"OREWACC"}</definedName>
    <definedName function="false" hidden="true" name="wwq" vbProcedure="false">{#N/A,#N/A,FALSE,"Aging Summary";#N/A,#N/A,FALSE,"Ratio Analysis";#N/A,#N/A,FALSE,"Test 120 Day Accts";#N/A,#N/A,FALSE,"Tickmarks"}</definedName>
    <definedName function="false" hidden="true" name="wwq_1" vbProcedure="false">{#N/A,#N/A,FALSE,"Aging Summary";#N/A,#N/A,FALSE,"Ratio Analysis";#N/A,#N/A,FALSE,"Test 120 Day Accts";#N/A,#N/A,FALSE,"Tickmarks"}</definedName>
    <definedName function="false" hidden="true" name="www" vbProcedure="false">{#N/A,#N/A,FALSE,"Aging Summary";#N/A,#N/A,FALSE,"Ratio Analysis";#N/A,#N/A,FALSE,"Test 120 Day Accts";#N/A,#N/A,FALSE,"Tickmarks"}</definedName>
    <definedName function="false" hidden="true" name="www_1" vbProcedure="false">{#N/A,#N/A,FALSE,"Aging Summary";#N/A,#N/A,FALSE,"Ratio Analysis";#N/A,#N/A,FALSE,"Test 120 Day Accts";#N/A,#N/A,FALSE,"Tickmarks"}</definedName>
    <definedName function="false" hidden="true" name="XRefColumnsCount" vbProcedure="false">2</definedName>
    <definedName function="false" hidden="true" name="XRefCopy10Row" vbProcedure="false">#REF!</definedName>
    <definedName function="false" hidden="true" name="XRefCopy11Row" vbProcedure="false">#REF!</definedName>
    <definedName function="false" hidden="true" name="XRefCopy12" vbProcedure="false">#REF!</definedName>
    <definedName function="false" hidden="true" name="XRefCopy12Row" vbProcedure="false">#REF!</definedName>
    <definedName function="false" hidden="true" name="XRefCopy13" vbProcedure="false">#REF!</definedName>
    <definedName function="false" hidden="true" name="XRefCopy13Row" vbProcedure="false">#REF!</definedName>
    <definedName function="false" hidden="true" name="XRefCopy14Row" vbProcedure="false">#REF!</definedName>
    <definedName function="false" hidden="true" name="XRefCopy15Row" vbProcedure="false">#REF!</definedName>
    <definedName function="false" hidden="true" name="XRefCopy16Row" vbProcedure="false">#REF!</definedName>
    <definedName function="false" hidden="true" name="XRefCopy17Row" vbProcedure="false">#REF!</definedName>
    <definedName function="false" hidden="true" name="XRefCopy1Row" vbProcedure="false">#REF!</definedName>
    <definedName function="false" hidden="true" name="XRefCopy3Row" vbProcedure="false">#REF!</definedName>
    <definedName function="false" hidden="true" name="XRefCopy7" vbProcedure="false">#REF!</definedName>
    <definedName function="false" hidden="true" name="XRefCopy8" vbProcedure="false">#REF!</definedName>
    <definedName function="false" hidden="true" name="XRefCopy9Row" vbProcedure="false">#REF!</definedName>
    <definedName function="false" hidden="true" name="XRefCopyRangeCount" vbProcedure="false">3</definedName>
    <definedName function="false" hidden="true" name="XRefPaste10Row" vbProcedure="false">#REF!</definedName>
    <definedName function="false" hidden="true" name="XRefPaste11Row" vbProcedure="false">#REF!</definedName>
    <definedName function="false" hidden="true" name="XRefPaste12Row" vbProcedure="false">#REF!</definedName>
    <definedName function="false" hidden="true" name="XRefPaste13Row" vbProcedure="false">#REF!</definedName>
    <definedName function="false" hidden="true" name="XRefPaste14Row" vbProcedure="false">#REF!</definedName>
    <definedName function="false" hidden="true" name="XRefPaste15Row" vbProcedure="false">#REF!</definedName>
    <definedName function="false" hidden="true" name="XRefPaste16Row" vbProcedure="false">#REF!</definedName>
    <definedName function="false" hidden="true" name="XRefPaste17Row" vbProcedure="false">#REF!</definedName>
    <definedName function="false" hidden="true" name="XRefPaste18Row" vbProcedure="false">#REF!</definedName>
    <definedName function="false" hidden="true" name="XRefPaste19Row" vbProcedure="false">#REF!</definedName>
    <definedName function="false" hidden="true" name="XRefPaste21Row" vbProcedure="false">#REF!</definedName>
    <definedName function="false" hidden="true" name="XRefPaste22" vbProcedure="false">#REF!</definedName>
    <definedName function="false" hidden="true" name="XRefPaste23Row" vbProcedure="false">#REF!</definedName>
    <definedName function="false" hidden="true" name="XRefPaste25Row" vbProcedure="false">#REF!</definedName>
    <definedName function="false" hidden="true" name="XRefPaste26Row" vbProcedure="false">#REF!</definedName>
    <definedName function="false" hidden="true" name="XRefPaste27Row" vbProcedure="false">#REF!</definedName>
    <definedName function="false" hidden="true" name="XRefPaste28Row" vbProcedure="false">#REF!</definedName>
    <definedName function="false" hidden="true" name="XRefPaste29Row" vbProcedure="false">#REF!</definedName>
    <definedName function="false" hidden="true" name="XRefPaste30Row" vbProcedure="false">#REF!</definedName>
    <definedName function="false" hidden="true" name="XRefPaste31Row" vbProcedure="false">#REF!</definedName>
    <definedName function="false" hidden="true" name="XRefPaste32Row" vbProcedure="false">#REF!</definedName>
    <definedName function="false" hidden="true" name="XRefPaste33Row" vbProcedure="false">#REF!</definedName>
    <definedName function="false" hidden="true" name="XRefPaste34Row" vbProcedure="false">#REF!</definedName>
    <definedName function="false" hidden="true" name="XRefPaste35Row" vbProcedure="false">#REF!</definedName>
    <definedName function="false" hidden="true" name="XRefPaste5" vbProcedure="false">#REF!</definedName>
    <definedName function="false" hidden="true" name="XRefPaste5Row" vbProcedure="false">#REF!</definedName>
    <definedName function="false" hidden="true" name="XRefPaste6" vbProcedure="false">#REF!</definedName>
    <definedName function="false" hidden="true" name="XRefPaste6Row" vbProcedure="false">#REF!</definedName>
    <definedName function="false" hidden="true" name="XRefPaste7Row" vbProcedure="false">#REF!</definedName>
    <definedName function="false" hidden="true" name="XRefPaste8Row" vbProcedure="false">#REF!</definedName>
    <definedName function="false" hidden="true" name="XRefPaste9Row" vbProcedure="false">#REF!</definedName>
    <definedName function="false" hidden="true" name="XRefPasteRangeCount" vbProcedure="false">7</definedName>
    <definedName function="false" hidden="true" name="XREF_COLUMN_13" vbProcedure="false">#REF!</definedName>
    <definedName function="false" hidden="true" name="XREF_COLUMN_14" vbProcedure="false">#REF!</definedName>
    <definedName function="false" hidden="true" name="XREF_COLUMN_20" vbProcedure="false">#REF!</definedName>
    <definedName function="false" hidden="true" name="XREF_COLUMN_22" vbProcedure="false">#REF!</definedName>
    <definedName function="false" hidden="true" name="XREF_COLUMN_3" vbProcedure="false">#REF!</definedName>
    <definedName function="false" hidden="true" name="XREF_COLUMN_5" vbProcedure="false">#REF!</definedName>
    <definedName function="false" hidden="true" name="XREF_COLUMN_7" vbProcedure="false">#REF!</definedName>
    <definedName function="false" hidden="false" name="_04_Conta_a_Receber" vbProcedure="false">#REF!</definedName>
    <definedName function="false" hidden="false" name="_1" vbProcedure="false">#REF!</definedName>
    <definedName function="false" hidden="false" name="_as2" vbProcedure="false">#N/A</definedName>
    <definedName function="false" hidden="true" name="_bdm.37D454F85632448B8D50FA5EB7F05C94.edm" vbProcedure="false">#REF!</definedName>
    <definedName function="false" hidden="true" name="_bdm.9FCC6661EC454A839FF6E48F17F39194.edm" vbProcedure="false">#REF!</definedName>
    <definedName function="false" hidden="true" name="_bdm.9FEB4F5A2798413FB6BE0568818DA3F0.edm" vbProcedure="false">#REF!</definedName>
    <definedName function="false" hidden="true" name="_Fill" vbProcedure="false">#REF!</definedName>
    <definedName function="false" hidden="true" name="_l" vbProcedure="false">{"IND","COMPANIES",TRUE}</definedName>
    <definedName function="false" hidden="true" name="_l_1" vbProcedure="false">{"IND","COMPANIES",TRUE}</definedName>
    <definedName function="false" hidden="true" name="_Order1" vbProcedure="false">255</definedName>
    <definedName function="false" hidden="true" name="_Order2" vbProcedure="false">255</definedName>
    <definedName function="false" hidden="true" name="_Table1_In1" vbProcedure="false">#REF!</definedName>
    <definedName function="false" hidden="true" name="_Table1_Out" vbProcedure="false">#REF!</definedName>
    <definedName function="false" hidden="true" name="_Table2_In1" vbProcedure="false">'[1]DCF Assumptions'!$G$41</definedName>
    <definedName function="false" hidden="true" name="_Table2_In2" vbProcedure="false">'[1]DCF Assumptions'!$K$35</definedName>
    <definedName function="false" hidden="true" name="_Table2_Out" vbProcedure="false">#REF!</definedName>
    <definedName function="false" hidden="true" name="_W3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name="_W3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name="_w4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name="_w4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name="_w5" vbProcedure="false">{"Pulp Production",#N/A,FALSE,"Pulp";"Pulp Earnings",#N/A,FALSE,"Pulp"}</definedName>
    <definedName function="false" hidden="true" name="_w5_1" vbProcedure="false">{"Pulp Production",#N/A,FALSE,"Pulp";"Pulp Earnings",#N/A,FALSE,"Pulp"}</definedName>
    <definedName function="false" hidden="true" name="_w6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name="_w6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name="__FDS_HYPERLINK_TOGGLE_STATE__" vbProcedure="false">"ON"</definedName>
    <definedName function="false" hidden="true" localSheetId="0" name="Z_A7713350_F813_4ADE_AD3B_2BE7FE1A0C57_.wvu.Cols" vbProcedure="false">metricas!#ref!</definedName>
    <definedName function="false" hidden="true" localSheetId="1" name="AAAA" vbProcedure="false">{#N/A,#N/A,FALSE,"Aging Summary";#N/A,#N/A,FALSE,"Ratio Analysis";#N/A,#N/A,FALSE,"Test 120 Day Accts";#N/A,#N/A,FALSE,"Tickmarks"}</definedName>
    <definedName function="false" hidden="true" localSheetId="1" name="AAAA_1" vbProcedure="false">{#N/A,#N/A,FALSE,"Aging Summary";#N/A,#N/A,FALSE,"Ratio Analysis";#N/A,#N/A,FALSE,"Test 120 Day Accts";#N/A,#N/A,FALSE,"Tickmarks"}</definedName>
    <definedName function="false" hidden="true" localSheetId="1" name="ad" vbProcedure="false">{#N/A,#N/A,FALSE,"Aging Summary";#N/A,#N/A,FALSE,"Ratio Analysis";#N/A,#N/A,FALSE,"Test 120 Day Accts";#N/A,#N/A,FALSE,"Tickmarks"}</definedName>
    <definedName function="false" hidden="true" localSheetId="1" name="adfvad" vbProcedure="false">{#N/A,#N/A,FALSE,"Aging Summary";#N/A,#N/A,FALSE,"Ratio Analysis";#N/A,#N/A,FALSE,"Test 120 Day Accts";#N/A,#N/A,FALSE,"Tickmarks"}</definedName>
    <definedName function="false" hidden="true" localSheetId="1" name="adfvad_1" vbProcedure="false">{#N/A,#N/A,FALSE,"Aging Summary";#N/A,#N/A,FALSE,"Ratio Analysis";#N/A,#N/A,FALSE,"Test 120 Day Accts";#N/A,#N/A,FALSE,"Tickmarks"}</definedName>
    <definedName function="false" hidden="true" localSheetId="1" name="ad_1" vbProcedure="false">{#N/A,#N/A,FALSE,"Aging Summary";#N/A,#N/A,FALSE,"Ratio Analysis";#N/A,#N/A,FALSE,"Test 120 Day Accts";#N/A,#N/A,FALSE,"Tickmarks"}</definedName>
    <definedName function="false" hidden="false" localSheetId="1" name="AS" vbProcedure="false">#REF!</definedName>
    <definedName function="false" hidden="true" localSheetId="1" name="Assumptios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Assumptios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1" name="Atendimento" vbProcedure="false">'[4]00- premissas'!#ref!</definedName>
    <definedName function="false" hidden="false" localSheetId="1" name="aumentopreços" vbProcedure="false">'[4]00- premissas'!#ref!</definedName>
    <definedName function="false" hidden="false" localSheetId="1" name="Banco" vbProcedure="false">#REF!</definedName>
    <definedName function="false" hidden="false" localSheetId="1" name="Bancos" vbProcedure="false">#REF!</definedName>
    <definedName function="false" hidden="true" localSheetId="1" name="BLANK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BLANK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BLANK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BLANK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BROW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BROW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1" name="CATEGORIAS" vbProcedure="false">#REF!</definedName>
    <definedName function="false" hidden="false" localSheetId="1" name="comissoes" vbProcedure="false">[8]premissas!#ref!</definedName>
    <definedName function="false" hidden="false" localSheetId="1" name="contaempresa" vbProcedure="false">[8]premissas!#ref!</definedName>
    <definedName function="false" hidden="false" localSheetId="1" name="contaroberta" vbProcedure="false">[8]premissas!#ref!</definedName>
    <definedName function="false" hidden="false" localSheetId="1" name="CONTAS" vbProcedure="false">#REF!</definedName>
    <definedName function="false" hidden="false" localSheetId="1" name="CustoMP" vbProcedure="false">#REF!</definedName>
    <definedName function="false" hidden="false" localSheetId="1" name="D" vbProcedure="false">'[10]Base de Dados'!$B$18:$B$21</definedName>
    <definedName function="false" hidden="true" localSheetId="1" name="dagbladen_inc_services" vbProcedure="false">{#N/A,#N/A,FALSE,"Aging Summary";#N/A,#N/A,FALSE,"Ratio Analysis";#N/A,#N/A,FALSE,"Test 120 Day Accts";#N/A,#N/A,FALSE,"Tickmarks"}</definedName>
    <definedName function="false" hidden="true" localSheetId="1" name="dagbladen_inc_services_1" vbProcedure="false">{#N/A,#N/A,FALSE,"Aging Summary";#N/A,#N/A,FALSE,"Ratio Analysis";#N/A,#N/A,FALSE,"Test 120 Day Accts";#N/A,#N/A,FALSE,"Tickmarks"}</definedName>
    <definedName function="false" hidden="true" localSheetId="1" name="DD" vbProcedure="false">#REF!</definedName>
    <definedName function="false" hidden="true" localSheetId="1" name="ddad" vbProcedure="false">#REF!</definedName>
    <definedName function="false" hidden="true" localSheetId="1" name="dddd" vbProcedure="false">#REF!</definedName>
    <definedName function="false" hidden="false" localSheetId="1" name="DESPCASA" vbProcedure="false">[8]premissas!#ref!</definedName>
    <definedName function="false" hidden="false" localSheetId="1" name="Despesas" vbProcedure="false">[8]premissas!#ref!</definedName>
    <definedName function="false" hidden="false" localSheetId="1" name="devoluções" vbProcedure="false">'[4]00- premissas'!#ref!</definedName>
    <definedName function="false" hidden="false" localSheetId="1" name="DRE" vbProcedure="false">#REF!</definedName>
    <definedName function="false" hidden="false" localSheetId="1" name="empresas" vbProcedure="false">[8]premissas!#ref!</definedName>
    <definedName function="false" hidden="false" localSheetId="1" name="Entrada" vbProcedure="false">#REF!</definedName>
    <definedName function="false" hidden="false" localSheetId="1" name="Entradas" vbProcedure="false">#REF!</definedName>
    <definedName function="false" hidden="true" localSheetId="1" name="erefafg" vbProcedure="false">{#N/A,#N/A,FALSE,"Aging Summary";#N/A,#N/A,FALSE,"Ratio Analysis";#N/A,#N/A,FALSE,"Test 120 Day Accts";#N/A,#N/A,FALSE,"Tickmarks"}</definedName>
    <definedName function="false" hidden="true" localSheetId="1" name="erefafg_1" vbProcedure="false">{#N/A,#N/A,FALSE,"Aging Summary";#N/A,#N/A,FALSE,"Ratio Analysis";#N/A,#N/A,FALSE,"Test 120 Day Accts";#N/A,#N/A,FALSE,"Tickmarks"}</definedName>
    <definedName function="false" hidden="true" localSheetId="1" name="erer" vbProcedure="false">{#N/A,#N/A,FALSE,"Aging Summary";#N/A,#N/A,FALSE,"Ratio Analysis";#N/A,#N/A,FALSE,"Test 120 Day Accts";#N/A,#N/A,FALSE,"Tickmarks"}</definedName>
    <definedName function="false" hidden="true" localSheetId="1" name="erer_1" vbProcedure="false">{#N/A,#N/A,FALSE,"Aging Summary";#N/A,#N/A,FALSE,"Ratio Analysis";#N/A,#N/A,FALSE,"Test 120 Day Accts";#N/A,#N/A,FALSE,"Tickmarks"}</definedName>
    <definedName function="false" hidden="true" localSheetId="1" name="esnrc14c1" vbProcedure="false">#REF!</definedName>
    <definedName function="false" hidden="true" localSheetId="1" name="esnrc14c1_values" vbProcedure="false">{"FTSE44","COMPANIES",TRUE}</definedName>
    <definedName function="false" hidden="true" localSheetId="1" name="esnrc14c1_values_1" vbProcedure="false">{"FTSE44","COMPANIES",TRUE}</definedName>
    <definedName function="false" hidden="true" localSheetId="1" name="esnrc67c1_values" vbProcedure="false">{"IND","COMPANIES",TRUE}</definedName>
    <definedName function="false" hidden="true" localSheetId="1" name="esnrc67c1_values_1" vbProcedure="false">{"IND","COMPANIES",TRUE}</definedName>
    <definedName function="false" hidden="true" localSheetId="1" name="esnrc6c1_values" vbProcedure="false">{"350FTSE44","COMPANIES",TRUE}</definedName>
    <definedName function="false" hidden="true" localSheetId="1" name="esnrc6c1_values_1" vbProcedure="false">{"350FTSE44","COMPANIES",TRUE}</definedName>
    <definedName function="false" hidden="true" localSheetId="1" name="ewcw" vbProcedure="false">{#N/A,#N/A,FALSE,"Aging Summary";#N/A,#N/A,FALSE,"Ratio Analysis";#N/A,#N/A,FALSE,"Test 120 Day Accts";#N/A,#N/A,FALSE,"Tickmarks"}</definedName>
    <definedName function="false" hidden="true" localSheetId="1" name="ewcw_1" vbProcedure="false">{#N/A,#N/A,FALSE,"Aging Summary";#N/A,#N/A,FALSE,"Ratio Analysis";#N/A,#N/A,FALSE,"Test 120 Day Accts";#N/A,#N/A,FALSE,"Tickmarks"}</definedName>
    <definedName function="false" hidden="true" localSheetId="1" name="f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1" name="FATCL" vbProcedure="false">#REF!</definedName>
    <definedName function="false" hidden="true" localSheetId="1" name="fdd" vbProcedure="false">#REF!</definedName>
    <definedName function="false" hidden="false" localSheetId="1" name="FGTS_REAL" vbProcedure="false">#REF!</definedName>
    <definedName function="false" hidden="false" localSheetId="1" name="FGTS_SIMPLES" vbProcedure="false">#REF!</definedName>
    <definedName function="false" hidden="true" localSheetId="1" name="fresfg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fresfg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f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1" name="hhhhh" vbProcedure="false">#REF!</definedName>
    <definedName function="false" hidden="false" localSheetId="1" name="ICMS" vbProcedure="false">#REF!</definedName>
    <definedName function="false" hidden="false" localSheetId="1" name="INSS_REAL" vbProcedure="false">#REF!</definedName>
    <definedName function="false" hidden="false" localSheetId="1" name="INSS_SIMPLES" vbProcedure="false">#REF!</definedName>
    <definedName function="false" hidden="false" localSheetId="1" name="Last_Row" vbProcedure="false">IF('DRE 2019'!Values_Entered,Header_Row+Number_of_Payments,Header_Row)</definedName>
    <definedName function="false" hidden="false" localSheetId="1" name="Values_Entered" vbProcedure="false">IF(Loan_Amount*Interest_Rate*Loan_Years*Loan_Start&gt;0,1,0)</definedName>
    <definedName function="false" hidden="false" localSheetId="1" name="Loan_Not_Paid" vbProcedure="false">IF('DRE 2019'!Payment_Number&lt;=Number_of_Payments,1,0)</definedName>
    <definedName function="false" hidden="false" localSheetId="1" name="Payment_Number" vbProcedure="false">ROW()-Header_Row</definedName>
    <definedName function="false" hidden="false" localSheetId="1" name="LOJA" vbProcedure="false">[8]premissas!#ref!</definedName>
    <definedName function="false" hidden="false" localSheetId="1" name="MINAS_FERTIL___INSUMOS_AGROPECUﾁRIOS_LTD" vbProcedure="false">#REF!</definedName>
    <definedName function="false" hidden="false" localSheetId="1" name="novo" vbProcedure="false">#REF!</definedName>
    <definedName function="false" hidden="true" localSheetId="1" name="other" vbProcedure="false">{"FTSE44","COMPANIES",TRUE}</definedName>
    <definedName function="false" hidden="true" localSheetId="1" name="other2" vbProcedure="false">{"350FTSE44","COMPANIES",TRUE}</definedName>
    <definedName function="false" hidden="true" localSheetId="1" name="other2_1" vbProcedure="false">{"350FTSE44","COMPANIES",TRUE}</definedName>
    <definedName function="false" hidden="true" localSheetId="1" name="other_1" vbProcedure="false">{"FTSE44","COMPANIES",TRUE}</definedName>
    <definedName function="false" hidden="false" localSheetId="1" name="pgto" vbProcedure="false">#REF!</definedName>
    <definedName function="false" hidden="false" localSheetId="1" name="portadores" vbProcedure="false">[8]premissas!#ref!</definedName>
    <definedName function="false" hidden="true" localSheetId="1" name="ppp" vbProcedure="false">#REF!</definedName>
    <definedName function="false" hidden="false" localSheetId="1" name="precosdevenda" vbProcedure="false">#REF!</definedName>
    <definedName function="false" hidden="false" localSheetId="1" name="PROV13" vbProcedure="false">'[23]Impostos e Provisões'!$I$5</definedName>
    <definedName function="false" hidden="false" localSheetId="1" name="PROV13_REAL" vbProcedure="false">#REF!</definedName>
    <definedName function="false" hidden="false" localSheetId="1" name="PROV13_SIMPLES" vbProcedure="false">#REF!</definedName>
    <definedName function="false" hidden="false" localSheetId="1" name="PROVFERIAS" vbProcedure="false">'[23]Impostos e Provisões'!$I$6</definedName>
    <definedName function="false" hidden="false" localSheetId="1" name="PROVFERIAS_REAL" vbProcedure="false">#REF!</definedName>
    <definedName function="false" hidden="false" localSheetId="1" name="PROVFERIAS_SIMPLES" vbProcedure="false">#REF!</definedName>
    <definedName function="false" hidden="true" localSheetId="1" name="qqq" vbProcedure="false">{#N/A,#N/A,FALSE,"cpt"}</definedName>
    <definedName function="false" hidden="true" localSheetId="1" name="qqq_1" vbProcedure="false">{#N/A,#N/A,FALSE,"cpt"}</definedName>
    <definedName function="false" hidden="false" localSheetId="1" name="rcbto" vbProcedure="false">#REF!</definedName>
    <definedName function="false" hidden="false" localSheetId="1" name="Recebimento" vbProcedure="false">#REF!</definedName>
    <definedName function="false" hidden="false" localSheetId="1" name="receitas" vbProcedure="false">[8]premissas!#ref!</definedName>
    <definedName function="false" hidden="false" localSheetId="1" name="SAIDAS" vbProcedure="false">#REF!</definedName>
    <definedName function="false" hidden="true" localSheetId="1" name="SLEVI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SLEVI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Sompther" vbProcedure="false">{#N/A,#N/A,FALSE,"Aging Summary";#N/A,#N/A,FALSE,"Ratio Analysis";#N/A,#N/A,FALSE,"Test 120 Day Accts";#N/A,#N/A,FALSE,"Tickmarks"}</definedName>
    <definedName function="false" hidden="true" localSheetId="1" name="Sompther_1" vbProcedure="false">{#N/A,#N/A,FALSE,"Aging Summary";#N/A,#N/A,FALSE,"Ratio Analysis";#N/A,#N/A,FALSE,"Test 120 Day Accts";#N/A,#N/A,FALSE,"Tickmarks"}</definedName>
    <definedName function="false" hidden="true" localSheetId="1" name="ss" vbProcedure="false">#REF!</definedName>
    <definedName function="false" hidden="false" localSheetId="1" name="sss" vbProcedure="false">#REF!</definedName>
    <definedName function="false" hidden="true" localSheetId="1" name="sumtijdschriften" vbProcedure="false">{#N/A,#N/A,FALSE,"Aging Summary";#N/A,#N/A,FALSE,"Ratio Analysis";#N/A,#N/A,FALSE,"Test 120 Day Accts";#N/A,#N/A,FALSE,"Tickmarks"}</definedName>
    <definedName function="false" hidden="true" localSheetId="1" name="sumtijdschriften_1" vbProcedure="false">{#N/A,#N/A,FALSE,"Aging Summary";#N/A,#N/A,FALSE,"Ratio Analysis";#N/A,#N/A,FALSE,"Test 120 Day Accts";#N/A,#N/A,FALSE,"Tickmarks"}</definedName>
    <definedName function="false" hidden="false" localSheetId="1" name="TIPODESPESAS" vbProcedure="false">#REF!</definedName>
    <definedName function="false" hidden="false" localSheetId="1" name="tipos" vbProcedure="false">[8]premissas!#ref!</definedName>
    <definedName function="false" hidden="false" localSheetId="1" name="tttt" vbProcedure="false">#REF!</definedName>
    <definedName function="false" hidden="true" localSheetId="1" name="Wallace" vbProcedure="false">{"Cover",#N/A,FALSE,"Cover";"Summary",#N/A,FALSE,"Summarpage"}</definedName>
    <definedName function="false" hidden="true" localSheetId="1" name="Wallace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1" name="Wallace1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1" name="Wallace_1" vbProcedure="false">{"Cover",#N/A,FALSE,"Cover";"Summary",#N/A,FALSE,"Summarpage"}</definedName>
    <definedName function="false" hidden="true" localSheetId="1" name="wer" vbProcedure="false">{#N/A,#N/A,FALSE,"Aging Summary";#N/A,#N/A,FALSE,"Ratio Analysis";#N/A,#N/A,FALSE,"Test 120 Day Accts";#N/A,#N/A,FALSE,"Tickmarks"}</definedName>
    <definedName function="false" hidden="true" localSheetId="1" name="wer_1" vbProcedure="false">{#N/A,#N/A,FALSE,"Aging Summary";#N/A,#N/A,FALSE,"Ratio Analysis";#N/A,#N/A,FALSE,"Test 120 Day Accts";#N/A,#N/A,FALSE,"Tickmarks"}</definedName>
    <definedName function="false" hidden="true" localSheetId="1" name="wrn.2._.pagers." vbProcedure="false">{"Cover",#N/A,FALSE,"Cover";"Summary",#N/A,FALSE,"Summarpage"}</definedName>
    <definedName function="false" hidden="true" localSheetId="1" name="wrn.2._.pagers._1" vbProcedure="false">{"Cover",#N/A,FALSE,"Cover";"Summary",#N/A,FALSE,"Summarpage"}</definedName>
    <definedName function="false" hidden="true" localSheetId="1" name="wrn.Acquisition_matrix." vbProcedure="false">{"Acq_matrix",#N/A,FALSE,"Acquisition Matrix"}</definedName>
    <definedName function="false" hidden="true" localSheetId="1" name="wrn.Acquisition_matrix._1" vbProcedure="false">{"Acq_matrix",#N/A,FALSE,"Acquisition Matrix"}</definedName>
    <definedName function="false" hidden="true" localSheetId="1" name="wrn.ALAN.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1" name="wrn.ALAN._1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1" name="wrn.all." vbProcedure="false">{#N/A,#N/A,FALSE,"cpt"}</definedName>
    <definedName function="false" hidden="true" localSheetId="1" name="wrn.All._.Sections.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1" name="wrn.All._.Sections.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1" name="wrn.all._1" vbProcedure="false">{#N/A,#N/A,FALSE,"cpt"}</definedName>
    <definedName function="false" hidden="true" localSheetId="1" name="wrn.AQUIROR._.DCF." vbProcedure="false">{"AQUIRORDCF",#N/A,FALSE,"Merger consequences";"Acquirorassns",#N/A,FALSE,"Merger consequences"}</definedName>
    <definedName function="false" hidden="true" localSheetId="1" name="wrn.AQUIROR._.DCF._1" vbProcedure="false">{"AQUIRORDCF",#N/A,FALSE,"Merger consequences";"Acquirorassns",#N/A,FALSE,"Merger consequences"}</definedName>
    <definedName function="false" hidden="true" localSheetId="1" name="wrn.breakup.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1" name="wrn.breakup.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1" name="wrn.Buildups.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1" name="wrn.Buildups._1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1" name="wrn.COMPCO." vbProcedure="false">{"Page1",#N/A,FALSE,"CompCo";"Page2",#N/A,FALSE,"CompCo"}</definedName>
    <definedName function="false" hidden="true" localSheetId="1" name="wrn.COMPCO._1" vbProcedure="false">{"Page1",#N/A,FALSE,"CompCo";"Page2",#N/A,FALSE,"CompCo"}</definedName>
    <definedName function="false" hidden="true" localSheetId="1" name="wrn.Complete.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1" name="wrn.Complete.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1" name="wrn.DCF_Terminal_Value_qchm." vbProcedure="false">{"qchm_dcf",#N/A,FALSE,"QCHMDCF2";"qchm_terminal",#N/A,FALSE,"QCHMDCF2"}</definedName>
    <definedName function="false" hidden="true" localSheetId="1" name="wrn.DCF_Terminal_Value_qchm._1" vbProcedure="false">{"qchm_dcf",#N/A,FALSE,"QCHMDCF2";"qchm_terminal",#N/A,FALSE,"QCHMDCF2"}</definedName>
    <definedName function="false" hidden="true" localSheetId="1" name="wrn.Entire._.Model.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1" name="wrn.Entire._.Model._1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1" name="wrn.Financials_long." vbProcedure="false">{"IS",#N/A,FALSE,"Financials2 (Expanded)";"bsa",#N/A,FALSE,"Financials2 (Expanded)";"BS",#N/A,FALSE,"Financials2 (Expanded)";"CF",#N/A,FALSE,"Financials2 (Expanded)"}</definedName>
    <definedName function="false" hidden="true" localSheetId="1" name="wrn.Financials_long._1" vbProcedure="false">{"IS",#N/A,FALSE,"Financials2 (Expanded)";"bsa",#N/A,FALSE,"Financials2 (Expanded)";"BS",#N/A,FALSE,"Financials2 (Expanded)";"CF",#N/A,FALSE,"Financials2 (Expanded)"}</definedName>
    <definedName function="false" hidden="true" localSheetId="1" name="wrn.Full._.Monty.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1" name="wrn.Full._.Monty._1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1" name="wrn.full._.report.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1" name="wrn.full._.report._1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1" name="wrn.JOGO_CONSOLIDADO.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1" name="wrn.JOGO_CONSOLIDADO._1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1" name="wrn.Print." vbProcedure="false">{"vi1",#N/A,FALSE,"Financial Statements";"vi2",#N/A,FALSE,"Financial Statements";#N/A,#N/A,FALSE,"DCF"}</definedName>
    <definedName function="false" hidden="true" localSheetId="1" name="wrn.Print._.Report.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1" name="wrn.Print._.Report._1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1" name="wrn.Print._1" vbProcedure="false">{"vi1",#N/A,FALSE,"Financial Statements";"vi2",#N/A,FALSE,"Financial Statements";#N/A,#N/A,FALSE,"DCF"}</definedName>
    <definedName function="false" hidden="true" localSheetId="1" name="wrn.PrintAll." vbProcedure="false">{"PA1",#N/A,FALSE,"BORDMW";"pa2",#N/A,FALSE,"BORDMW";"PA3",#N/A,FALSE,"BORDMW";"PA4",#N/A,FALSE,"BORDMW"}</definedName>
    <definedName function="false" hidden="true" localSheetId="1" name="wrn.PrintAll._1" vbProcedure="false">{"PA1",#N/A,FALSE,"BORDMW";"pa2",#N/A,FALSE,"BORDMW";"PA3",#N/A,FALSE,"BORDMW";"PA4",#N/A,FALSE,"BORDMW"}</definedName>
    <definedName function="false" hidden="true" localSheetId="1" name="wrn.Pulp." vbProcedure="false">{"Pulp Production",#N/A,FALSE,"Pulp";"Pulp Earnings",#N/A,FALSE,"Pulp"}</definedName>
    <definedName function="false" hidden="true" localSheetId="1" name="wrn.Pulp._1" vbProcedure="false">{"Pulp Production",#N/A,FALSE,"Pulp";"Pulp Earnings",#N/A,FALSE,"Pulp"}</definedName>
    <definedName function="false" hidden="true" localSheetId="1" name="wrn.Report.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1" name="wrn.Report.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1" name="wrn.sales." vbProcedure="false">{"sales",#N/A,FALSE,"Sales";"sales existing",#N/A,FALSE,"Sales";"sales rd1",#N/A,FALSE,"Sales";"sales rd2",#N/A,FALSE,"Sales"}</definedName>
    <definedName function="false" hidden="true" localSheetId="1" name="wrn.sales._1" vbProcedure="false">{"sales",#N/A,FALSE,"Sales";"sales existing",#N/A,FALSE,"Sales";"sales rd1",#N/A,FALSE,"Sales";"sales rd2",#N/A,FALSE,"Sales"}</definedName>
    <definedName function="false" hidden="true" localSheetId="1" name="wrn.SHORT." vbProcedure="false">{"CREDIT STATISTICS",#N/A,FALSE,"STATS";"CF_AND_IS",#N/A,FALSE,"PLAN";"BALSHEET",#N/A,FALSE,"BALANCE SHEET"}</definedName>
    <definedName function="false" hidden="true" localSheetId="1" name="wrn.SHORT._1" vbProcedure="false">{"CREDIT STATISTICS",#N/A,FALSE,"STATS";"CF_AND_IS",#N/A,FALSE,"PLAN";"BALSHEET",#N/A,FALSE,"BALANCE SHEET"}</definedName>
    <definedName function="false" hidden="true" localSheetId="1" name="wrn.SUMMARY.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wrn.SUMMARY.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1" name="wrn.TARGET._.DCF." vbProcedure="false">{"targetdcf",#N/A,FALSE,"Merger consequences";"TARGETASSU",#N/A,FALSE,"Merger consequences";"TERMINAL VALUE",#N/A,FALSE,"Merger consequences"}</definedName>
    <definedName function="false" hidden="true" localSheetId="1" name="wrn.TARGET._.DCF._1" vbProcedure="false">{"targetdcf",#N/A,FALSE,"Merger consequences";"TARGETASSU",#N/A,FALSE,"Merger consequences";"TERMINAL VALUE",#N/A,FALSE,"Merger consequences"}</definedName>
    <definedName function="false" hidden="true" localSheetId="1" name="wrn.todo." vbProcedure="false">{"Caja",#N/A,TRUE,"P&amp;G BG";"PyG",#N/A,TRUE,"P&amp;G BG";"Balance",#N/A,TRUE,"P&amp;G BG"}</definedName>
    <definedName function="false" hidden="true" localSheetId="1" name="wrn.todo._1" vbProcedure="false">{"Caja",#N/A,TRUE,"P&amp;G BG";"PyG",#N/A,TRUE,"P&amp;G BG";"Balance",#N/A,TRUE,"P&amp;G BG"}</definedName>
    <definedName function="false" hidden="true" localSheetId="1" name="wrn.Wacc." vbProcedure="false">{"Area1",#N/A,FALSE,"OREWACC";"Area2",#N/A,FALSE,"OREWACC"}</definedName>
    <definedName function="false" hidden="true" localSheetId="1" name="wrn.Wacc._1" vbProcedure="false">{"Area1",#N/A,FALSE,"OREWACC";"Area2",#N/A,FALSE,"OREWACC"}</definedName>
    <definedName function="false" hidden="true" localSheetId="1" name="wwq" vbProcedure="false">{#N/A,#N/A,FALSE,"Aging Summary";#N/A,#N/A,FALSE,"Ratio Analysis";#N/A,#N/A,FALSE,"Test 120 Day Accts";#N/A,#N/A,FALSE,"Tickmarks"}</definedName>
    <definedName function="false" hidden="true" localSheetId="1" name="wwq_1" vbProcedure="false">{#N/A,#N/A,FALSE,"Aging Summary";#N/A,#N/A,FALSE,"Ratio Analysis";#N/A,#N/A,FALSE,"Test 120 Day Accts";#N/A,#N/A,FALSE,"Tickmarks"}</definedName>
    <definedName function="false" hidden="true" localSheetId="1" name="www" vbProcedure="false">{#N/A,#N/A,FALSE,"Aging Summary";#N/A,#N/A,FALSE,"Ratio Analysis";#N/A,#N/A,FALSE,"Test 120 Day Accts";#N/A,#N/A,FALSE,"Tickmarks"}</definedName>
    <definedName function="false" hidden="true" localSheetId="1" name="www_1" vbProcedure="false">{#N/A,#N/A,FALSE,"Aging Summary";#N/A,#N/A,FALSE,"Ratio Analysis";#N/A,#N/A,FALSE,"Test 120 Day Accts";#N/A,#N/A,FALSE,"Tickmarks"}</definedName>
    <definedName function="false" hidden="true" localSheetId="1" name="XRefCopy10Row" vbProcedure="false">#REF!</definedName>
    <definedName function="false" hidden="true" localSheetId="1" name="XRefCopy11Row" vbProcedure="false">#REF!</definedName>
    <definedName function="false" hidden="true" localSheetId="1" name="XRefCopy12" vbProcedure="false">#REF!</definedName>
    <definedName function="false" hidden="true" localSheetId="1" name="XRefCopy12Row" vbProcedure="false">#REF!</definedName>
    <definedName function="false" hidden="true" localSheetId="1" name="XRefCopy13" vbProcedure="false">#REF!</definedName>
    <definedName function="false" hidden="true" localSheetId="1" name="XRefCopy13Row" vbProcedure="false">#REF!</definedName>
    <definedName function="false" hidden="true" localSheetId="1" name="XRefCopy14Row" vbProcedure="false">#REF!</definedName>
    <definedName function="false" hidden="true" localSheetId="1" name="XRefCopy15Row" vbProcedure="false">#REF!</definedName>
    <definedName function="false" hidden="true" localSheetId="1" name="XRefCopy16Row" vbProcedure="false">#REF!</definedName>
    <definedName function="false" hidden="true" localSheetId="1" name="XRefCopy17Row" vbProcedure="false">#REF!</definedName>
    <definedName function="false" hidden="true" localSheetId="1" name="XRefCopy1Row" vbProcedure="false">#REF!</definedName>
    <definedName function="false" hidden="true" localSheetId="1" name="XRefCopy3Row" vbProcedure="false">#REF!</definedName>
    <definedName function="false" hidden="true" localSheetId="1" name="XRefCopy7" vbProcedure="false">#REF!</definedName>
    <definedName function="false" hidden="true" localSheetId="1" name="XRefCopy8" vbProcedure="false">#REF!</definedName>
    <definedName function="false" hidden="true" localSheetId="1" name="XRefCopy9Row" vbProcedure="false">#REF!</definedName>
    <definedName function="false" hidden="true" localSheetId="1" name="XRefPaste10Row" vbProcedure="false">#REF!</definedName>
    <definedName function="false" hidden="true" localSheetId="1" name="XRefPaste11Row" vbProcedure="false">#REF!</definedName>
    <definedName function="false" hidden="true" localSheetId="1" name="XRefPaste12Row" vbProcedure="false">#REF!</definedName>
    <definedName function="false" hidden="true" localSheetId="1" name="XRefPaste13Row" vbProcedure="false">#REF!</definedName>
    <definedName function="false" hidden="true" localSheetId="1" name="XRefPaste14Row" vbProcedure="false">#REF!</definedName>
    <definedName function="false" hidden="true" localSheetId="1" name="XRefPaste15Row" vbProcedure="false">#REF!</definedName>
    <definedName function="false" hidden="true" localSheetId="1" name="XRefPaste16Row" vbProcedure="false">#REF!</definedName>
    <definedName function="false" hidden="true" localSheetId="1" name="XRefPaste17Row" vbProcedure="false">#REF!</definedName>
    <definedName function="false" hidden="true" localSheetId="1" name="XRefPaste18Row" vbProcedure="false">#REF!</definedName>
    <definedName function="false" hidden="true" localSheetId="1" name="XRefPaste19Row" vbProcedure="false">#REF!</definedName>
    <definedName function="false" hidden="true" localSheetId="1" name="XRefPaste21Row" vbProcedure="false">#REF!</definedName>
    <definedName function="false" hidden="true" localSheetId="1" name="XRefPaste22" vbProcedure="false">#REF!</definedName>
    <definedName function="false" hidden="true" localSheetId="1" name="XRefPaste23Row" vbProcedure="false">#REF!</definedName>
    <definedName function="false" hidden="true" localSheetId="1" name="XRefPaste25Row" vbProcedure="false">#REF!</definedName>
    <definedName function="false" hidden="true" localSheetId="1" name="XRefPaste26Row" vbProcedure="false">#REF!</definedName>
    <definedName function="false" hidden="true" localSheetId="1" name="XRefPaste27Row" vbProcedure="false">#REF!</definedName>
    <definedName function="false" hidden="true" localSheetId="1" name="XRefPaste28Row" vbProcedure="false">#REF!</definedName>
    <definedName function="false" hidden="true" localSheetId="1" name="XRefPaste29Row" vbProcedure="false">#REF!</definedName>
    <definedName function="false" hidden="true" localSheetId="1" name="XRefPaste30Row" vbProcedure="false">#REF!</definedName>
    <definedName function="false" hidden="true" localSheetId="1" name="XRefPaste31Row" vbProcedure="false">#REF!</definedName>
    <definedName function="false" hidden="true" localSheetId="1" name="XRefPaste32Row" vbProcedure="false">#REF!</definedName>
    <definedName function="false" hidden="true" localSheetId="1" name="XRefPaste33Row" vbProcedure="false">#REF!</definedName>
    <definedName function="false" hidden="true" localSheetId="1" name="XRefPaste34Row" vbProcedure="false">#REF!</definedName>
    <definedName function="false" hidden="true" localSheetId="1" name="XRefPaste35Row" vbProcedure="false">#REF!</definedName>
    <definedName function="false" hidden="true" localSheetId="1" name="XRefPaste5" vbProcedure="false">#REF!</definedName>
    <definedName function="false" hidden="true" localSheetId="1" name="XRefPaste5Row" vbProcedure="false">#REF!</definedName>
    <definedName function="false" hidden="true" localSheetId="1" name="XRefPaste6" vbProcedure="false">#REF!</definedName>
    <definedName function="false" hidden="true" localSheetId="1" name="XRefPaste6Row" vbProcedure="false">#REF!</definedName>
    <definedName function="false" hidden="true" localSheetId="1" name="XRefPaste7Row" vbProcedure="false">#REF!</definedName>
    <definedName function="false" hidden="true" localSheetId="1" name="XRefPaste8Row" vbProcedure="false">#REF!</definedName>
    <definedName function="false" hidden="true" localSheetId="1" name="XRefPaste9Row" vbProcedure="false">#REF!</definedName>
    <definedName function="false" hidden="true" localSheetId="1" name="XREF_COLUMN_13" vbProcedure="false">#REF!</definedName>
    <definedName function="false" hidden="true" localSheetId="1" name="XREF_COLUMN_14" vbProcedure="false">#REF!</definedName>
    <definedName function="false" hidden="true" localSheetId="1" name="XREF_COLUMN_20" vbProcedure="false">#REF!</definedName>
    <definedName function="false" hidden="true" localSheetId="1" name="XREF_COLUMN_22" vbProcedure="false">#REF!</definedName>
    <definedName function="false" hidden="true" localSheetId="1" name="XREF_COLUMN_3" vbProcedure="false">#REF!</definedName>
    <definedName function="false" hidden="true" localSheetId="1" name="XREF_COLUMN_5" vbProcedure="false">#REF!</definedName>
    <definedName function="false" hidden="true" localSheetId="1" name="XREF_COLUMN_7" vbProcedure="false">#REF!</definedName>
    <definedName function="false" hidden="false" localSheetId="1" name="_04_Conta_a_Receber" vbProcedure="false">#REF!</definedName>
    <definedName function="false" hidden="false" localSheetId="1" name="_1" vbProcedure="false">#REF!</definedName>
    <definedName function="false" hidden="true" localSheetId="1" name="_bdm.37D454F85632448B8D50FA5EB7F05C94.edm" vbProcedure="false">#REF!</definedName>
    <definedName function="false" hidden="true" localSheetId="1" name="_bdm.9FCC6661EC454A839FF6E48F17F39194.edm" vbProcedure="false">#REF!</definedName>
    <definedName function="false" hidden="true" localSheetId="1" name="_bdm.9FEB4F5A2798413FB6BE0568818DA3F0.edm" vbProcedure="false">#REF!</definedName>
    <definedName function="false" hidden="true" localSheetId="1" name="_Fill" vbProcedure="false">#REF!</definedName>
    <definedName function="false" hidden="true" localSheetId="1" name="_l" vbProcedure="false">{"IND","COMPANIES",TRUE}</definedName>
    <definedName function="false" hidden="true" localSheetId="1" name="_l_1" vbProcedure="false">{"IND","COMPANIES",TRUE}</definedName>
    <definedName function="false" hidden="true" localSheetId="1" name="_Table1_In1" vbProcedure="false">#REF!</definedName>
    <definedName function="false" hidden="true" localSheetId="1" name="_Table1_Out" vbProcedure="false">#REF!</definedName>
    <definedName function="false" hidden="true" localSheetId="1" name="_Table2_Out" vbProcedure="false">#REF!</definedName>
    <definedName function="false" hidden="true" localSheetId="1" name="_W3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1" name="_W3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1" name="_w4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1" name="_w4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1" name="_w5" vbProcedure="false">{"Pulp Production",#N/A,FALSE,"Pulp";"Pulp Earnings",#N/A,FALSE,"Pulp"}</definedName>
    <definedName function="false" hidden="true" localSheetId="1" name="_w5_1" vbProcedure="false">{"Pulp Production",#N/A,FALSE,"Pulp";"Pulp Earnings",#N/A,FALSE,"Pulp"}</definedName>
    <definedName function="false" hidden="true" localSheetId="1" name="_w6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1" name="_w6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2" name="AAAA" vbProcedure="false">{#N/A,#N/A,FALSE,"Aging Summary";#N/A,#N/A,FALSE,"Ratio Analysis";#N/A,#N/A,FALSE,"Test 120 Day Accts";#N/A,#N/A,FALSE,"Tickmarks"}</definedName>
    <definedName function="false" hidden="true" localSheetId="2" name="AAAA_1" vbProcedure="false">{#N/A,#N/A,FALSE,"Aging Summary";#N/A,#N/A,FALSE,"Ratio Analysis";#N/A,#N/A,FALSE,"Test 120 Day Accts";#N/A,#N/A,FALSE,"Tickmarks"}</definedName>
    <definedName function="false" hidden="true" localSheetId="2" name="ad" vbProcedure="false">{#N/A,#N/A,FALSE,"Aging Summary";#N/A,#N/A,FALSE,"Ratio Analysis";#N/A,#N/A,FALSE,"Test 120 Day Accts";#N/A,#N/A,FALSE,"Tickmarks"}</definedName>
    <definedName function="false" hidden="true" localSheetId="2" name="adfvad" vbProcedure="false">{#N/A,#N/A,FALSE,"Aging Summary";#N/A,#N/A,FALSE,"Ratio Analysis";#N/A,#N/A,FALSE,"Test 120 Day Accts";#N/A,#N/A,FALSE,"Tickmarks"}</definedName>
    <definedName function="false" hidden="true" localSheetId="2" name="adfvad_1" vbProcedure="false">{#N/A,#N/A,FALSE,"Aging Summary";#N/A,#N/A,FALSE,"Ratio Analysis";#N/A,#N/A,FALSE,"Test 120 Day Accts";#N/A,#N/A,FALSE,"Tickmarks"}</definedName>
    <definedName function="false" hidden="true" localSheetId="2" name="ad_1" vbProcedure="false">{#N/A,#N/A,FALSE,"Aging Summary";#N/A,#N/A,FALSE,"Ratio Analysis";#N/A,#N/A,FALSE,"Test 120 Day Accts";#N/A,#N/A,FALSE,"Tickmarks"}</definedName>
    <definedName function="false" hidden="false" localSheetId="2" name="AS" vbProcedure="false">#REF!</definedName>
    <definedName function="false" hidden="true" localSheetId="2" name="Assumptios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Assumptios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2" name="Atendimento" vbProcedure="false">'[4]00- premissas'!#ref!</definedName>
    <definedName function="false" hidden="false" localSheetId="2" name="aumentopreços" vbProcedure="false">'[4]00- premissas'!#ref!</definedName>
    <definedName function="false" hidden="false" localSheetId="2" name="Banco" vbProcedure="false">#REF!</definedName>
    <definedName function="false" hidden="false" localSheetId="2" name="Bancos" vbProcedure="false">#REF!</definedName>
    <definedName function="false" hidden="true" localSheetId="2" name="BLANK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BLANK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BLANK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BLANK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BROW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BROW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2" name="CATEGORIAS" vbProcedure="false">#REF!</definedName>
    <definedName function="false" hidden="false" localSheetId="2" name="comissoes" vbProcedure="false">[8]premissas!#ref!</definedName>
    <definedName function="false" hidden="false" localSheetId="2" name="contaempresa" vbProcedure="false">[8]premissas!#ref!</definedName>
    <definedName function="false" hidden="false" localSheetId="2" name="contaroberta" vbProcedure="false">[8]premissas!#ref!</definedName>
    <definedName function="false" hidden="false" localSheetId="2" name="CONTAS" vbProcedure="false">#REF!</definedName>
    <definedName function="false" hidden="false" localSheetId="2" name="CustoMP" vbProcedure="false">#REF!</definedName>
    <definedName function="false" hidden="false" localSheetId="2" name="D" vbProcedure="false">'[10]Base de Dados'!$B$18:$B$21</definedName>
    <definedName function="false" hidden="true" localSheetId="2" name="dagbladen_inc_services" vbProcedure="false">{#N/A,#N/A,FALSE,"Aging Summary";#N/A,#N/A,FALSE,"Ratio Analysis";#N/A,#N/A,FALSE,"Test 120 Day Accts";#N/A,#N/A,FALSE,"Tickmarks"}</definedName>
    <definedName function="false" hidden="true" localSheetId="2" name="dagbladen_inc_services_1" vbProcedure="false">{#N/A,#N/A,FALSE,"Aging Summary";#N/A,#N/A,FALSE,"Ratio Analysis";#N/A,#N/A,FALSE,"Test 120 Day Accts";#N/A,#N/A,FALSE,"Tickmarks"}</definedName>
    <definedName function="false" hidden="true" localSheetId="2" name="DD" vbProcedure="false">#REF!</definedName>
    <definedName function="false" hidden="true" localSheetId="2" name="ddad" vbProcedure="false">#REF!</definedName>
    <definedName function="false" hidden="true" localSheetId="2" name="dddd" vbProcedure="false">#REF!</definedName>
    <definedName function="false" hidden="false" localSheetId="2" name="DESPCASA" vbProcedure="false">[8]premissas!#ref!</definedName>
    <definedName function="false" hidden="false" localSheetId="2" name="Despesas" vbProcedure="false">[8]premissas!#ref!</definedName>
    <definedName function="false" hidden="false" localSheetId="2" name="devoluções" vbProcedure="false">'[4]00- premissas'!#ref!</definedName>
    <definedName function="false" hidden="false" localSheetId="2" name="DRE" vbProcedure="false">#REF!</definedName>
    <definedName function="false" hidden="false" localSheetId="2" name="empresas" vbProcedure="false">[8]premissas!#ref!</definedName>
    <definedName function="false" hidden="false" localSheetId="2" name="Entrada" vbProcedure="false">#REF!</definedName>
    <definedName function="false" hidden="false" localSheetId="2" name="Entradas" vbProcedure="false">#REF!</definedName>
    <definedName function="false" hidden="true" localSheetId="2" name="erefafg" vbProcedure="false">{#N/A,#N/A,FALSE,"Aging Summary";#N/A,#N/A,FALSE,"Ratio Analysis";#N/A,#N/A,FALSE,"Test 120 Day Accts";#N/A,#N/A,FALSE,"Tickmarks"}</definedName>
    <definedName function="false" hidden="true" localSheetId="2" name="erefafg_1" vbProcedure="false">{#N/A,#N/A,FALSE,"Aging Summary";#N/A,#N/A,FALSE,"Ratio Analysis";#N/A,#N/A,FALSE,"Test 120 Day Accts";#N/A,#N/A,FALSE,"Tickmarks"}</definedName>
    <definedName function="false" hidden="true" localSheetId="2" name="erer" vbProcedure="false">{#N/A,#N/A,FALSE,"Aging Summary";#N/A,#N/A,FALSE,"Ratio Analysis";#N/A,#N/A,FALSE,"Test 120 Day Accts";#N/A,#N/A,FALSE,"Tickmarks"}</definedName>
    <definedName function="false" hidden="true" localSheetId="2" name="erer_1" vbProcedure="false">{#N/A,#N/A,FALSE,"Aging Summary";#N/A,#N/A,FALSE,"Ratio Analysis";#N/A,#N/A,FALSE,"Test 120 Day Accts";#N/A,#N/A,FALSE,"Tickmarks"}</definedName>
    <definedName function="false" hidden="true" localSheetId="2" name="esnrc14c1" vbProcedure="false">#REF!</definedName>
    <definedName function="false" hidden="true" localSheetId="2" name="esnrc14c1_values" vbProcedure="false">{"FTSE44","COMPANIES",TRUE}</definedName>
    <definedName function="false" hidden="true" localSheetId="2" name="esnrc14c1_values_1" vbProcedure="false">{"FTSE44","COMPANIES",TRUE}</definedName>
    <definedName function="false" hidden="true" localSheetId="2" name="esnrc67c1_values" vbProcedure="false">{"IND","COMPANIES",TRUE}</definedName>
    <definedName function="false" hidden="true" localSheetId="2" name="esnrc67c1_values_1" vbProcedure="false">{"IND","COMPANIES",TRUE}</definedName>
    <definedName function="false" hidden="true" localSheetId="2" name="esnrc6c1_values" vbProcedure="false">{"350FTSE44","COMPANIES",TRUE}</definedName>
    <definedName function="false" hidden="true" localSheetId="2" name="esnrc6c1_values_1" vbProcedure="false">{"350FTSE44","COMPANIES",TRUE}</definedName>
    <definedName function="false" hidden="true" localSheetId="2" name="ewcw" vbProcedure="false">{#N/A,#N/A,FALSE,"Aging Summary";#N/A,#N/A,FALSE,"Ratio Analysis";#N/A,#N/A,FALSE,"Test 120 Day Accts";#N/A,#N/A,FALSE,"Tickmarks"}</definedName>
    <definedName function="false" hidden="true" localSheetId="2" name="ewcw_1" vbProcedure="false">{#N/A,#N/A,FALSE,"Aging Summary";#N/A,#N/A,FALSE,"Ratio Analysis";#N/A,#N/A,FALSE,"Test 120 Day Accts";#N/A,#N/A,FALSE,"Tickmarks"}</definedName>
    <definedName function="false" hidden="true" localSheetId="2" name="f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2" name="FATCL" vbProcedure="false">#REF!</definedName>
    <definedName function="false" hidden="true" localSheetId="2" name="fdd" vbProcedure="false">#REF!</definedName>
    <definedName function="false" hidden="false" localSheetId="2" name="FGTS_REAL" vbProcedure="false">#REF!</definedName>
    <definedName function="false" hidden="false" localSheetId="2" name="FGTS_SIMPLES" vbProcedure="false">#REF!</definedName>
    <definedName function="false" hidden="true" localSheetId="2" name="fresfg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fresfg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f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2" name="hhhhh" vbProcedure="false">#REF!</definedName>
    <definedName function="false" hidden="false" localSheetId="2" name="ICMS" vbProcedure="false">#REF!</definedName>
    <definedName function="false" hidden="false" localSheetId="2" name="INSS_REAL" vbProcedure="false">#REF!</definedName>
    <definedName function="false" hidden="false" localSheetId="2" name="INSS_SIMPLES" vbProcedure="false">#REF!</definedName>
    <definedName function="false" hidden="false" localSheetId="2" name="Last_Row" vbProcedure="false">IF('DRE 2020'!Values_Entered,Header_Row+Number_of_Payments,Header_Row)</definedName>
    <definedName function="false" hidden="false" localSheetId="2" name="Values_Entered" vbProcedure="false">IF(Loan_Amount*Interest_Rate*Loan_Years*Loan_Start&gt;0,1,0)</definedName>
    <definedName function="false" hidden="false" localSheetId="2" name="Loan_Not_Paid" vbProcedure="false">IF('DRE 2020'!Payment_Number&lt;=Number_of_Payments,1,0)</definedName>
    <definedName function="false" hidden="false" localSheetId="2" name="Payment_Number" vbProcedure="false">ROW()-Header_Row</definedName>
    <definedName function="false" hidden="false" localSheetId="2" name="LOJA" vbProcedure="false">[8]premissas!#ref!</definedName>
    <definedName function="false" hidden="false" localSheetId="2" name="Macro1" vbProcedure="false">[18]!Macro1</definedName>
    <definedName function="false" hidden="false" localSheetId="2" name="Macro2" vbProcedure="false">[18]!Macro2</definedName>
    <definedName function="false" hidden="false" localSheetId="2" name="Macro3" vbProcedure="false">[18]!Macro3</definedName>
    <definedName function="false" hidden="false" localSheetId="2" name="Macro4" vbProcedure="false">[18]!Macro4</definedName>
    <definedName function="false" hidden="false" localSheetId="2" name="MINAS_FERTIL___INSUMOS_AGROPECUﾁRIOS_LTD" vbProcedure="false">#REF!</definedName>
    <definedName function="false" hidden="false" localSheetId="2" name="novo" vbProcedure="false">#REF!</definedName>
    <definedName function="false" hidden="true" localSheetId="2" name="other" vbProcedure="false">{"FTSE44","COMPANIES",TRUE}</definedName>
    <definedName function="false" hidden="true" localSheetId="2" name="other2" vbProcedure="false">{"350FTSE44","COMPANIES",TRUE}</definedName>
    <definedName function="false" hidden="true" localSheetId="2" name="other2_1" vbProcedure="false">{"350FTSE44","COMPANIES",TRUE}</definedName>
    <definedName function="false" hidden="true" localSheetId="2" name="other_1" vbProcedure="false">{"FTSE44","COMPANIES",TRUE}</definedName>
    <definedName function="false" hidden="false" localSheetId="2" name="pgto" vbProcedure="false">#REF!</definedName>
    <definedName function="false" hidden="false" localSheetId="2" name="portadores" vbProcedure="false">[8]premissas!#ref!</definedName>
    <definedName function="false" hidden="true" localSheetId="2" name="ppp" vbProcedure="false">#REF!</definedName>
    <definedName function="false" hidden="false" localSheetId="2" name="precosdevenda" vbProcedure="false">#REF!</definedName>
    <definedName function="false" hidden="false" localSheetId="2" name="PROV13" vbProcedure="false">'[23]Impostos e Provisões'!$I$5</definedName>
    <definedName function="false" hidden="false" localSheetId="2" name="PROV13_REAL" vbProcedure="false">#REF!</definedName>
    <definedName function="false" hidden="false" localSheetId="2" name="PROV13_SIMPLES" vbProcedure="false">#REF!</definedName>
    <definedName function="false" hidden="false" localSheetId="2" name="PROVFERIAS" vbProcedure="false">'[23]Impostos e Provisões'!$I$6</definedName>
    <definedName function="false" hidden="false" localSheetId="2" name="PROVFERIAS_REAL" vbProcedure="false">#REF!</definedName>
    <definedName function="false" hidden="false" localSheetId="2" name="PROVFERIAS_SIMPLES" vbProcedure="false">#REF!</definedName>
    <definedName function="false" hidden="true" localSheetId="2" name="qqq" vbProcedure="false">{#N/A,#N/A,FALSE,"cpt"}</definedName>
    <definedName function="false" hidden="true" localSheetId="2" name="qqq_1" vbProcedure="false">{#N/A,#N/A,FALSE,"cpt"}</definedName>
    <definedName function="false" hidden="false" localSheetId="2" name="rcbto" vbProcedure="false">#REF!</definedName>
    <definedName function="false" hidden="false" localSheetId="2" name="Recebimento" vbProcedure="false">#REF!</definedName>
    <definedName function="false" hidden="false" localSheetId="2" name="receitas" vbProcedure="false">[8]premissas!#ref!</definedName>
    <definedName function="false" hidden="false" localSheetId="2" name="SAIDAS" vbProcedure="false">#REF!</definedName>
    <definedName function="false" hidden="true" localSheetId="2" name="SLEVI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SLEVI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Sompther" vbProcedure="false">{#N/A,#N/A,FALSE,"Aging Summary";#N/A,#N/A,FALSE,"Ratio Analysis";#N/A,#N/A,FALSE,"Test 120 Day Accts";#N/A,#N/A,FALSE,"Tickmarks"}</definedName>
    <definedName function="false" hidden="true" localSheetId="2" name="Sompther_1" vbProcedure="false">{#N/A,#N/A,FALSE,"Aging Summary";#N/A,#N/A,FALSE,"Ratio Analysis";#N/A,#N/A,FALSE,"Test 120 Day Accts";#N/A,#N/A,FALSE,"Tickmarks"}</definedName>
    <definedName function="false" hidden="true" localSheetId="2" name="ss" vbProcedure="false">#REF!</definedName>
    <definedName function="false" hidden="false" localSheetId="2" name="sss" vbProcedure="false">#REF!</definedName>
    <definedName function="false" hidden="true" localSheetId="2" name="sumtijdschriften" vbProcedure="false">{#N/A,#N/A,FALSE,"Aging Summary";#N/A,#N/A,FALSE,"Ratio Analysis";#N/A,#N/A,FALSE,"Test 120 Day Accts";#N/A,#N/A,FALSE,"Tickmarks"}</definedName>
    <definedName function="false" hidden="true" localSheetId="2" name="sumtijdschriften_1" vbProcedure="false">{#N/A,#N/A,FALSE,"Aging Summary";#N/A,#N/A,FALSE,"Ratio Analysis";#N/A,#N/A,FALSE,"Test 120 Day Accts";#N/A,#N/A,FALSE,"Tickmarks"}</definedName>
    <definedName function="false" hidden="false" localSheetId="2" name="TIPODESPESAS" vbProcedure="false">#REF!</definedName>
    <definedName function="false" hidden="false" localSheetId="2" name="tipos" vbProcedure="false">[8]premissas!#ref!</definedName>
    <definedName function="false" hidden="false" localSheetId="2" name="tttt" vbProcedure="false">#REF!</definedName>
    <definedName function="false" hidden="true" localSheetId="2" name="Wallace" vbProcedure="false">{"Cover",#N/A,FALSE,"Cover";"Summary",#N/A,FALSE,"Summarpage"}</definedName>
    <definedName function="false" hidden="true" localSheetId="2" name="Wallace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2" name="Wallace1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2" name="Wallace_1" vbProcedure="false">{"Cover",#N/A,FALSE,"Cover";"Summary",#N/A,FALSE,"Summarpage"}</definedName>
    <definedName function="false" hidden="true" localSheetId="2" name="wer" vbProcedure="false">{#N/A,#N/A,FALSE,"Aging Summary";#N/A,#N/A,FALSE,"Ratio Analysis";#N/A,#N/A,FALSE,"Test 120 Day Accts";#N/A,#N/A,FALSE,"Tickmarks"}</definedName>
    <definedName function="false" hidden="true" localSheetId="2" name="wer_1" vbProcedure="false">{#N/A,#N/A,FALSE,"Aging Summary";#N/A,#N/A,FALSE,"Ratio Analysis";#N/A,#N/A,FALSE,"Test 120 Day Accts";#N/A,#N/A,FALSE,"Tickmarks"}</definedName>
    <definedName function="false" hidden="true" localSheetId="2" name="wrn.2._.pagers." vbProcedure="false">{"Cover",#N/A,FALSE,"Cover";"Summary",#N/A,FALSE,"Summarpage"}</definedName>
    <definedName function="false" hidden="true" localSheetId="2" name="wrn.2._.pagers._1" vbProcedure="false">{"Cover",#N/A,FALSE,"Cover";"Summary",#N/A,FALSE,"Summarpage"}</definedName>
    <definedName function="false" hidden="true" localSheetId="2" name="wrn.Acquisition_matrix." vbProcedure="false">{"Acq_matrix",#N/A,FALSE,"Acquisition Matrix"}</definedName>
    <definedName function="false" hidden="true" localSheetId="2" name="wrn.Acquisition_matrix._1" vbProcedure="false">{"Acq_matrix",#N/A,FALSE,"Acquisition Matrix"}</definedName>
    <definedName function="false" hidden="true" localSheetId="2" name="wrn.ALAN.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2" name="wrn.ALAN._1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2" name="wrn.all." vbProcedure="false">{#N/A,#N/A,FALSE,"cpt"}</definedName>
    <definedName function="false" hidden="true" localSheetId="2" name="wrn.All._.Sections.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2" name="wrn.All._.Sections.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2" name="wrn.all._1" vbProcedure="false">{#N/A,#N/A,FALSE,"cpt"}</definedName>
    <definedName function="false" hidden="true" localSheetId="2" name="wrn.AQUIROR._.DCF." vbProcedure="false">{"AQUIRORDCF",#N/A,FALSE,"Merger consequences";"Acquirorassns",#N/A,FALSE,"Merger consequences"}</definedName>
    <definedName function="false" hidden="true" localSheetId="2" name="wrn.AQUIROR._.DCF._1" vbProcedure="false">{"AQUIRORDCF",#N/A,FALSE,"Merger consequences";"Acquirorassns",#N/A,FALSE,"Merger consequences"}</definedName>
    <definedName function="false" hidden="true" localSheetId="2" name="wrn.breakup.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2" name="wrn.breakup.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2" name="wrn.Buildups.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2" name="wrn.Buildups._1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2" name="wrn.COMPCO." vbProcedure="false">{"Page1",#N/A,FALSE,"CompCo";"Page2",#N/A,FALSE,"CompCo"}</definedName>
    <definedName function="false" hidden="true" localSheetId="2" name="wrn.COMPCO._1" vbProcedure="false">{"Page1",#N/A,FALSE,"CompCo";"Page2",#N/A,FALSE,"CompCo"}</definedName>
    <definedName function="false" hidden="true" localSheetId="2" name="wrn.Complete.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2" name="wrn.Complete.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2" name="wrn.DCF_Terminal_Value_qchm." vbProcedure="false">{"qchm_dcf",#N/A,FALSE,"QCHMDCF2";"qchm_terminal",#N/A,FALSE,"QCHMDCF2"}</definedName>
    <definedName function="false" hidden="true" localSheetId="2" name="wrn.DCF_Terminal_Value_qchm._1" vbProcedure="false">{"qchm_dcf",#N/A,FALSE,"QCHMDCF2";"qchm_terminal",#N/A,FALSE,"QCHMDCF2"}</definedName>
    <definedName function="false" hidden="true" localSheetId="2" name="wrn.Entire._.Model.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2" name="wrn.Entire._.Model._1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2" name="wrn.Financials_long." vbProcedure="false">{"IS",#N/A,FALSE,"Financials2 (Expanded)";"bsa",#N/A,FALSE,"Financials2 (Expanded)";"BS",#N/A,FALSE,"Financials2 (Expanded)";"CF",#N/A,FALSE,"Financials2 (Expanded)"}</definedName>
    <definedName function="false" hidden="true" localSheetId="2" name="wrn.Financials_long._1" vbProcedure="false">{"IS",#N/A,FALSE,"Financials2 (Expanded)";"bsa",#N/A,FALSE,"Financials2 (Expanded)";"BS",#N/A,FALSE,"Financials2 (Expanded)";"CF",#N/A,FALSE,"Financials2 (Expanded)"}</definedName>
    <definedName function="false" hidden="true" localSheetId="2" name="wrn.Full._.Monty.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2" name="wrn.Full._.Monty._1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2" name="wrn.full._.report.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2" name="wrn.full._.report._1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2" name="wrn.JOGO_CONSOLIDADO.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2" name="wrn.JOGO_CONSOLIDADO._1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2" name="wrn.Print." vbProcedure="false">{"vi1",#N/A,FALSE,"Financial Statements";"vi2",#N/A,FALSE,"Financial Statements";#N/A,#N/A,FALSE,"DCF"}</definedName>
    <definedName function="false" hidden="true" localSheetId="2" name="wrn.Print._.Report.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2" name="wrn.Print._.Report._1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2" name="wrn.Print._1" vbProcedure="false">{"vi1",#N/A,FALSE,"Financial Statements";"vi2",#N/A,FALSE,"Financial Statements";#N/A,#N/A,FALSE,"DCF"}</definedName>
    <definedName function="false" hidden="true" localSheetId="2" name="wrn.PrintAll." vbProcedure="false">{"PA1",#N/A,FALSE,"BORDMW";"pa2",#N/A,FALSE,"BORDMW";"PA3",#N/A,FALSE,"BORDMW";"PA4",#N/A,FALSE,"BORDMW"}</definedName>
    <definedName function="false" hidden="true" localSheetId="2" name="wrn.PrintAll._1" vbProcedure="false">{"PA1",#N/A,FALSE,"BORDMW";"pa2",#N/A,FALSE,"BORDMW";"PA3",#N/A,FALSE,"BORDMW";"PA4",#N/A,FALSE,"BORDMW"}</definedName>
    <definedName function="false" hidden="true" localSheetId="2" name="wrn.Pulp." vbProcedure="false">{"Pulp Production",#N/A,FALSE,"Pulp";"Pulp Earnings",#N/A,FALSE,"Pulp"}</definedName>
    <definedName function="false" hidden="true" localSheetId="2" name="wrn.Pulp._1" vbProcedure="false">{"Pulp Production",#N/A,FALSE,"Pulp";"Pulp Earnings",#N/A,FALSE,"Pulp"}</definedName>
    <definedName function="false" hidden="true" localSheetId="2" name="wrn.Report.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2" name="wrn.Report.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2" name="wrn.sales." vbProcedure="false">{"sales",#N/A,FALSE,"Sales";"sales existing",#N/A,FALSE,"Sales";"sales rd1",#N/A,FALSE,"Sales";"sales rd2",#N/A,FALSE,"Sales"}</definedName>
    <definedName function="false" hidden="true" localSheetId="2" name="wrn.sales._1" vbProcedure="false">{"sales",#N/A,FALSE,"Sales";"sales existing",#N/A,FALSE,"Sales";"sales rd1",#N/A,FALSE,"Sales";"sales rd2",#N/A,FALSE,"Sales"}</definedName>
    <definedName function="false" hidden="true" localSheetId="2" name="wrn.SHORT." vbProcedure="false">{"CREDIT STATISTICS",#N/A,FALSE,"STATS";"CF_AND_IS",#N/A,FALSE,"PLAN";"BALSHEET",#N/A,FALSE,"BALANCE SHEET"}</definedName>
    <definedName function="false" hidden="true" localSheetId="2" name="wrn.SHORT._1" vbProcedure="false">{"CREDIT STATISTICS",#N/A,FALSE,"STATS";"CF_AND_IS",#N/A,FALSE,"PLAN";"BALSHEET",#N/A,FALSE,"BALANCE SHEET"}</definedName>
    <definedName function="false" hidden="true" localSheetId="2" name="wrn.SUMMARY.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wrn.SUMMARY.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2" name="wrn.TARGET._.DCF." vbProcedure="false">{"targetdcf",#N/A,FALSE,"Merger consequences";"TARGETASSU",#N/A,FALSE,"Merger consequences";"TERMINAL VALUE",#N/A,FALSE,"Merger consequences"}</definedName>
    <definedName function="false" hidden="true" localSheetId="2" name="wrn.TARGET._.DCF._1" vbProcedure="false">{"targetdcf",#N/A,FALSE,"Merger consequences";"TARGETASSU",#N/A,FALSE,"Merger consequences";"TERMINAL VALUE",#N/A,FALSE,"Merger consequences"}</definedName>
    <definedName function="false" hidden="true" localSheetId="2" name="wrn.todo." vbProcedure="false">{"Caja",#N/A,TRUE,"P&amp;G BG";"PyG",#N/A,TRUE,"P&amp;G BG";"Balance",#N/A,TRUE,"P&amp;G BG"}</definedName>
    <definedName function="false" hidden="true" localSheetId="2" name="wrn.todo._1" vbProcedure="false">{"Caja",#N/A,TRUE,"P&amp;G BG";"PyG",#N/A,TRUE,"P&amp;G BG";"Balance",#N/A,TRUE,"P&amp;G BG"}</definedName>
    <definedName function="false" hidden="true" localSheetId="2" name="wrn.Wacc." vbProcedure="false">{"Area1",#N/A,FALSE,"OREWACC";"Area2",#N/A,FALSE,"OREWACC"}</definedName>
    <definedName function="false" hidden="true" localSheetId="2" name="wrn.Wacc._1" vbProcedure="false">{"Area1",#N/A,FALSE,"OREWACC";"Area2",#N/A,FALSE,"OREWACC"}</definedName>
    <definedName function="false" hidden="true" localSheetId="2" name="wwq" vbProcedure="false">{#N/A,#N/A,FALSE,"Aging Summary";#N/A,#N/A,FALSE,"Ratio Analysis";#N/A,#N/A,FALSE,"Test 120 Day Accts";#N/A,#N/A,FALSE,"Tickmarks"}</definedName>
    <definedName function="false" hidden="true" localSheetId="2" name="wwq_1" vbProcedure="false">{#N/A,#N/A,FALSE,"Aging Summary";#N/A,#N/A,FALSE,"Ratio Analysis";#N/A,#N/A,FALSE,"Test 120 Day Accts";#N/A,#N/A,FALSE,"Tickmarks"}</definedName>
    <definedName function="false" hidden="true" localSheetId="2" name="www" vbProcedure="false">{#N/A,#N/A,FALSE,"Aging Summary";#N/A,#N/A,FALSE,"Ratio Analysis";#N/A,#N/A,FALSE,"Test 120 Day Accts";#N/A,#N/A,FALSE,"Tickmarks"}</definedName>
    <definedName function="false" hidden="true" localSheetId="2" name="www_1" vbProcedure="false">{#N/A,#N/A,FALSE,"Aging Summary";#N/A,#N/A,FALSE,"Ratio Analysis";#N/A,#N/A,FALSE,"Test 120 Day Accts";#N/A,#N/A,FALSE,"Tickmarks"}</definedName>
    <definedName function="false" hidden="true" localSheetId="2" name="XRefCopy10Row" vbProcedure="false">#REF!</definedName>
    <definedName function="false" hidden="true" localSheetId="2" name="XRefCopy11Row" vbProcedure="false">#REF!</definedName>
    <definedName function="false" hidden="true" localSheetId="2" name="XRefCopy12" vbProcedure="false">#REF!</definedName>
    <definedName function="false" hidden="true" localSheetId="2" name="XRefCopy12Row" vbProcedure="false">#REF!</definedName>
    <definedName function="false" hidden="true" localSheetId="2" name="XRefCopy13" vbProcedure="false">#REF!</definedName>
    <definedName function="false" hidden="true" localSheetId="2" name="XRefCopy13Row" vbProcedure="false">#REF!</definedName>
    <definedName function="false" hidden="true" localSheetId="2" name="XRefCopy14Row" vbProcedure="false">#REF!</definedName>
    <definedName function="false" hidden="true" localSheetId="2" name="XRefCopy15Row" vbProcedure="false">#REF!</definedName>
    <definedName function="false" hidden="true" localSheetId="2" name="XRefCopy16Row" vbProcedure="false">#REF!</definedName>
    <definedName function="false" hidden="true" localSheetId="2" name="XRefCopy17Row" vbProcedure="false">#REF!</definedName>
    <definedName function="false" hidden="true" localSheetId="2" name="XRefCopy1Row" vbProcedure="false">#REF!</definedName>
    <definedName function="false" hidden="true" localSheetId="2" name="XRefCopy3Row" vbProcedure="false">#REF!</definedName>
    <definedName function="false" hidden="true" localSheetId="2" name="XRefCopy7" vbProcedure="false">#REF!</definedName>
    <definedName function="false" hidden="true" localSheetId="2" name="XRefCopy8" vbProcedure="false">#REF!</definedName>
    <definedName function="false" hidden="true" localSheetId="2" name="XRefCopy9Row" vbProcedure="false">#REF!</definedName>
    <definedName function="false" hidden="true" localSheetId="2" name="XRefPaste10Row" vbProcedure="false">#REF!</definedName>
    <definedName function="false" hidden="true" localSheetId="2" name="XRefPaste11Row" vbProcedure="false">#REF!</definedName>
    <definedName function="false" hidden="true" localSheetId="2" name="XRefPaste12Row" vbProcedure="false">#REF!</definedName>
    <definedName function="false" hidden="true" localSheetId="2" name="XRefPaste13Row" vbProcedure="false">#REF!</definedName>
    <definedName function="false" hidden="true" localSheetId="2" name="XRefPaste14Row" vbProcedure="false">#REF!</definedName>
    <definedName function="false" hidden="true" localSheetId="2" name="XRefPaste15Row" vbProcedure="false">#REF!</definedName>
    <definedName function="false" hidden="true" localSheetId="2" name="XRefPaste16Row" vbProcedure="false">#REF!</definedName>
    <definedName function="false" hidden="true" localSheetId="2" name="XRefPaste17Row" vbProcedure="false">#REF!</definedName>
    <definedName function="false" hidden="true" localSheetId="2" name="XRefPaste18Row" vbProcedure="false">#REF!</definedName>
    <definedName function="false" hidden="true" localSheetId="2" name="XRefPaste19Row" vbProcedure="false">#REF!</definedName>
    <definedName function="false" hidden="true" localSheetId="2" name="XRefPaste21Row" vbProcedure="false">#REF!</definedName>
    <definedName function="false" hidden="true" localSheetId="2" name="XRefPaste22" vbProcedure="false">#REF!</definedName>
    <definedName function="false" hidden="true" localSheetId="2" name="XRefPaste23Row" vbProcedure="false">#REF!</definedName>
    <definedName function="false" hidden="true" localSheetId="2" name="XRefPaste25Row" vbProcedure="false">#REF!</definedName>
    <definedName function="false" hidden="true" localSheetId="2" name="XRefPaste26Row" vbProcedure="false">#REF!</definedName>
    <definedName function="false" hidden="true" localSheetId="2" name="XRefPaste27Row" vbProcedure="false">#REF!</definedName>
    <definedName function="false" hidden="true" localSheetId="2" name="XRefPaste28Row" vbProcedure="false">#REF!</definedName>
    <definedName function="false" hidden="true" localSheetId="2" name="XRefPaste29Row" vbProcedure="false">#REF!</definedName>
    <definedName function="false" hidden="true" localSheetId="2" name="XRefPaste30Row" vbProcedure="false">#REF!</definedName>
    <definedName function="false" hidden="true" localSheetId="2" name="XRefPaste31Row" vbProcedure="false">#REF!</definedName>
    <definedName function="false" hidden="true" localSheetId="2" name="XRefPaste32Row" vbProcedure="false">#REF!</definedName>
    <definedName function="false" hidden="true" localSheetId="2" name="XRefPaste33Row" vbProcedure="false">#REF!</definedName>
    <definedName function="false" hidden="true" localSheetId="2" name="XRefPaste34Row" vbProcedure="false">#REF!</definedName>
    <definedName function="false" hidden="true" localSheetId="2" name="XRefPaste35Row" vbProcedure="false">#REF!</definedName>
    <definedName function="false" hidden="true" localSheetId="2" name="XRefPaste5" vbProcedure="false">#REF!</definedName>
    <definedName function="false" hidden="true" localSheetId="2" name="XRefPaste5Row" vbProcedure="false">#REF!</definedName>
    <definedName function="false" hidden="true" localSheetId="2" name="XRefPaste6" vbProcedure="false">#REF!</definedName>
    <definedName function="false" hidden="true" localSheetId="2" name="XRefPaste6Row" vbProcedure="false">#REF!</definedName>
    <definedName function="false" hidden="true" localSheetId="2" name="XRefPaste7Row" vbProcedure="false">#REF!</definedName>
    <definedName function="false" hidden="true" localSheetId="2" name="XRefPaste8Row" vbProcedure="false">#REF!</definedName>
    <definedName function="false" hidden="true" localSheetId="2" name="XRefPaste9Row" vbProcedure="false">#REF!</definedName>
    <definedName function="false" hidden="true" localSheetId="2" name="XREF_COLUMN_13" vbProcedure="false">#REF!</definedName>
    <definedName function="false" hidden="true" localSheetId="2" name="XREF_COLUMN_14" vbProcedure="false">#REF!</definedName>
    <definedName function="false" hidden="true" localSheetId="2" name="XREF_COLUMN_20" vbProcedure="false">#REF!</definedName>
    <definedName function="false" hidden="true" localSheetId="2" name="XREF_COLUMN_22" vbProcedure="false">#REF!</definedName>
    <definedName function="false" hidden="true" localSheetId="2" name="XREF_COLUMN_3" vbProcedure="false">#REF!</definedName>
    <definedName function="false" hidden="true" localSheetId="2" name="XREF_COLUMN_5" vbProcedure="false">#REF!</definedName>
    <definedName function="false" hidden="true" localSheetId="2" name="XREF_COLUMN_7" vbProcedure="false">#REF!</definedName>
    <definedName function="false" hidden="false" localSheetId="2" name="_04_Conta_a_Receber" vbProcedure="false">#REF!</definedName>
    <definedName function="false" hidden="false" localSheetId="2" name="_1" vbProcedure="false">#REF!</definedName>
    <definedName function="false" hidden="true" localSheetId="2" name="_bdm.37D454F85632448B8D50FA5EB7F05C94.edm" vbProcedure="false">#REF!</definedName>
    <definedName function="false" hidden="true" localSheetId="2" name="_bdm.9FCC6661EC454A839FF6E48F17F39194.edm" vbProcedure="false">#REF!</definedName>
    <definedName function="false" hidden="true" localSheetId="2" name="_bdm.9FEB4F5A2798413FB6BE0568818DA3F0.edm" vbProcedure="false">#REF!</definedName>
    <definedName function="false" hidden="true" localSheetId="2" name="_Fill" vbProcedure="false">#REF!</definedName>
    <definedName function="false" hidden="true" localSheetId="2" name="_l" vbProcedure="false">{"IND","COMPANIES",TRUE}</definedName>
    <definedName function="false" hidden="true" localSheetId="2" name="_l_1" vbProcedure="false">{"IND","COMPANIES",TRUE}</definedName>
    <definedName function="false" hidden="true" localSheetId="2" name="_Table1_In1" vbProcedure="false">#REF!</definedName>
    <definedName function="false" hidden="true" localSheetId="2" name="_Table1_Out" vbProcedure="false">#REF!</definedName>
    <definedName function="false" hidden="true" localSheetId="2" name="_Table2_Out" vbProcedure="false">#REF!</definedName>
    <definedName function="false" hidden="true" localSheetId="2" name="_W3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2" name="_W3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2" name="_w4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2" name="_w4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2" name="_w5" vbProcedure="false">{"Pulp Production",#N/A,FALSE,"Pulp";"Pulp Earnings",#N/A,FALSE,"Pulp"}</definedName>
    <definedName function="false" hidden="true" localSheetId="2" name="_w5_1" vbProcedure="false">{"Pulp Production",#N/A,FALSE,"Pulp";"Pulp Earnings",#N/A,FALSE,"Pulp"}</definedName>
    <definedName function="false" hidden="true" localSheetId="2" name="_w6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2" name="_w6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3" name="AAAA" vbProcedure="false">{#N/A,#N/A,FALSE,"Aging Summary";#N/A,#N/A,FALSE,"Ratio Analysis";#N/A,#N/A,FALSE,"Test 120 Day Accts";#N/A,#N/A,FALSE,"Tickmarks"}</definedName>
    <definedName function="false" hidden="true" localSheetId="3" name="AAAA_1" vbProcedure="false">{#N/A,#N/A,FALSE,"Aging Summary";#N/A,#N/A,FALSE,"Ratio Analysis";#N/A,#N/A,FALSE,"Test 120 Day Accts";#N/A,#N/A,FALSE,"Tickmarks"}</definedName>
    <definedName function="false" hidden="true" localSheetId="3" name="ad" vbProcedure="false">{#N/A,#N/A,FALSE,"Aging Summary";#N/A,#N/A,FALSE,"Ratio Analysis";#N/A,#N/A,FALSE,"Test 120 Day Accts";#N/A,#N/A,FALSE,"Tickmarks"}</definedName>
    <definedName function="false" hidden="true" localSheetId="3" name="adfvad" vbProcedure="false">{#N/A,#N/A,FALSE,"Aging Summary";#N/A,#N/A,FALSE,"Ratio Analysis";#N/A,#N/A,FALSE,"Test 120 Day Accts";#N/A,#N/A,FALSE,"Tickmarks"}</definedName>
    <definedName function="false" hidden="true" localSheetId="3" name="adfvad_1" vbProcedure="false">{#N/A,#N/A,FALSE,"Aging Summary";#N/A,#N/A,FALSE,"Ratio Analysis";#N/A,#N/A,FALSE,"Test 120 Day Accts";#N/A,#N/A,FALSE,"Tickmarks"}</definedName>
    <definedName function="false" hidden="true" localSheetId="3" name="ad_1" vbProcedure="false">{#N/A,#N/A,FALSE,"Aging Summary";#N/A,#N/A,FALSE,"Ratio Analysis";#N/A,#N/A,FALSE,"Test 120 Day Accts";#N/A,#N/A,FALSE,"Tickmarks"}</definedName>
    <definedName function="false" hidden="false" localSheetId="3" name="AS" vbProcedure="false">#REF!</definedName>
    <definedName function="false" hidden="true" localSheetId="3" name="Assumptios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Assumptios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3" name="Atendimento" vbProcedure="false">'[4]00- premissas'!#ref!</definedName>
    <definedName function="false" hidden="false" localSheetId="3" name="aumentopreços" vbProcedure="false">'[4]00- premissas'!#ref!</definedName>
    <definedName function="false" hidden="false" localSheetId="3" name="Banco" vbProcedure="false">#REF!</definedName>
    <definedName function="false" hidden="false" localSheetId="3" name="Bancos" vbProcedure="false">#REF!</definedName>
    <definedName function="false" hidden="true" localSheetId="3" name="BLANK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BLANK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BLANK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BLANK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BROW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BROW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3" name="CATEGORIAS" vbProcedure="false">#REF!</definedName>
    <definedName function="false" hidden="false" localSheetId="3" name="comissoes" vbProcedure="false">[8]premissas!#ref!</definedName>
    <definedName function="false" hidden="false" localSheetId="3" name="contaempresa" vbProcedure="false">[8]premissas!#ref!</definedName>
    <definedName function="false" hidden="false" localSheetId="3" name="contaroberta" vbProcedure="false">[8]premissas!#ref!</definedName>
    <definedName function="false" hidden="false" localSheetId="3" name="CONTAS" vbProcedure="false">#REF!</definedName>
    <definedName function="false" hidden="false" localSheetId="3" name="CustoMP" vbProcedure="false">#REF!</definedName>
    <definedName function="false" hidden="false" localSheetId="3" name="D" vbProcedure="false">'[10]Base de Dados'!$B$18:$B$21</definedName>
    <definedName function="false" hidden="true" localSheetId="3" name="dagbladen_inc_services" vbProcedure="false">{#N/A,#N/A,FALSE,"Aging Summary";#N/A,#N/A,FALSE,"Ratio Analysis";#N/A,#N/A,FALSE,"Test 120 Day Accts";#N/A,#N/A,FALSE,"Tickmarks"}</definedName>
    <definedName function="false" hidden="true" localSheetId="3" name="dagbladen_inc_services_1" vbProcedure="false">{#N/A,#N/A,FALSE,"Aging Summary";#N/A,#N/A,FALSE,"Ratio Analysis";#N/A,#N/A,FALSE,"Test 120 Day Accts";#N/A,#N/A,FALSE,"Tickmarks"}</definedName>
    <definedName function="false" hidden="true" localSheetId="3" name="DD" vbProcedure="false">#REF!</definedName>
    <definedName function="false" hidden="true" localSheetId="3" name="ddad" vbProcedure="false">#REF!</definedName>
    <definedName function="false" hidden="true" localSheetId="3" name="dddd" vbProcedure="false">#REF!</definedName>
    <definedName function="false" hidden="false" localSheetId="3" name="DESPCASA" vbProcedure="false">[8]premissas!#ref!</definedName>
    <definedName function="false" hidden="false" localSheetId="3" name="Despesas" vbProcedure="false">[8]premissas!#ref!</definedName>
    <definedName function="false" hidden="false" localSheetId="3" name="devoluções" vbProcedure="false">'[4]00- premissas'!#ref!</definedName>
    <definedName function="false" hidden="false" localSheetId="3" name="DRE" vbProcedure="false">#REF!</definedName>
    <definedName function="false" hidden="false" localSheetId="3" name="empresas" vbProcedure="false">[8]premissas!#ref!</definedName>
    <definedName function="false" hidden="false" localSheetId="3" name="Entrada" vbProcedure="false">#REF!</definedName>
    <definedName function="false" hidden="false" localSheetId="3" name="Entradas" vbProcedure="false">#REF!</definedName>
    <definedName function="false" hidden="true" localSheetId="3" name="erefafg" vbProcedure="false">{#N/A,#N/A,FALSE,"Aging Summary";#N/A,#N/A,FALSE,"Ratio Analysis";#N/A,#N/A,FALSE,"Test 120 Day Accts";#N/A,#N/A,FALSE,"Tickmarks"}</definedName>
    <definedName function="false" hidden="true" localSheetId="3" name="erefafg_1" vbProcedure="false">{#N/A,#N/A,FALSE,"Aging Summary";#N/A,#N/A,FALSE,"Ratio Analysis";#N/A,#N/A,FALSE,"Test 120 Day Accts";#N/A,#N/A,FALSE,"Tickmarks"}</definedName>
    <definedName function="false" hidden="true" localSheetId="3" name="erer" vbProcedure="false">{#N/A,#N/A,FALSE,"Aging Summary";#N/A,#N/A,FALSE,"Ratio Analysis";#N/A,#N/A,FALSE,"Test 120 Day Accts";#N/A,#N/A,FALSE,"Tickmarks"}</definedName>
    <definedName function="false" hidden="true" localSheetId="3" name="erer_1" vbProcedure="false">{#N/A,#N/A,FALSE,"Aging Summary";#N/A,#N/A,FALSE,"Ratio Analysis";#N/A,#N/A,FALSE,"Test 120 Day Accts";#N/A,#N/A,FALSE,"Tickmarks"}</definedName>
    <definedName function="false" hidden="true" localSheetId="3" name="esnrc14c1" vbProcedure="false">#REF!</definedName>
    <definedName function="false" hidden="true" localSheetId="3" name="esnrc14c1_values" vbProcedure="false">{"FTSE44","COMPANIES",TRUE}</definedName>
    <definedName function="false" hidden="true" localSheetId="3" name="esnrc14c1_values_1" vbProcedure="false">{"FTSE44","COMPANIES",TRUE}</definedName>
    <definedName function="false" hidden="true" localSheetId="3" name="esnrc67c1_values" vbProcedure="false">{"IND","COMPANIES",TRUE}</definedName>
    <definedName function="false" hidden="true" localSheetId="3" name="esnrc67c1_values_1" vbProcedure="false">{"IND","COMPANIES",TRUE}</definedName>
    <definedName function="false" hidden="true" localSheetId="3" name="esnrc6c1_values" vbProcedure="false">{"350FTSE44","COMPANIES",TRUE}</definedName>
    <definedName function="false" hidden="true" localSheetId="3" name="esnrc6c1_values_1" vbProcedure="false">{"350FTSE44","COMPANIES",TRUE}</definedName>
    <definedName function="false" hidden="true" localSheetId="3" name="ewcw" vbProcedure="false">{#N/A,#N/A,FALSE,"Aging Summary";#N/A,#N/A,FALSE,"Ratio Analysis";#N/A,#N/A,FALSE,"Test 120 Day Accts";#N/A,#N/A,FALSE,"Tickmarks"}</definedName>
    <definedName function="false" hidden="true" localSheetId="3" name="ewcw_1" vbProcedure="false">{#N/A,#N/A,FALSE,"Aging Summary";#N/A,#N/A,FALSE,"Ratio Analysis";#N/A,#N/A,FALSE,"Test 120 Day Accts";#N/A,#N/A,FALSE,"Tickmarks"}</definedName>
    <definedName function="false" hidden="true" localSheetId="3" name="f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3" name="FATCL" vbProcedure="false">#REF!</definedName>
    <definedName function="false" hidden="true" localSheetId="3" name="fdd" vbProcedure="false">#REF!</definedName>
    <definedName function="false" hidden="false" localSheetId="3" name="FGTS_REAL" vbProcedure="false">#REF!</definedName>
    <definedName function="false" hidden="false" localSheetId="3" name="FGTS_SIMPLES" vbProcedure="false">#REF!</definedName>
    <definedName function="false" hidden="true" localSheetId="3" name="fresfg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fresfg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f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3" name="hhhhh" vbProcedure="false">#REF!</definedName>
    <definedName function="false" hidden="false" localSheetId="3" name="ICMS" vbProcedure="false">#REF!</definedName>
    <definedName function="false" hidden="false" localSheetId="3" name="INSS_REAL" vbProcedure="false">#REF!</definedName>
    <definedName function="false" hidden="false" localSheetId="3" name="INSS_SIMPLES" vbProcedure="false">#REF!</definedName>
    <definedName function="false" hidden="false" localSheetId="3" name="Last_Row" vbProcedure="false">IF('DRE 2021'!Values_Entered,Header_Row+Number_of_Payments,Header_Row)</definedName>
    <definedName function="false" hidden="false" localSheetId="3" name="Values_Entered" vbProcedure="false">IF(Loan_Amount*Interest_Rate*Loan_Years*Loan_Start&gt;0,1,0)</definedName>
    <definedName function="false" hidden="false" localSheetId="3" name="Loan_Not_Paid" vbProcedure="false">IF('DRE 2021'!Payment_Number&lt;=Number_of_Payments,1,0)</definedName>
    <definedName function="false" hidden="false" localSheetId="3" name="Payment_Number" vbProcedure="false">ROW()-Header_Row</definedName>
    <definedName function="false" hidden="false" localSheetId="3" name="LOJA" vbProcedure="false">[8]premissas!#ref!</definedName>
    <definedName function="false" hidden="false" localSheetId="3" name="Macro1" vbProcedure="false">[18]!Macro1</definedName>
    <definedName function="false" hidden="false" localSheetId="3" name="Macro2" vbProcedure="false">[18]!Macro2</definedName>
    <definedName function="false" hidden="false" localSheetId="3" name="Macro3" vbProcedure="false">[18]!Macro3</definedName>
    <definedName function="false" hidden="false" localSheetId="3" name="Macro4" vbProcedure="false">[18]!Macro4</definedName>
    <definedName function="false" hidden="false" localSheetId="3" name="MINAS_FERTIL___INSUMOS_AGROPECUﾁRIOS_LTD" vbProcedure="false">#REF!</definedName>
    <definedName function="false" hidden="false" localSheetId="3" name="novo" vbProcedure="false">#REF!</definedName>
    <definedName function="false" hidden="true" localSheetId="3" name="other" vbProcedure="false">{"FTSE44","COMPANIES",TRUE}</definedName>
    <definedName function="false" hidden="true" localSheetId="3" name="other2" vbProcedure="false">{"350FTSE44","COMPANIES",TRUE}</definedName>
    <definedName function="false" hidden="true" localSheetId="3" name="other2_1" vbProcedure="false">{"350FTSE44","COMPANIES",TRUE}</definedName>
    <definedName function="false" hidden="true" localSheetId="3" name="other_1" vbProcedure="false">{"FTSE44","COMPANIES",TRUE}</definedName>
    <definedName function="false" hidden="false" localSheetId="3" name="pgto" vbProcedure="false">#REF!</definedName>
    <definedName function="false" hidden="false" localSheetId="3" name="portadores" vbProcedure="false">[8]premissas!#ref!</definedName>
    <definedName function="false" hidden="true" localSheetId="3" name="ppp" vbProcedure="false">#REF!</definedName>
    <definedName function="false" hidden="false" localSheetId="3" name="precosdevenda" vbProcedure="false">#REF!</definedName>
    <definedName function="false" hidden="false" localSheetId="3" name="PROV13" vbProcedure="false">'[23]Impostos e Provisões'!$I$5</definedName>
    <definedName function="false" hidden="false" localSheetId="3" name="PROV13_REAL" vbProcedure="false">#REF!</definedName>
    <definedName function="false" hidden="false" localSheetId="3" name="PROV13_SIMPLES" vbProcedure="false">#REF!</definedName>
    <definedName function="false" hidden="false" localSheetId="3" name="PROVFERIAS" vbProcedure="false">'[23]Impostos e Provisões'!$I$6</definedName>
    <definedName function="false" hidden="false" localSheetId="3" name="PROVFERIAS_REAL" vbProcedure="false">#REF!</definedName>
    <definedName function="false" hidden="false" localSheetId="3" name="PROVFERIAS_SIMPLES" vbProcedure="false">#REF!</definedName>
    <definedName function="false" hidden="true" localSheetId="3" name="qqq" vbProcedure="false">{#N/A,#N/A,FALSE,"cpt"}</definedName>
    <definedName function="false" hidden="true" localSheetId="3" name="qqq_1" vbProcedure="false">{#N/A,#N/A,FALSE,"cpt"}</definedName>
    <definedName function="false" hidden="false" localSheetId="3" name="rcbto" vbProcedure="false">#REF!</definedName>
    <definedName function="false" hidden="false" localSheetId="3" name="Recebimento" vbProcedure="false">#REF!</definedName>
    <definedName function="false" hidden="false" localSheetId="3" name="receitas" vbProcedure="false">[8]premissas!#ref!</definedName>
    <definedName function="false" hidden="false" localSheetId="3" name="SAIDAS" vbProcedure="false">#REF!</definedName>
    <definedName function="false" hidden="true" localSheetId="3" name="SLEVI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SLEVI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Sompther" vbProcedure="false">{#N/A,#N/A,FALSE,"Aging Summary";#N/A,#N/A,FALSE,"Ratio Analysis";#N/A,#N/A,FALSE,"Test 120 Day Accts";#N/A,#N/A,FALSE,"Tickmarks"}</definedName>
    <definedName function="false" hidden="true" localSheetId="3" name="Sompther_1" vbProcedure="false">{#N/A,#N/A,FALSE,"Aging Summary";#N/A,#N/A,FALSE,"Ratio Analysis";#N/A,#N/A,FALSE,"Test 120 Day Accts";#N/A,#N/A,FALSE,"Tickmarks"}</definedName>
    <definedName function="false" hidden="true" localSheetId="3" name="ss" vbProcedure="false">#REF!</definedName>
    <definedName function="false" hidden="false" localSheetId="3" name="sss" vbProcedure="false">#REF!</definedName>
    <definedName function="false" hidden="true" localSheetId="3" name="sumtijdschriften" vbProcedure="false">{#N/A,#N/A,FALSE,"Aging Summary";#N/A,#N/A,FALSE,"Ratio Analysis";#N/A,#N/A,FALSE,"Test 120 Day Accts";#N/A,#N/A,FALSE,"Tickmarks"}</definedName>
    <definedName function="false" hidden="true" localSheetId="3" name="sumtijdschriften_1" vbProcedure="false">{#N/A,#N/A,FALSE,"Aging Summary";#N/A,#N/A,FALSE,"Ratio Analysis";#N/A,#N/A,FALSE,"Test 120 Day Accts";#N/A,#N/A,FALSE,"Tickmarks"}</definedName>
    <definedName function="false" hidden="false" localSheetId="3" name="TIPODESPESAS" vbProcedure="false">#REF!</definedName>
    <definedName function="false" hidden="false" localSheetId="3" name="tipos" vbProcedure="false">[8]premissas!#ref!</definedName>
    <definedName function="false" hidden="false" localSheetId="3" name="tttt" vbProcedure="false">#REF!</definedName>
    <definedName function="false" hidden="true" localSheetId="3" name="Wallace" vbProcedure="false">{"Cover",#N/A,FALSE,"Cover";"Summary",#N/A,FALSE,"Summarpage"}</definedName>
    <definedName function="false" hidden="true" localSheetId="3" name="Wallace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3" name="Wallace1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3" name="Wallace_1" vbProcedure="false">{"Cover",#N/A,FALSE,"Cover";"Summary",#N/A,FALSE,"Summarpage"}</definedName>
    <definedName function="false" hidden="true" localSheetId="3" name="wer" vbProcedure="false">{#N/A,#N/A,FALSE,"Aging Summary";#N/A,#N/A,FALSE,"Ratio Analysis";#N/A,#N/A,FALSE,"Test 120 Day Accts";#N/A,#N/A,FALSE,"Tickmarks"}</definedName>
    <definedName function="false" hidden="true" localSheetId="3" name="wer_1" vbProcedure="false">{#N/A,#N/A,FALSE,"Aging Summary";#N/A,#N/A,FALSE,"Ratio Analysis";#N/A,#N/A,FALSE,"Test 120 Day Accts";#N/A,#N/A,FALSE,"Tickmarks"}</definedName>
    <definedName function="false" hidden="true" localSheetId="3" name="wrn.2._.pagers." vbProcedure="false">{"Cover",#N/A,FALSE,"Cover";"Summary",#N/A,FALSE,"Summarpage"}</definedName>
    <definedName function="false" hidden="true" localSheetId="3" name="wrn.2._.pagers._1" vbProcedure="false">{"Cover",#N/A,FALSE,"Cover";"Summary",#N/A,FALSE,"Summarpage"}</definedName>
    <definedName function="false" hidden="true" localSheetId="3" name="wrn.Acquisition_matrix." vbProcedure="false">{"Acq_matrix",#N/A,FALSE,"Acquisition Matrix"}</definedName>
    <definedName function="false" hidden="true" localSheetId="3" name="wrn.Acquisition_matrix._1" vbProcedure="false">{"Acq_matrix",#N/A,FALSE,"Acquisition Matrix"}</definedName>
    <definedName function="false" hidden="true" localSheetId="3" name="wrn.ALAN.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3" name="wrn.ALAN._1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3" name="wrn.all." vbProcedure="false">{#N/A,#N/A,FALSE,"cpt"}</definedName>
    <definedName function="false" hidden="true" localSheetId="3" name="wrn.All._.Sections.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3" name="wrn.All._.Sections.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3" name="wrn.all._1" vbProcedure="false">{#N/A,#N/A,FALSE,"cpt"}</definedName>
    <definedName function="false" hidden="true" localSheetId="3" name="wrn.AQUIROR._.DCF." vbProcedure="false">{"AQUIRORDCF",#N/A,FALSE,"Merger consequences";"Acquirorassns",#N/A,FALSE,"Merger consequences"}</definedName>
    <definedName function="false" hidden="true" localSheetId="3" name="wrn.AQUIROR._.DCF._1" vbProcedure="false">{"AQUIRORDCF",#N/A,FALSE,"Merger consequences";"Acquirorassns",#N/A,FALSE,"Merger consequences"}</definedName>
    <definedName function="false" hidden="true" localSheetId="3" name="wrn.breakup.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3" name="wrn.breakup.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3" name="wrn.Buildups.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3" name="wrn.Buildups._1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3" name="wrn.COMPCO." vbProcedure="false">{"Page1",#N/A,FALSE,"CompCo";"Page2",#N/A,FALSE,"CompCo"}</definedName>
    <definedName function="false" hidden="true" localSheetId="3" name="wrn.COMPCO._1" vbProcedure="false">{"Page1",#N/A,FALSE,"CompCo";"Page2",#N/A,FALSE,"CompCo"}</definedName>
    <definedName function="false" hidden="true" localSheetId="3" name="wrn.Complete.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3" name="wrn.Complete.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3" name="wrn.DCF_Terminal_Value_qchm." vbProcedure="false">{"qchm_dcf",#N/A,FALSE,"QCHMDCF2";"qchm_terminal",#N/A,FALSE,"QCHMDCF2"}</definedName>
    <definedName function="false" hidden="true" localSheetId="3" name="wrn.DCF_Terminal_Value_qchm._1" vbProcedure="false">{"qchm_dcf",#N/A,FALSE,"QCHMDCF2";"qchm_terminal",#N/A,FALSE,"QCHMDCF2"}</definedName>
    <definedName function="false" hidden="true" localSheetId="3" name="wrn.Entire._.Model.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3" name="wrn.Entire._.Model._1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3" name="wrn.Financials_long." vbProcedure="false">{"IS",#N/A,FALSE,"Financials2 (Expanded)";"bsa",#N/A,FALSE,"Financials2 (Expanded)";"BS",#N/A,FALSE,"Financials2 (Expanded)";"CF",#N/A,FALSE,"Financials2 (Expanded)"}</definedName>
    <definedName function="false" hidden="true" localSheetId="3" name="wrn.Financials_long._1" vbProcedure="false">{"IS",#N/A,FALSE,"Financials2 (Expanded)";"bsa",#N/A,FALSE,"Financials2 (Expanded)";"BS",#N/A,FALSE,"Financials2 (Expanded)";"CF",#N/A,FALSE,"Financials2 (Expanded)"}</definedName>
    <definedName function="false" hidden="true" localSheetId="3" name="wrn.Full._.Monty.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3" name="wrn.Full._.Monty._1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3" name="wrn.full._.report.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3" name="wrn.full._.report._1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3" name="wrn.JOGO_CONSOLIDADO.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3" name="wrn.JOGO_CONSOLIDADO._1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3" name="wrn.Print." vbProcedure="false">{"vi1",#N/A,FALSE,"Financial Statements";"vi2",#N/A,FALSE,"Financial Statements";#N/A,#N/A,FALSE,"DCF"}</definedName>
    <definedName function="false" hidden="true" localSheetId="3" name="wrn.Print._.Report.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3" name="wrn.Print._.Report._1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3" name="wrn.Print._1" vbProcedure="false">{"vi1",#N/A,FALSE,"Financial Statements";"vi2",#N/A,FALSE,"Financial Statements";#N/A,#N/A,FALSE,"DCF"}</definedName>
    <definedName function="false" hidden="true" localSheetId="3" name="wrn.PrintAll." vbProcedure="false">{"PA1",#N/A,FALSE,"BORDMW";"pa2",#N/A,FALSE,"BORDMW";"PA3",#N/A,FALSE,"BORDMW";"PA4",#N/A,FALSE,"BORDMW"}</definedName>
    <definedName function="false" hidden="true" localSheetId="3" name="wrn.PrintAll._1" vbProcedure="false">{"PA1",#N/A,FALSE,"BORDMW";"pa2",#N/A,FALSE,"BORDMW";"PA3",#N/A,FALSE,"BORDMW";"PA4",#N/A,FALSE,"BORDMW"}</definedName>
    <definedName function="false" hidden="true" localSheetId="3" name="wrn.Pulp." vbProcedure="false">{"Pulp Production",#N/A,FALSE,"Pulp";"Pulp Earnings",#N/A,FALSE,"Pulp"}</definedName>
    <definedName function="false" hidden="true" localSheetId="3" name="wrn.Pulp._1" vbProcedure="false">{"Pulp Production",#N/A,FALSE,"Pulp";"Pulp Earnings",#N/A,FALSE,"Pulp"}</definedName>
    <definedName function="false" hidden="true" localSheetId="3" name="wrn.Report.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3" name="wrn.Report.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3" name="wrn.sales." vbProcedure="false">{"sales",#N/A,FALSE,"Sales";"sales existing",#N/A,FALSE,"Sales";"sales rd1",#N/A,FALSE,"Sales";"sales rd2",#N/A,FALSE,"Sales"}</definedName>
    <definedName function="false" hidden="true" localSheetId="3" name="wrn.sales._1" vbProcedure="false">{"sales",#N/A,FALSE,"Sales";"sales existing",#N/A,FALSE,"Sales";"sales rd1",#N/A,FALSE,"Sales";"sales rd2",#N/A,FALSE,"Sales"}</definedName>
    <definedName function="false" hidden="true" localSheetId="3" name="wrn.SHORT." vbProcedure="false">{"CREDIT STATISTICS",#N/A,FALSE,"STATS";"CF_AND_IS",#N/A,FALSE,"PLAN";"BALSHEET",#N/A,FALSE,"BALANCE SHEET"}</definedName>
    <definedName function="false" hidden="true" localSheetId="3" name="wrn.SHORT._1" vbProcedure="false">{"CREDIT STATISTICS",#N/A,FALSE,"STATS";"CF_AND_IS",#N/A,FALSE,"PLAN";"BALSHEET",#N/A,FALSE,"BALANCE SHEET"}</definedName>
    <definedName function="false" hidden="true" localSheetId="3" name="wrn.SUMMARY.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wrn.SUMMARY.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3" name="wrn.TARGET._.DCF." vbProcedure="false">{"targetdcf",#N/A,FALSE,"Merger consequences";"TARGETASSU",#N/A,FALSE,"Merger consequences";"TERMINAL VALUE",#N/A,FALSE,"Merger consequences"}</definedName>
    <definedName function="false" hidden="true" localSheetId="3" name="wrn.TARGET._.DCF._1" vbProcedure="false">{"targetdcf",#N/A,FALSE,"Merger consequences";"TARGETASSU",#N/A,FALSE,"Merger consequences";"TERMINAL VALUE",#N/A,FALSE,"Merger consequences"}</definedName>
    <definedName function="false" hidden="true" localSheetId="3" name="wrn.todo." vbProcedure="false">{"Caja",#N/A,TRUE,"P&amp;G BG";"PyG",#N/A,TRUE,"P&amp;G BG";"Balance",#N/A,TRUE,"P&amp;G BG"}</definedName>
    <definedName function="false" hidden="true" localSheetId="3" name="wrn.todo._1" vbProcedure="false">{"Caja",#N/A,TRUE,"P&amp;G BG";"PyG",#N/A,TRUE,"P&amp;G BG";"Balance",#N/A,TRUE,"P&amp;G BG"}</definedName>
    <definedName function="false" hidden="true" localSheetId="3" name="wrn.Wacc." vbProcedure="false">{"Area1",#N/A,FALSE,"OREWACC";"Area2",#N/A,FALSE,"OREWACC"}</definedName>
    <definedName function="false" hidden="true" localSheetId="3" name="wrn.Wacc._1" vbProcedure="false">{"Area1",#N/A,FALSE,"OREWACC";"Area2",#N/A,FALSE,"OREWACC"}</definedName>
    <definedName function="false" hidden="true" localSheetId="3" name="wwq" vbProcedure="false">{#N/A,#N/A,FALSE,"Aging Summary";#N/A,#N/A,FALSE,"Ratio Analysis";#N/A,#N/A,FALSE,"Test 120 Day Accts";#N/A,#N/A,FALSE,"Tickmarks"}</definedName>
    <definedName function="false" hidden="true" localSheetId="3" name="wwq_1" vbProcedure="false">{#N/A,#N/A,FALSE,"Aging Summary";#N/A,#N/A,FALSE,"Ratio Analysis";#N/A,#N/A,FALSE,"Test 120 Day Accts";#N/A,#N/A,FALSE,"Tickmarks"}</definedName>
    <definedName function="false" hidden="true" localSheetId="3" name="www" vbProcedure="false">{#N/A,#N/A,FALSE,"Aging Summary";#N/A,#N/A,FALSE,"Ratio Analysis";#N/A,#N/A,FALSE,"Test 120 Day Accts";#N/A,#N/A,FALSE,"Tickmarks"}</definedName>
    <definedName function="false" hidden="true" localSheetId="3" name="www_1" vbProcedure="false">{#N/A,#N/A,FALSE,"Aging Summary";#N/A,#N/A,FALSE,"Ratio Analysis";#N/A,#N/A,FALSE,"Test 120 Day Accts";#N/A,#N/A,FALSE,"Tickmarks"}</definedName>
    <definedName function="false" hidden="true" localSheetId="3" name="XRefCopy10Row" vbProcedure="false">#REF!</definedName>
    <definedName function="false" hidden="true" localSheetId="3" name="XRefCopy11Row" vbProcedure="false">#REF!</definedName>
    <definedName function="false" hidden="true" localSheetId="3" name="XRefCopy12" vbProcedure="false">#REF!</definedName>
    <definedName function="false" hidden="true" localSheetId="3" name="XRefCopy12Row" vbProcedure="false">#REF!</definedName>
    <definedName function="false" hidden="true" localSheetId="3" name="XRefCopy13" vbProcedure="false">#REF!</definedName>
    <definedName function="false" hidden="true" localSheetId="3" name="XRefCopy13Row" vbProcedure="false">#REF!</definedName>
    <definedName function="false" hidden="true" localSheetId="3" name="XRefCopy14Row" vbProcedure="false">#REF!</definedName>
    <definedName function="false" hidden="true" localSheetId="3" name="XRefCopy15Row" vbProcedure="false">#REF!</definedName>
    <definedName function="false" hidden="true" localSheetId="3" name="XRefCopy16Row" vbProcedure="false">#REF!</definedName>
    <definedName function="false" hidden="true" localSheetId="3" name="XRefCopy17Row" vbProcedure="false">#REF!</definedName>
    <definedName function="false" hidden="true" localSheetId="3" name="XRefCopy1Row" vbProcedure="false">#REF!</definedName>
    <definedName function="false" hidden="true" localSheetId="3" name="XRefCopy3Row" vbProcedure="false">#REF!</definedName>
    <definedName function="false" hidden="true" localSheetId="3" name="XRefCopy7" vbProcedure="false">#REF!</definedName>
    <definedName function="false" hidden="true" localSheetId="3" name="XRefCopy8" vbProcedure="false">#REF!</definedName>
    <definedName function="false" hidden="true" localSheetId="3" name="XRefCopy9Row" vbProcedure="false">#REF!</definedName>
    <definedName function="false" hidden="true" localSheetId="3" name="XRefPaste10Row" vbProcedure="false">#REF!</definedName>
    <definedName function="false" hidden="true" localSheetId="3" name="XRefPaste11Row" vbProcedure="false">#REF!</definedName>
    <definedName function="false" hidden="true" localSheetId="3" name="XRefPaste12Row" vbProcedure="false">#REF!</definedName>
    <definedName function="false" hidden="true" localSheetId="3" name="XRefPaste13Row" vbProcedure="false">#REF!</definedName>
    <definedName function="false" hidden="true" localSheetId="3" name="XRefPaste14Row" vbProcedure="false">#REF!</definedName>
    <definedName function="false" hidden="true" localSheetId="3" name="XRefPaste15Row" vbProcedure="false">#REF!</definedName>
    <definedName function="false" hidden="true" localSheetId="3" name="XRefPaste16Row" vbProcedure="false">#REF!</definedName>
    <definedName function="false" hidden="true" localSheetId="3" name="XRefPaste17Row" vbProcedure="false">#REF!</definedName>
    <definedName function="false" hidden="true" localSheetId="3" name="XRefPaste18Row" vbProcedure="false">#REF!</definedName>
    <definedName function="false" hidden="true" localSheetId="3" name="XRefPaste19Row" vbProcedure="false">#REF!</definedName>
    <definedName function="false" hidden="true" localSheetId="3" name="XRefPaste21Row" vbProcedure="false">#REF!</definedName>
    <definedName function="false" hidden="true" localSheetId="3" name="XRefPaste22" vbProcedure="false">#REF!</definedName>
    <definedName function="false" hidden="true" localSheetId="3" name="XRefPaste23Row" vbProcedure="false">#REF!</definedName>
    <definedName function="false" hidden="true" localSheetId="3" name="XRefPaste25Row" vbProcedure="false">#REF!</definedName>
    <definedName function="false" hidden="true" localSheetId="3" name="XRefPaste26Row" vbProcedure="false">#REF!</definedName>
    <definedName function="false" hidden="true" localSheetId="3" name="XRefPaste27Row" vbProcedure="false">#REF!</definedName>
    <definedName function="false" hidden="true" localSheetId="3" name="XRefPaste28Row" vbProcedure="false">#REF!</definedName>
    <definedName function="false" hidden="true" localSheetId="3" name="XRefPaste29Row" vbProcedure="false">#REF!</definedName>
    <definedName function="false" hidden="true" localSheetId="3" name="XRefPaste30Row" vbProcedure="false">#REF!</definedName>
    <definedName function="false" hidden="true" localSheetId="3" name="XRefPaste31Row" vbProcedure="false">#REF!</definedName>
    <definedName function="false" hidden="true" localSheetId="3" name="XRefPaste32Row" vbProcedure="false">#REF!</definedName>
    <definedName function="false" hidden="true" localSheetId="3" name="XRefPaste33Row" vbProcedure="false">#REF!</definedName>
    <definedName function="false" hidden="true" localSheetId="3" name="XRefPaste34Row" vbProcedure="false">#REF!</definedName>
    <definedName function="false" hidden="true" localSheetId="3" name="XRefPaste35Row" vbProcedure="false">#REF!</definedName>
    <definedName function="false" hidden="true" localSheetId="3" name="XRefPaste5" vbProcedure="false">#REF!</definedName>
    <definedName function="false" hidden="true" localSheetId="3" name="XRefPaste5Row" vbProcedure="false">#REF!</definedName>
    <definedName function="false" hidden="true" localSheetId="3" name="XRefPaste6" vbProcedure="false">#REF!</definedName>
    <definedName function="false" hidden="true" localSheetId="3" name="XRefPaste6Row" vbProcedure="false">#REF!</definedName>
    <definedName function="false" hidden="true" localSheetId="3" name="XRefPaste7Row" vbProcedure="false">#REF!</definedName>
    <definedName function="false" hidden="true" localSheetId="3" name="XRefPaste8Row" vbProcedure="false">#REF!</definedName>
    <definedName function="false" hidden="true" localSheetId="3" name="XRefPaste9Row" vbProcedure="false">#REF!</definedName>
    <definedName function="false" hidden="true" localSheetId="3" name="XREF_COLUMN_13" vbProcedure="false">#REF!</definedName>
    <definedName function="false" hidden="true" localSheetId="3" name="XREF_COLUMN_14" vbProcedure="false">#REF!</definedName>
    <definedName function="false" hidden="true" localSheetId="3" name="XREF_COLUMN_20" vbProcedure="false">#REF!</definedName>
    <definedName function="false" hidden="true" localSheetId="3" name="XREF_COLUMN_22" vbProcedure="false">#REF!</definedName>
    <definedName function="false" hidden="true" localSheetId="3" name="XREF_COLUMN_3" vbProcedure="false">#REF!</definedName>
    <definedName function="false" hidden="true" localSheetId="3" name="XREF_COLUMN_5" vbProcedure="false">#REF!</definedName>
    <definedName function="false" hidden="true" localSheetId="3" name="XREF_COLUMN_7" vbProcedure="false">#REF!</definedName>
    <definedName function="false" hidden="false" localSheetId="3" name="_04_Conta_a_Receber" vbProcedure="false">#REF!</definedName>
    <definedName function="false" hidden="false" localSheetId="3" name="_1" vbProcedure="false">#REF!</definedName>
    <definedName function="false" hidden="true" localSheetId="3" name="_bdm.37D454F85632448B8D50FA5EB7F05C94.edm" vbProcedure="false">#REF!</definedName>
    <definedName function="false" hidden="true" localSheetId="3" name="_bdm.9FCC6661EC454A839FF6E48F17F39194.edm" vbProcedure="false">#REF!</definedName>
    <definedName function="false" hidden="true" localSheetId="3" name="_bdm.9FEB4F5A2798413FB6BE0568818DA3F0.edm" vbProcedure="false">#REF!</definedName>
    <definedName function="false" hidden="true" localSheetId="3" name="_Fill" vbProcedure="false">#REF!</definedName>
    <definedName function="false" hidden="true" localSheetId="3" name="_l" vbProcedure="false">{"IND","COMPANIES",TRUE}</definedName>
    <definedName function="false" hidden="true" localSheetId="3" name="_l_1" vbProcedure="false">{"IND","COMPANIES",TRUE}</definedName>
    <definedName function="false" hidden="true" localSheetId="3" name="_Table1_In1" vbProcedure="false">#REF!</definedName>
    <definedName function="false" hidden="true" localSheetId="3" name="_Table1_Out" vbProcedure="false">#REF!</definedName>
    <definedName function="false" hidden="true" localSheetId="3" name="_Table2_Out" vbProcedure="false">#REF!</definedName>
    <definedName function="false" hidden="true" localSheetId="3" name="_W3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3" name="_W3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3" name="_w4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3" name="_w4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3" name="_w5" vbProcedure="false">{"Pulp Production",#N/A,FALSE,"Pulp";"Pulp Earnings",#N/A,FALSE,"Pulp"}</definedName>
    <definedName function="false" hidden="true" localSheetId="3" name="_w5_1" vbProcedure="false">{"Pulp Production",#N/A,FALSE,"Pulp";"Pulp Earnings",#N/A,FALSE,"Pulp"}</definedName>
    <definedName function="false" hidden="true" localSheetId="3" name="_w6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3" name="_w6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4" name="AAAA" vbProcedure="false">{#N/A,#N/A,FALSE,"Aging Summary";#N/A,#N/A,FALSE,"Ratio Analysis";#N/A,#N/A,FALSE,"Test 120 Day Accts";#N/A,#N/A,FALSE,"Tickmarks"}</definedName>
    <definedName function="false" hidden="true" localSheetId="4" name="AAAA_1" vbProcedure="false">{#N/A,#N/A,FALSE,"Aging Summary";#N/A,#N/A,FALSE,"Ratio Analysis";#N/A,#N/A,FALSE,"Test 120 Day Accts";#N/A,#N/A,FALSE,"Tickmarks"}</definedName>
    <definedName function="false" hidden="true" localSheetId="4" name="ad" vbProcedure="false">{#N/A,#N/A,FALSE,"Aging Summary";#N/A,#N/A,FALSE,"Ratio Analysis";#N/A,#N/A,FALSE,"Test 120 Day Accts";#N/A,#N/A,FALSE,"Tickmarks"}</definedName>
    <definedName function="false" hidden="true" localSheetId="4" name="adfvad" vbProcedure="false">{#N/A,#N/A,FALSE,"Aging Summary";#N/A,#N/A,FALSE,"Ratio Analysis";#N/A,#N/A,FALSE,"Test 120 Day Accts";#N/A,#N/A,FALSE,"Tickmarks"}</definedName>
    <definedName function="false" hidden="true" localSheetId="4" name="adfvad_1" vbProcedure="false">{#N/A,#N/A,FALSE,"Aging Summary";#N/A,#N/A,FALSE,"Ratio Analysis";#N/A,#N/A,FALSE,"Test 120 Day Accts";#N/A,#N/A,FALSE,"Tickmarks"}</definedName>
    <definedName function="false" hidden="true" localSheetId="4" name="ad_1" vbProcedure="false">{#N/A,#N/A,FALSE,"Aging Summary";#N/A,#N/A,FALSE,"Ratio Analysis";#N/A,#N/A,FALSE,"Test 120 Day Accts";#N/A,#N/A,FALSE,"Tickmarks"}</definedName>
    <definedName function="false" hidden="false" localSheetId="4" name="AS" vbProcedure="false">#REF!</definedName>
    <definedName function="false" hidden="true" localSheetId="4" name="Assumptios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Assumptios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4" name="Atendimento" vbProcedure="false">'[4]00- premissas'!#ref!</definedName>
    <definedName function="false" hidden="false" localSheetId="4" name="aumentopreços" vbProcedure="false">'[4]00- premissas'!#ref!</definedName>
    <definedName function="false" hidden="false" localSheetId="4" name="Banco" vbProcedure="false">#REF!</definedName>
    <definedName function="false" hidden="false" localSheetId="4" name="Bancos" vbProcedure="false">#REF!</definedName>
    <definedName function="false" hidden="true" localSheetId="4" name="BLANK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BLANK2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BLANK2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BLANK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BROW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BROW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4" name="CATEGORIAS" vbProcedure="false">#REF!</definedName>
    <definedName function="false" hidden="false" localSheetId="4" name="comissoes" vbProcedure="false">[8]premissas!#ref!</definedName>
    <definedName function="false" hidden="false" localSheetId="4" name="contaempresa" vbProcedure="false">[8]premissas!#ref!</definedName>
    <definedName function="false" hidden="false" localSheetId="4" name="contaroberta" vbProcedure="false">[8]premissas!#ref!</definedName>
    <definedName function="false" hidden="false" localSheetId="4" name="CONTAS" vbProcedure="false">#REF!</definedName>
    <definedName function="false" hidden="false" localSheetId="4" name="CustoMP" vbProcedure="false">#REF!</definedName>
    <definedName function="false" hidden="false" localSheetId="4" name="D" vbProcedure="false">'[10]Base de Dados'!$B$18:$B$21</definedName>
    <definedName function="false" hidden="true" localSheetId="4" name="dagbladen_inc_services" vbProcedure="false">{#N/A,#N/A,FALSE,"Aging Summary";#N/A,#N/A,FALSE,"Ratio Analysis";#N/A,#N/A,FALSE,"Test 120 Day Accts";#N/A,#N/A,FALSE,"Tickmarks"}</definedName>
    <definedName function="false" hidden="true" localSheetId="4" name="dagbladen_inc_services_1" vbProcedure="false">{#N/A,#N/A,FALSE,"Aging Summary";#N/A,#N/A,FALSE,"Ratio Analysis";#N/A,#N/A,FALSE,"Test 120 Day Accts";#N/A,#N/A,FALSE,"Tickmarks"}</definedName>
    <definedName function="false" hidden="true" localSheetId="4" name="DD" vbProcedure="false">#REF!</definedName>
    <definedName function="false" hidden="true" localSheetId="4" name="ddad" vbProcedure="false">#REF!</definedName>
    <definedName function="false" hidden="true" localSheetId="4" name="dddd" vbProcedure="false">#REF!</definedName>
    <definedName function="false" hidden="false" localSheetId="4" name="DESPCASA" vbProcedure="false">[8]premissas!#ref!</definedName>
    <definedName function="false" hidden="false" localSheetId="4" name="Despesas" vbProcedure="false">[8]premissas!#ref!</definedName>
    <definedName function="false" hidden="false" localSheetId="4" name="devoluções" vbProcedure="false">'[4]00- premissas'!#ref!</definedName>
    <definedName function="false" hidden="false" localSheetId="4" name="DRE" vbProcedure="false">#REF!</definedName>
    <definedName function="false" hidden="false" localSheetId="4" name="empresas" vbProcedure="false">[8]premissas!#ref!</definedName>
    <definedName function="false" hidden="false" localSheetId="4" name="Entrada" vbProcedure="false">#REF!</definedName>
    <definedName function="false" hidden="false" localSheetId="4" name="Entradas" vbProcedure="false">#REF!</definedName>
    <definedName function="false" hidden="true" localSheetId="4" name="erefafg" vbProcedure="false">{#N/A,#N/A,FALSE,"Aging Summary";#N/A,#N/A,FALSE,"Ratio Analysis";#N/A,#N/A,FALSE,"Test 120 Day Accts";#N/A,#N/A,FALSE,"Tickmarks"}</definedName>
    <definedName function="false" hidden="true" localSheetId="4" name="erefafg_1" vbProcedure="false">{#N/A,#N/A,FALSE,"Aging Summary";#N/A,#N/A,FALSE,"Ratio Analysis";#N/A,#N/A,FALSE,"Test 120 Day Accts";#N/A,#N/A,FALSE,"Tickmarks"}</definedName>
    <definedName function="false" hidden="true" localSheetId="4" name="erer" vbProcedure="false">{#N/A,#N/A,FALSE,"Aging Summary";#N/A,#N/A,FALSE,"Ratio Analysis";#N/A,#N/A,FALSE,"Test 120 Day Accts";#N/A,#N/A,FALSE,"Tickmarks"}</definedName>
    <definedName function="false" hidden="true" localSheetId="4" name="erer_1" vbProcedure="false">{#N/A,#N/A,FALSE,"Aging Summary";#N/A,#N/A,FALSE,"Ratio Analysis";#N/A,#N/A,FALSE,"Test 120 Day Accts";#N/A,#N/A,FALSE,"Tickmarks"}</definedName>
    <definedName function="false" hidden="true" localSheetId="4" name="esnrc14c1" vbProcedure="false">#REF!</definedName>
    <definedName function="false" hidden="true" localSheetId="4" name="esnrc14c1_values" vbProcedure="false">{"FTSE44","COMPANIES",TRUE}</definedName>
    <definedName function="false" hidden="true" localSheetId="4" name="esnrc14c1_values_1" vbProcedure="false">{"FTSE44","COMPANIES",TRUE}</definedName>
    <definedName function="false" hidden="true" localSheetId="4" name="esnrc67c1_values" vbProcedure="false">{"IND","COMPANIES",TRUE}</definedName>
    <definedName function="false" hidden="true" localSheetId="4" name="esnrc67c1_values_1" vbProcedure="false">{"IND","COMPANIES",TRUE}</definedName>
    <definedName function="false" hidden="true" localSheetId="4" name="esnrc6c1_values" vbProcedure="false">{"350FTSE44","COMPANIES",TRUE}</definedName>
    <definedName function="false" hidden="true" localSheetId="4" name="esnrc6c1_values_1" vbProcedure="false">{"350FTSE44","COMPANIES",TRUE}</definedName>
    <definedName function="false" hidden="true" localSheetId="4" name="ewcw" vbProcedure="false">{#N/A,#N/A,FALSE,"Aging Summary";#N/A,#N/A,FALSE,"Ratio Analysis";#N/A,#N/A,FALSE,"Test 120 Day Accts";#N/A,#N/A,FALSE,"Tickmarks"}</definedName>
    <definedName function="false" hidden="true" localSheetId="4" name="ewcw_1" vbProcedure="false">{#N/A,#N/A,FALSE,"Aging Summary";#N/A,#N/A,FALSE,"Ratio Analysis";#N/A,#N/A,FALSE,"Test 120 Day Accts";#N/A,#N/A,FALSE,"Tickmarks"}</definedName>
    <definedName function="false" hidden="true" localSheetId="4" name="f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4" name="FATCL" vbProcedure="false">#REF!</definedName>
    <definedName function="false" hidden="true" localSheetId="4" name="fdd" vbProcedure="false">#REF!</definedName>
    <definedName function="false" hidden="false" localSheetId="4" name="FGTS_REAL" vbProcedure="false">#REF!</definedName>
    <definedName function="false" hidden="false" localSheetId="4" name="FGTS_SIMPLES" vbProcedure="false">#REF!</definedName>
    <definedName function="false" hidden="true" localSheetId="4" name="fresfg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fresfg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f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false" localSheetId="4" name="hhhhh" vbProcedure="false">#REF!</definedName>
    <definedName function="false" hidden="false" localSheetId="4" name="ICMS" vbProcedure="false">#REF!</definedName>
    <definedName function="false" hidden="false" localSheetId="4" name="INSS_REAL" vbProcedure="false">#REF!</definedName>
    <definedName function="false" hidden="false" localSheetId="4" name="INSS_SIMPLES" vbProcedure="false">#REF!</definedName>
    <definedName function="false" hidden="false" localSheetId="4" name="Last_Row" vbProcedure="false">IF('DRE 2024'!Values_Entered,Header_Row+Number_of_Payments,Header_Row)</definedName>
    <definedName function="false" hidden="false" localSheetId="4" name="Values_Entered" vbProcedure="false">IF(Loan_Amount*Interest_Rate*Loan_Years*Loan_Start&gt;0,1,0)</definedName>
    <definedName function="false" hidden="false" localSheetId="4" name="Loan_Not_Paid" vbProcedure="false">IF('DRE 2024'!Payment_Number&lt;=Number_of_Payments,1,0)</definedName>
    <definedName function="false" hidden="false" localSheetId="4" name="Payment_Number" vbProcedure="false">ROW()-Header_Row</definedName>
    <definedName function="false" hidden="false" localSheetId="4" name="LOJA" vbProcedure="false">[8]premissas!#ref!</definedName>
    <definedName function="false" hidden="false" localSheetId="4" name="Macro1" vbProcedure="false">[18]!Macro1</definedName>
    <definedName function="false" hidden="false" localSheetId="4" name="Macro2" vbProcedure="false">[18]!Macro2</definedName>
    <definedName function="false" hidden="false" localSheetId="4" name="Macro3" vbProcedure="false">[18]!Macro3</definedName>
    <definedName function="false" hidden="false" localSheetId="4" name="Macro4" vbProcedure="false">[18]!Macro4</definedName>
    <definedName function="false" hidden="false" localSheetId="4" name="MINAS_FERTIL___INSUMOS_AGROPECUﾁRIOS_LTD" vbProcedure="false">#REF!</definedName>
    <definedName function="false" hidden="false" localSheetId="4" name="novo" vbProcedure="false">#REF!</definedName>
    <definedName function="false" hidden="true" localSheetId="4" name="other" vbProcedure="false">{"FTSE44","COMPANIES",TRUE}</definedName>
    <definedName function="false" hidden="true" localSheetId="4" name="other2" vbProcedure="false">{"350FTSE44","COMPANIES",TRUE}</definedName>
    <definedName function="false" hidden="true" localSheetId="4" name="other2_1" vbProcedure="false">{"350FTSE44","COMPANIES",TRUE}</definedName>
    <definedName function="false" hidden="true" localSheetId="4" name="other_1" vbProcedure="false">{"FTSE44","COMPANIES",TRUE}</definedName>
    <definedName function="false" hidden="false" localSheetId="4" name="pgto" vbProcedure="false">#REF!</definedName>
    <definedName function="false" hidden="false" localSheetId="4" name="portadores" vbProcedure="false">[8]premissas!#ref!</definedName>
    <definedName function="false" hidden="true" localSheetId="4" name="ppp" vbProcedure="false">#REF!</definedName>
    <definedName function="false" hidden="false" localSheetId="4" name="precosdevenda" vbProcedure="false">#REF!</definedName>
    <definedName function="false" hidden="false" localSheetId="4" name="PROV13" vbProcedure="false">'[23]Impostos e Provisões'!$I$5</definedName>
    <definedName function="false" hidden="false" localSheetId="4" name="PROV13_REAL" vbProcedure="false">#REF!</definedName>
    <definedName function="false" hidden="false" localSheetId="4" name="PROV13_SIMPLES" vbProcedure="false">#REF!</definedName>
    <definedName function="false" hidden="false" localSheetId="4" name="PROVFERIAS" vbProcedure="false">'[23]Impostos e Provisões'!$I$6</definedName>
    <definedName function="false" hidden="false" localSheetId="4" name="PROVFERIAS_REAL" vbProcedure="false">#REF!</definedName>
    <definedName function="false" hidden="false" localSheetId="4" name="PROVFERIAS_SIMPLES" vbProcedure="false">#REF!</definedName>
    <definedName function="false" hidden="true" localSheetId="4" name="qqq" vbProcedure="false">{#N/A,#N/A,FALSE,"cpt"}</definedName>
    <definedName function="false" hidden="true" localSheetId="4" name="qqq_1" vbProcedure="false">{#N/A,#N/A,FALSE,"cpt"}</definedName>
    <definedName function="false" hidden="false" localSheetId="4" name="rcbto" vbProcedure="false">#REF!</definedName>
    <definedName function="false" hidden="false" localSheetId="4" name="Recebimento" vbProcedure="false">#REF!</definedName>
    <definedName function="false" hidden="false" localSheetId="4" name="receitas" vbProcedure="false">[8]premissas!#ref!</definedName>
    <definedName function="false" hidden="false" localSheetId="4" name="SAIDAS" vbProcedure="false">#REF!</definedName>
    <definedName function="false" hidden="true" localSheetId="4" name="SLEVIN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SLEVIN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Sompther" vbProcedure="false">{#N/A,#N/A,FALSE,"Aging Summary";#N/A,#N/A,FALSE,"Ratio Analysis";#N/A,#N/A,FALSE,"Test 120 Day Accts";#N/A,#N/A,FALSE,"Tickmarks"}</definedName>
    <definedName function="false" hidden="true" localSheetId="4" name="Sompther_1" vbProcedure="false">{#N/A,#N/A,FALSE,"Aging Summary";#N/A,#N/A,FALSE,"Ratio Analysis";#N/A,#N/A,FALSE,"Test 120 Day Accts";#N/A,#N/A,FALSE,"Tickmarks"}</definedName>
    <definedName function="false" hidden="true" localSheetId="4" name="ss" vbProcedure="false">#REF!</definedName>
    <definedName function="false" hidden="false" localSheetId="4" name="sss" vbProcedure="false">#REF!</definedName>
    <definedName function="false" hidden="true" localSheetId="4" name="sumtijdschriften" vbProcedure="false">{#N/A,#N/A,FALSE,"Aging Summary";#N/A,#N/A,FALSE,"Ratio Analysis";#N/A,#N/A,FALSE,"Test 120 Day Accts";#N/A,#N/A,FALSE,"Tickmarks"}</definedName>
    <definedName function="false" hidden="true" localSheetId="4" name="sumtijdschriften_1" vbProcedure="false">{#N/A,#N/A,FALSE,"Aging Summary";#N/A,#N/A,FALSE,"Ratio Analysis";#N/A,#N/A,FALSE,"Test 120 Day Accts";#N/A,#N/A,FALSE,"Tickmarks"}</definedName>
    <definedName function="false" hidden="false" localSheetId="4" name="TIPODESPESAS" vbProcedure="false">#REF!</definedName>
    <definedName function="false" hidden="false" localSheetId="4" name="tipos" vbProcedure="false">[8]premissas!#ref!</definedName>
    <definedName function="false" hidden="false" localSheetId="4" name="tttt" vbProcedure="false">#REF!</definedName>
    <definedName function="false" hidden="true" localSheetId="4" name="Wallace" vbProcedure="false">{"Cover",#N/A,FALSE,"Cover";"Summary",#N/A,FALSE,"Summarpage"}</definedName>
    <definedName function="false" hidden="true" localSheetId="4" name="Wallace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4" name="Wallace1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4" name="Wallace_1" vbProcedure="false">{"Cover",#N/A,FALSE,"Cover";"Summary",#N/A,FALSE,"Summarpage"}</definedName>
    <definedName function="false" hidden="true" localSheetId="4" name="wer" vbProcedure="false">{#N/A,#N/A,FALSE,"Aging Summary";#N/A,#N/A,FALSE,"Ratio Analysis";#N/A,#N/A,FALSE,"Test 120 Day Accts";#N/A,#N/A,FALSE,"Tickmarks"}</definedName>
    <definedName function="false" hidden="true" localSheetId="4" name="wer_1" vbProcedure="false">{#N/A,#N/A,FALSE,"Aging Summary";#N/A,#N/A,FALSE,"Ratio Analysis";#N/A,#N/A,FALSE,"Test 120 Day Accts";#N/A,#N/A,FALSE,"Tickmarks"}</definedName>
    <definedName function="false" hidden="true" localSheetId="4" name="wrn.2._.pagers." vbProcedure="false">{"Cover",#N/A,FALSE,"Cover";"Summary",#N/A,FALSE,"Summarpage"}</definedName>
    <definedName function="false" hidden="true" localSheetId="4" name="wrn.2._.pagers._1" vbProcedure="false">{"Cover",#N/A,FALSE,"Cover";"Summary",#N/A,FALSE,"Summarpage"}</definedName>
    <definedName function="false" hidden="true" localSheetId="4" name="wrn.Acquisition_matrix." vbProcedure="false">{"Acq_matrix",#N/A,FALSE,"Acquisition Matrix"}</definedName>
    <definedName function="false" hidden="true" localSheetId="4" name="wrn.Acquisition_matrix._1" vbProcedure="false">{"Acq_matrix",#N/A,FALSE,"Acquisition Matrix"}</definedName>
    <definedName function="false" hidden="true" localSheetId="4" name="wrn.ALAN.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4" name="wrn.ALAN._1" vbProcedure="false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function="false" hidden="true" localSheetId="4" name="wrn.all." vbProcedure="false">{#N/A,#N/A,FALSE,"cpt"}</definedName>
    <definedName function="false" hidden="true" localSheetId="4" name="wrn.All._.Sections.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4" name="wrn.All._.Sections._1" vbProcedure="false">{"Data Entry",#N/A,FALSE,"COMPTEMP";"Ratios",#N/A,FALSE,"COMPTEMP";"Aggregate Values",#N/A,FALSE,"COMPTEMP";"Equity Multiples",#N/A,FALSE,"COMPTEMP";"Summary Overview",#N/A,FALSE,"COMPTEMP"}</definedName>
    <definedName function="false" hidden="true" localSheetId="4" name="wrn.all._1" vbProcedure="false">{#N/A,#N/A,FALSE,"cpt"}</definedName>
    <definedName function="false" hidden="true" localSheetId="4" name="wrn.AQUIROR._.DCF." vbProcedure="false">{"AQUIRORDCF",#N/A,FALSE,"Merger consequences";"Acquirorassns",#N/A,FALSE,"Merger consequences"}</definedName>
    <definedName function="false" hidden="true" localSheetId="4" name="wrn.AQUIROR._.DCF._1" vbProcedure="false">{"AQUIRORDCF",#N/A,FALSE,"Merger consequences";"Acquirorassns",#N/A,FALSE,"Merger consequences"}</definedName>
    <definedName function="false" hidden="true" localSheetId="4" name="wrn.breakup.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4" name="wrn.breakup.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4" name="wrn.Buildups.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4" name="wrn.Buildups._1" vbProcedure="false">{"ACQ",#N/A,FALSE,"ACQUISITIONS";"ACQF",#N/A,FALSE,"ACQUISITIONS";"PF",#N/A,FALSE,"PROYECTOVILA";"PV",#N/A,FALSE,"PROYECTOVILA";"Fee Dev",#N/A,FALSE,"DEVELOPMENT GROWTH";"gd",#N/A,FALSE,"DEVELOPMENT GROWTH"}</definedName>
    <definedName function="false" hidden="true" localSheetId="4" name="wrn.COMPCO." vbProcedure="false">{"Page1",#N/A,FALSE,"CompCo";"Page2",#N/A,FALSE,"CompCo"}</definedName>
    <definedName function="false" hidden="true" localSheetId="4" name="wrn.COMPCO._1" vbProcedure="false">{"Page1",#N/A,FALSE,"CompCo";"Page2",#N/A,FALSE,"CompCo"}</definedName>
    <definedName function="false" hidden="true" localSheetId="4" name="wrn.Complete.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4" name="wrn.Complete.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4" name="wrn.DCF_Terminal_Value_qchm." vbProcedure="false">{"qchm_dcf",#N/A,FALSE,"QCHMDCF2";"qchm_terminal",#N/A,FALSE,"QCHMDCF2"}</definedName>
    <definedName function="false" hidden="true" localSheetId="4" name="wrn.DCF_Terminal_Value_qchm._1" vbProcedure="false">{"qchm_dcf",#N/A,FALSE,"QCHMDCF2";"qchm_terminal",#N/A,FALSE,"QCHMDCF2"}</definedName>
    <definedName function="false" hidden="true" localSheetId="4" name="wrn.Entire._.Model.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4" name="wrn.Entire._.Model._1" vbProcedure="false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function="false" hidden="true" localSheetId="4" name="wrn.Financials_long." vbProcedure="false">{"IS",#N/A,FALSE,"Financials2 (Expanded)";"bsa",#N/A,FALSE,"Financials2 (Expanded)";"BS",#N/A,FALSE,"Financials2 (Expanded)";"CF",#N/A,FALSE,"Financials2 (Expanded)"}</definedName>
    <definedName function="false" hidden="true" localSheetId="4" name="wrn.Financials_long._1" vbProcedure="false">{"IS",#N/A,FALSE,"Financials2 (Expanded)";"bsa",#N/A,FALSE,"Financials2 (Expanded)";"BS",#N/A,FALSE,"Financials2 (Expanded)";"CF",#N/A,FALSE,"Financials2 (Expanded)"}</definedName>
    <definedName function="false" hidden="true" localSheetId="4" name="wrn.Full._.Monty.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4" name="wrn.Full._.Monty._1" vbProcedure="false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function="false" hidden="true" localSheetId="4" name="wrn.full._.report.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4" name="wrn.full._.report._1" vbProcedure="false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function="false" hidden="true" localSheetId="4" name="wrn.JOGO_CONSOLIDADO.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4" name="wrn.JOGO_CONSOLIDADO._1" vbProcedure="false">{#N/A,#N/A,TRUE,"Consolidado";#N/A,#N/A,TRUE,"Laticínios";#N/A,#N/A,TRUE,"Frangos";#N/A,#N/A,TRUE,"Suínos";#N/A,#N/A,TRUE,"Peru";#N/A,#N/A,TRUE,"Carnes";#N/A,#N/A,TRUE,"Suco";#N/A,#N/A,TRUE,"Batata"}</definedName>
    <definedName function="false" hidden="true" localSheetId="4" name="wrn.Print." vbProcedure="false">{"vi1",#N/A,FALSE,"Financial Statements";"vi2",#N/A,FALSE,"Financial Statements";#N/A,#N/A,FALSE,"DCF"}</definedName>
    <definedName function="false" hidden="true" localSheetId="4" name="wrn.Print._.Report.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4" name="wrn.Print._.Report._1" vbProcedure="false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function="false" hidden="true" localSheetId="4" name="wrn.Print._1" vbProcedure="false">{"vi1",#N/A,FALSE,"Financial Statements";"vi2",#N/A,FALSE,"Financial Statements";#N/A,#N/A,FALSE,"DCF"}</definedName>
    <definedName function="false" hidden="true" localSheetId="4" name="wrn.PrintAll." vbProcedure="false">{"PA1",#N/A,FALSE,"BORDMW";"pa2",#N/A,FALSE,"BORDMW";"PA3",#N/A,FALSE,"BORDMW";"PA4",#N/A,FALSE,"BORDMW"}</definedName>
    <definedName function="false" hidden="true" localSheetId="4" name="wrn.PrintAll._1" vbProcedure="false">{"PA1",#N/A,FALSE,"BORDMW";"pa2",#N/A,FALSE,"BORDMW";"PA3",#N/A,FALSE,"BORDMW";"PA4",#N/A,FALSE,"BORDMW"}</definedName>
    <definedName function="false" hidden="true" localSheetId="4" name="wrn.Pulp." vbProcedure="false">{"Pulp Production",#N/A,FALSE,"Pulp";"Pulp Earnings",#N/A,FALSE,"Pulp"}</definedName>
    <definedName function="false" hidden="true" localSheetId="4" name="wrn.Pulp._1" vbProcedure="false">{"Pulp Production",#N/A,FALSE,"Pulp";"Pulp Earnings",#N/A,FALSE,"Pulp"}</definedName>
    <definedName function="false" hidden="true" localSheetId="4" name="wrn.Report.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4" name="wrn.Report.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4" name="wrn.sales." vbProcedure="false">{"sales",#N/A,FALSE,"Sales";"sales existing",#N/A,FALSE,"Sales";"sales rd1",#N/A,FALSE,"Sales";"sales rd2",#N/A,FALSE,"Sales"}</definedName>
    <definedName function="false" hidden="true" localSheetId="4" name="wrn.sales._1" vbProcedure="false">{"sales",#N/A,FALSE,"Sales";"sales existing",#N/A,FALSE,"Sales";"sales rd1",#N/A,FALSE,"Sales";"sales rd2",#N/A,FALSE,"Sales"}</definedName>
    <definedName function="false" hidden="true" localSheetId="4" name="wrn.SHORT." vbProcedure="false">{"CREDIT STATISTICS",#N/A,FALSE,"STATS";"CF_AND_IS",#N/A,FALSE,"PLAN";"BALSHEET",#N/A,FALSE,"BALANCE SHEET"}</definedName>
    <definedName function="false" hidden="true" localSheetId="4" name="wrn.SHORT._1" vbProcedure="false">{"CREDIT STATISTICS",#N/A,FALSE,"STATS";"CF_AND_IS",#N/A,FALSE,"PLAN";"BALSHEET",#N/A,FALSE,"BALANCE SHEET"}</definedName>
    <definedName function="false" hidden="true" localSheetId="4" name="wrn.SUMMARY.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wrn.SUMMARY._1" vbProcedure="false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function="false" hidden="true" localSheetId="4" name="wrn.TARGET._.DCF." vbProcedure="false">{"targetdcf",#N/A,FALSE,"Merger consequences";"TARGETASSU",#N/A,FALSE,"Merger consequences";"TERMINAL VALUE",#N/A,FALSE,"Merger consequences"}</definedName>
    <definedName function="false" hidden="true" localSheetId="4" name="wrn.TARGET._.DCF._1" vbProcedure="false">{"targetdcf",#N/A,FALSE,"Merger consequences";"TARGETASSU",#N/A,FALSE,"Merger consequences";"TERMINAL VALUE",#N/A,FALSE,"Merger consequences"}</definedName>
    <definedName function="false" hidden="true" localSheetId="4" name="wrn.todo." vbProcedure="false">{"Caja",#N/A,TRUE,"P&amp;G BG";"PyG",#N/A,TRUE,"P&amp;G BG";"Balance",#N/A,TRUE,"P&amp;G BG"}</definedName>
    <definedName function="false" hidden="true" localSheetId="4" name="wrn.todo._1" vbProcedure="false">{"Caja",#N/A,TRUE,"P&amp;G BG";"PyG",#N/A,TRUE,"P&amp;G BG";"Balance",#N/A,TRUE,"P&amp;G BG"}</definedName>
    <definedName function="false" hidden="true" localSheetId="4" name="wrn.Wacc." vbProcedure="false">{"Area1",#N/A,FALSE,"OREWACC";"Area2",#N/A,FALSE,"OREWACC"}</definedName>
    <definedName function="false" hidden="true" localSheetId="4" name="wrn.Wacc._1" vbProcedure="false">{"Area1",#N/A,FALSE,"OREWACC";"Area2",#N/A,FALSE,"OREWACC"}</definedName>
    <definedName function="false" hidden="true" localSheetId="4" name="wwq" vbProcedure="false">{#N/A,#N/A,FALSE,"Aging Summary";#N/A,#N/A,FALSE,"Ratio Analysis";#N/A,#N/A,FALSE,"Test 120 Day Accts";#N/A,#N/A,FALSE,"Tickmarks"}</definedName>
    <definedName function="false" hidden="true" localSheetId="4" name="wwq_1" vbProcedure="false">{#N/A,#N/A,FALSE,"Aging Summary";#N/A,#N/A,FALSE,"Ratio Analysis";#N/A,#N/A,FALSE,"Test 120 Day Accts";#N/A,#N/A,FALSE,"Tickmarks"}</definedName>
    <definedName function="false" hidden="true" localSheetId="4" name="www" vbProcedure="false">{#N/A,#N/A,FALSE,"Aging Summary";#N/A,#N/A,FALSE,"Ratio Analysis";#N/A,#N/A,FALSE,"Test 120 Day Accts";#N/A,#N/A,FALSE,"Tickmarks"}</definedName>
    <definedName function="false" hidden="true" localSheetId="4" name="www_1" vbProcedure="false">{#N/A,#N/A,FALSE,"Aging Summary";#N/A,#N/A,FALSE,"Ratio Analysis";#N/A,#N/A,FALSE,"Test 120 Day Accts";#N/A,#N/A,FALSE,"Tickmarks"}</definedName>
    <definedName function="false" hidden="true" localSheetId="4" name="XRefCopy10Row" vbProcedure="false">#REF!</definedName>
    <definedName function="false" hidden="true" localSheetId="4" name="XRefCopy11Row" vbProcedure="false">#REF!</definedName>
    <definedName function="false" hidden="true" localSheetId="4" name="XRefCopy12" vbProcedure="false">#REF!</definedName>
    <definedName function="false" hidden="true" localSheetId="4" name="XRefCopy12Row" vbProcedure="false">#REF!</definedName>
    <definedName function="false" hidden="true" localSheetId="4" name="XRefCopy13" vbProcedure="false">#REF!</definedName>
    <definedName function="false" hidden="true" localSheetId="4" name="XRefCopy13Row" vbProcedure="false">#REF!</definedName>
    <definedName function="false" hidden="true" localSheetId="4" name="XRefCopy14Row" vbProcedure="false">#REF!</definedName>
    <definedName function="false" hidden="true" localSheetId="4" name="XRefCopy15Row" vbProcedure="false">#REF!</definedName>
    <definedName function="false" hidden="true" localSheetId="4" name="XRefCopy16Row" vbProcedure="false">#REF!</definedName>
    <definedName function="false" hidden="true" localSheetId="4" name="XRefCopy17Row" vbProcedure="false">#REF!</definedName>
    <definedName function="false" hidden="true" localSheetId="4" name="XRefCopy1Row" vbProcedure="false">#REF!</definedName>
    <definedName function="false" hidden="true" localSheetId="4" name="XRefCopy3Row" vbProcedure="false">#REF!</definedName>
    <definedName function="false" hidden="true" localSheetId="4" name="XRefCopy7" vbProcedure="false">#REF!</definedName>
    <definedName function="false" hidden="true" localSheetId="4" name="XRefCopy8" vbProcedure="false">#REF!</definedName>
    <definedName function="false" hidden="true" localSheetId="4" name="XRefCopy9Row" vbProcedure="false">#REF!</definedName>
    <definedName function="false" hidden="true" localSheetId="4" name="XRefPaste10Row" vbProcedure="false">#REF!</definedName>
    <definedName function="false" hidden="true" localSheetId="4" name="XRefPaste11Row" vbProcedure="false">#REF!</definedName>
    <definedName function="false" hidden="true" localSheetId="4" name="XRefPaste12Row" vbProcedure="false">#REF!</definedName>
    <definedName function="false" hidden="true" localSheetId="4" name="XRefPaste13Row" vbProcedure="false">#REF!</definedName>
    <definedName function="false" hidden="true" localSheetId="4" name="XRefPaste14Row" vbProcedure="false">#REF!</definedName>
    <definedName function="false" hidden="true" localSheetId="4" name="XRefPaste15Row" vbProcedure="false">#REF!</definedName>
    <definedName function="false" hidden="true" localSheetId="4" name="XRefPaste16Row" vbProcedure="false">#REF!</definedName>
    <definedName function="false" hidden="true" localSheetId="4" name="XRefPaste17Row" vbProcedure="false">#REF!</definedName>
    <definedName function="false" hidden="true" localSheetId="4" name="XRefPaste18Row" vbProcedure="false">#REF!</definedName>
    <definedName function="false" hidden="true" localSheetId="4" name="XRefPaste19Row" vbProcedure="false">#REF!</definedName>
    <definedName function="false" hidden="true" localSheetId="4" name="XRefPaste21Row" vbProcedure="false">#REF!</definedName>
    <definedName function="false" hidden="true" localSheetId="4" name="XRefPaste22" vbProcedure="false">#REF!</definedName>
    <definedName function="false" hidden="true" localSheetId="4" name="XRefPaste23Row" vbProcedure="false">#REF!</definedName>
    <definedName function="false" hidden="true" localSheetId="4" name="XRefPaste25Row" vbProcedure="false">#REF!</definedName>
    <definedName function="false" hidden="true" localSheetId="4" name="XRefPaste26Row" vbProcedure="false">#REF!</definedName>
    <definedName function="false" hidden="true" localSheetId="4" name="XRefPaste27Row" vbProcedure="false">#REF!</definedName>
    <definedName function="false" hidden="true" localSheetId="4" name="XRefPaste28Row" vbProcedure="false">#REF!</definedName>
    <definedName function="false" hidden="true" localSheetId="4" name="XRefPaste29Row" vbProcedure="false">#REF!</definedName>
    <definedName function="false" hidden="true" localSheetId="4" name="XRefPaste30Row" vbProcedure="false">#REF!</definedName>
    <definedName function="false" hidden="true" localSheetId="4" name="XRefPaste31Row" vbProcedure="false">#REF!</definedName>
    <definedName function="false" hidden="true" localSheetId="4" name="XRefPaste32Row" vbProcedure="false">#REF!</definedName>
    <definedName function="false" hidden="true" localSheetId="4" name="XRefPaste33Row" vbProcedure="false">#REF!</definedName>
    <definedName function="false" hidden="true" localSheetId="4" name="XRefPaste34Row" vbProcedure="false">#REF!</definedName>
    <definedName function="false" hidden="true" localSheetId="4" name="XRefPaste35Row" vbProcedure="false">#REF!</definedName>
    <definedName function="false" hidden="true" localSheetId="4" name="XRefPaste5" vbProcedure="false">#REF!</definedName>
    <definedName function="false" hidden="true" localSheetId="4" name="XRefPaste5Row" vbProcedure="false">#REF!</definedName>
    <definedName function="false" hidden="true" localSheetId="4" name="XRefPaste6" vbProcedure="false">#REF!</definedName>
    <definedName function="false" hidden="true" localSheetId="4" name="XRefPaste6Row" vbProcedure="false">#REF!</definedName>
    <definedName function="false" hidden="true" localSheetId="4" name="XRefPaste7Row" vbProcedure="false">#REF!</definedName>
    <definedName function="false" hidden="true" localSheetId="4" name="XRefPaste8Row" vbProcedure="false">#REF!</definedName>
    <definedName function="false" hidden="true" localSheetId="4" name="XRefPaste9Row" vbProcedure="false">#REF!</definedName>
    <definedName function="false" hidden="true" localSheetId="4" name="XREF_COLUMN_13" vbProcedure="false">#REF!</definedName>
    <definedName function="false" hidden="true" localSheetId="4" name="XREF_COLUMN_14" vbProcedure="false">#REF!</definedName>
    <definedName function="false" hidden="true" localSheetId="4" name="XREF_COLUMN_20" vbProcedure="false">#REF!</definedName>
    <definedName function="false" hidden="true" localSheetId="4" name="XREF_COLUMN_22" vbProcedure="false">#REF!</definedName>
    <definedName function="false" hidden="true" localSheetId="4" name="XREF_COLUMN_3" vbProcedure="false">#REF!</definedName>
    <definedName function="false" hidden="true" localSheetId="4" name="XREF_COLUMN_5" vbProcedure="false">#REF!</definedName>
    <definedName function="false" hidden="true" localSheetId="4" name="XREF_COLUMN_7" vbProcedure="false">#REF!</definedName>
    <definedName function="false" hidden="false" localSheetId="4" name="_04_Conta_a_Receber" vbProcedure="false">#REF!</definedName>
    <definedName function="false" hidden="false" localSheetId="4" name="_1" vbProcedure="false">#REF!</definedName>
    <definedName function="false" hidden="true" localSheetId="4" name="_bdm.37D454F85632448B8D50FA5EB7F05C94.edm" vbProcedure="false">#REF!</definedName>
    <definedName function="false" hidden="true" localSheetId="4" name="_bdm.9FCC6661EC454A839FF6E48F17F39194.edm" vbProcedure="false">#REF!</definedName>
    <definedName function="false" hidden="true" localSheetId="4" name="_bdm.9FEB4F5A2798413FB6BE0568818DA3F0.edm" vbProcedure="false">#REF!</definedName>
    <definedName function="false" hidden="true" localSheetId="4" name="_Fill" vbProcedure="false">#REF!</definedName>
    <definedName function="false" hidden="true" localSheetId="4" name="_l" vbProcedure="false">{"IND","COMPANIES",TRUE}</definedName>
    <definedName function="false" hidden="true" localSheetId="4" name="_l_1" vbProcedure="false">{"IND","COMPANIES",TRUE}</definedName>
    <definedName function="false" hidden="true" localSheetId="4" name="_Table1_In1" vbProcedure="false">#REF!</definedName>
    <definedName function="false" hidden="true" localSheetId="4" name="_Table1_Out" vbProcedure="false">#REF!</definedName>
    <definedName function="false" hidden="true" localSheetId="4" name="_Table2_Out" vbProcedure="false">#REF!</definedName>
    <definedName function="false" hidden="true" localSheetId="4" name="_W3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4" name="_W3_1" vbProcedure="false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function="false" hidden="true" localSheetId="4" name="_w4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4" name="_w4_1" vbProcedure="false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function="false" hidden="true" localSheetId="4" name="_w5" vbProcedure="false">{"Pulp Production",#N/A,FALSE,"Pulp";"Pulp Earnings",#N/A,FALSE,"Pulp"}</definedName>
    <definedName function="false" hidden="true" localSheetId="4" name="_w5_1" vbProcedure="false">{"Pulp Production",#N/A,FALSE,"Pulp";"Pulp Earnings",#N/A,FALSE,"Pulp"}</definedName>
    <definedName function="false" hidden="true" localSheetId="4" name="_w6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function="false" hidden="true" localSheetId="4" name="_w6_1" vbProcedure="false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PC:
</t>
        </r>
        <r>
          <rPr>
            <sz val="9"/>
            <color rgb="FF000000"/>
            <rFont val="Tahoma"/>
            <family val="2"/>
            <charset val="1"/>
          </rPr>
          <t xml:space="preserve">CONFERIDO ATE OP21004/2698</t>
        </r>
      </text>
    </comment>
  </commentList>
</comments>
</file>

<file path=xl/sharedStrings.xml><?xml version="1.0" encoding="utf-8"?>
<sst xmlns="http://schemas.openxmlformats.org/spreadsheetml/2006/main" count="856" uniqueCount="197">
  <si>
    <t xml:space="preserve">META: DRE</t>
  </si>
  <si>
    <t xml:space="preserve">Ano: </t>
  </si>
  <si>
    <t xml:space="preserve">METAS POR GASTOS( CUSTOS + DESPESAS)</t>
  </si>
  <si>
    <t xml:space="preserve">Mês</t>
  </si>
  <si>
    <t xml:space="preserve">CLÍNICA</t>
  </si>
  <si>
    <t xml:space="preserve">TKM REALIZADO</t>
  </si>
  <si>
    <t xml:space="preserve">Recebimento</t>
  </si>
  <si>
    <t xml:space="preserve">Bonus</t>
  </si>
  <si>
    <t xml:space="preserve">Ebtida</t>
  </si>
  <si>
    <t xml:space="preserve">Total (2 pessoas)</t>
  </si>
  <si>
    <t xml:space="preserve">JANEIRO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</si>
  <si>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</si>
  <si>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</si>
  <si>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</si>
  <si>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</si>
  <si>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</si>
  <si>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</si>
  <si>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</si>
  <si>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</si>
  <si>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</si>
  <si>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</si>
  <si>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</si>
  <si>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Total:</t>
  </si>
  <si>
    <t xml:space="preserve">META:</t>
  </si>
  <si>
    <t xml:space="preserve">50 / 70 / 70</t>
  </si>
  <si>
    <t xml:space="preserve">META: PADRÃO</t>
  </si>
  <si>
    <t xml:space="preserve">30 / 60 / 60</t>
  </si>
  <si>
    <t xml:space="preserve">% de crescimento:</t>
  </si>
  <si>
    <t xml:space="preserve">TKM REALIZADO 2019</t>
  </si>
  <si>
    <t xml:space="preserve">META: </t>
  </si>
  <si>
    <t xml:space="preserve">DRE - Sta Clara</t>
  </si>
  <si>
    <t xml:space="preserve">%</t>
  </si>
  <si>
    <t xml:space="preserve">Acumulado-19</t>
  </si>
  <si>
    <t xml:space="preserve">Média-19</t>
  </si>
  <si>
    <t xml:space="preserve">Benchmark</t>
  </si>
  <si>
    <t xml:space="preserve">RECEITA OPERACIONAL BRUTA</t>
  </si>
  <si>
    <t xml:space="preserve">Faturamento dos serviços prestados</t>
  </si>
  <si>
    <t xml:space="preserve">Outras receitas</t>
  </si>
  <si>
    <t xml:space="preserve">(-) DEDUÇÕES</t>
  </si>
  <si>
    <t xml:space="preserve">Devoluções e Cancelamentos</t>
  </si>
  <si>
    <t xml:space="preserve">(-) Cheques Devolvidos</t>
  </si>
  <si>
    <t xml:space="preserve">(-) Créditos Perdidos</t>
  </si>
  <si>
    <t xml:space="preserve">(-) Devoluções a Clientes</t>
  </si>
  <si>
    <t xml:space="preserve">(-) Cancelamento de Vendas</t>
  </si>
  <si>
    <t xml:space="preserve">Impostos</t>
  </si>
  <si>
    <t xml:space="preserve">(-) Darf Cofins</t>
  </si>
  <si>
    <t xml:space="preserve">(-) Darf Pis</t>
  </si>
  <si>
    <t xml:space="preserve">(-) Das Simples Nacional</t>
  </si>
  <si>
    <t xml:space="preserve">(-) Issqn Prefeitura</t>
  </si>
  <si>
    <t xml:space="preserve">RECEITA OPERACIONAL LÍQUIDA</t>
  </si>
  <si>
    <t xml:space="preserve">(-) CUSTOS</t>
  </si>
  <si>
    <t xml:space="preserve">(-) Custos Dos Materiais</t>
  </si>
  <si>
    <t xml:space="preserve">(-) Compras De Materiais</t>
  </si>
  <si>
    <t xml:space="preserve">(-) Exames - Laboratório</t>
  </si>
  <si>
    <t xml:space="preserve">(-) Fretes Sobre Compras</t>
  </si>
  <si>
    <t xml:space="preserve">(-) Custos Da Mão-de-obra Direta</t>
  </si>
  <si>
    <t xml:space="preserve">(-) Anestesista</t>
  </si>
  <si>
    <t xml:space="preserve">(-) Salários Dos Veterinários</t>
  </si>
  <si>
    <t xml:space="preserve">LUCRO BRUTO</t>
  </si>
  <si>
    <t xml:space="preserve">(-) Despesas Variáveis</t>
  </si>
  <si>
    <t xml:space="preserve">(-) Despesas Comerciais</t>
  </si>
  <si>
    <t xml:space="preserve">(-) Comissões Dos Vendedores</t>
  </si>
  <si>
    <t xml:space="preserve">(-) Marketing E Propaganda</t>
  </si>
  <si>
    <t xml:space="preserve">MARGEM DE CONTRIBUIÇÃO</t>
  </si>
  <si>
    <t xml:space="preserve">(-) DESPESAS FIXAS</t>
  </si>
  <si>
    <t xml:space="preserve">(-) Despesas Administrativas</t>
  </si>
  <si>
    <t xml:space="preserve">(-) Aluguel</t>
  </si>
  <si>
    <t xml:space="preserve">(-) Brindes / Prêmios</t>
  </si>
  <si>
    <t xml:space="preserve">(-) Cartórios E Protestos</t>
  </si>
  <si>
    <t xml:space="preserve">(-) Combustível</t>
  </si>
  <si>
    <t xml:space="preserve">(-) Condomínio</t>
  </si>
  <si>
    <t xml:space="preserve">(-) Confraternizações</t>
  </si>
  <si>
    <t xml:space="preserve">(-) Consultorias</t>
  </si>
  <si>
    <t xml:space="preserve">(-) Contador</t>
  </si>
  <si>
    <t xml:space="preserve">(-) Cópias E Fotocópias</t>
  </si>
  <si>
    <t xml:space="preserve">(-) Despesas Com Viagem</t>
  </si>
  <si>
    <t xml:space="preserve">(-) Correio</t>
  </si>
  <si>
    <t xml:space="preserve">(-) Doações</t>
  </si>
  <si>
    <t xml:space="preserve">(-) Honorários De Advogados</t>
  </si>
  <si>
    <t xml:space="preserve">(-) Impressos E Materiais Gráficos</t>
  </si>
  <si>
    <t xml:space="preserve">(-) Internet</t>
  </si>
  <si>
    <t xml:space="preserve">(-) Jornais E Revistas</t>
  </si>
  <si>
    <t xml:space="preserve">(-) Lanches E Refeições</t>
  </si>
  <si>
    <t xml:space="preserve">(-) Manutenção De Elevador</t>
  </si>
  <si>
    <t xml:space="preserve">(-) Manutenção De Equipamentos</t>
  </si>
  <si>
    <t xml:space="preserve">(-) Manutenção De Instalações</t>
  </si>
  <si>
    <t xml:space="preserve">(-) Material De Consumo</t>
  </si>
  <si>
    <t xml:space="preserve">(-) Material De Escritório</t>
  </si>
  <si>
    <t xml:space="preserve">(-) Material De Limpeza</t>
  </si>
  <si>
    <t xml:space="preserve">(-) Mensalidade De Software</t>
  </si>
  <si>
    <t xml:space="preserve">(-) Monitoramento E Segurança</t>
  </si>
  <si>
    <t xml:space="preserve">(-) Panorâmica E Tomografia</t>
  </si>
  <si>
    <t xml:space="preserve">(-) Pró-labore Dos Sócios</t>
  </si>
  <si>
    <t xml:space="preserve">(-) Seguros</t>
  </si>
  <si>
    <t xml:space="preserve">(-) Serasa /scpc /associação Comercial / CRMV</t>
  </si>
  <si>
    <t xml:space="preserve">(-) Serviços De Terceiros</t>
  </si>
  <si>
    <t xml:space="preserve">(-) Telefone Fixo</t>
  </si>
  <si>
    <t xml:space="preserve">(-) Telefone Celular</t>
  </si>
  <si>
    <t xml:space="preserve">(-) Despesas Com Pessoal</t>
  </si>
  <si>
    <t xml:space="preserve">(-) 13 Salario</t>
  </si>
  <si>
    <t xml:space="preserve">(-) Cursos E Treinamentos</t>
  </si>
  <si>
    <t xml:space="preserve">(-) Exame Ocupacional</t>
  </si>
  <si>
    <t xml:space="preserve">(-) Farmácia / Medicamentos</t>
  </si>
  <si>
    <t xml:space="preserve">(-) Férias</t>
  </si>
  <si>
    <t xml:space="preserve">(-) Gps Inss</t>
  </si>
  <si>
    <t xml:space="preserve">(-) Horas Extras</t>
  </si>
  <si>
    <t xml:space="preserve">(-) Plano De Saúde</t>
  </si>
  <si>
    <t xml:space="preserve">(-) Prêmios Por Produtividade (funcionários)</t>
  </si>
  <si>
    <t xml:space="preserve">(-) Rescisões</t>
  </si>
  <si>
    <t xml:space="preserve">(-) Salários Dos Funcionários</t>
  </si>
  <si>
    <t xml:space="preserve">(-) Uniformes</t>
  </si>
  <si>
    <t xml:space="preserve">(-) Vale Alimentação</t>
  </si>
  <si>
    <t xml:space="preserve">(-) Vale Refeição</t>
  </si>
  <si>
    <t xml:space="preserve">(-) Vale Transporte</t>
  </si>
  <si>
    <t xml:space="preserve">(-) Ação Trabalhista</t>
  </si>
  <si>
    <t xml:space="preserve">(-) Fgts </t>
  </si>
  <si>
    <t xml:space="preserve">(-) Gastos Gerais Nos Serviços</t>
  </si>
  <si>
    <t xml:space="preserve">(-) Água E Esgoto</t>
  </si>
  <si>
    <t xml:space="preserve">(-) Compra De Epis/ Jalecos/ Instrumentais De Baixo Valor</t>
  </si>
  <si>
    <t xml:space="preserve">(-) Energia Elétrica</t>
  </si>
  <si>
    <t xml:space="preserve">(-) Manutenção Equipamentos</t>
  </si>
  <si>
    <t xml:space="preserve">(-) Despesas Tributárias</t>
  </si>
  <si>
    <t xml:space="preserve">(-) Contribuições Sindicais</t>
  </si>
  <si>
    <t xml:space="preserve">(-) Darf Contribuição Social - Csll</t>
  </si>
  <si>
    <t xml:space="preserve">(-) Darf Imposto De Renda - Irpj</t>
  </si>
  <si>
    <t xml:space="preserve">(-) Darf Irrf Sobre Aluguel/salários/outros</t>
  </si>
  <si>
    <t xml:space="preserve">(-) Impostos E Taxas</t>
  </si>
  <si>
    <t xml:space="preserve">(-) Iof</t>
  </si>
  <si>
    <t xml:space="preserve">(-) Iptu</t>
  </si>
  <si>
    <t xml:space="preserve">(-) Ipva</t>
  </si>
  <si>
    <t xml:space="preserve">EBTIDA</t>
  </si>
  <si>
    <t xml:space="preserve">RESULTADO FINANCEIRO</t>
  </si>
  <si>
    <t xml:space="preserve">(-) Despesas Financeiras</t>
  </si>
  <si>
    <t xml:space="preserve">(-) Despesas Bancárias</t>
  </si>
  <si>
    <t xml:space="preserve">(-) Juros De Financiamentos</t>
  </si>
  <si>
    <t xml:space="preserve">(-) Juros Pagos A Fornecedores</t>
  </si>
  <si>
    <t xml:space="preserve">(-) Juros Sobre Descontos Cheques/duplicatas/cartões</t>
  </si>
  <si>
    <t xml:space="preserve">(-) Taxas De Boletos Bancários</t>
  </si>
  <si>
    <t xml:space="preserve">(-) Aplicações Financeiras</t>
  </si>
  <si>
    <t xml:space="preserve">(-) Taxa Administração Cartão Débito Ou Crédito</t>
  </si>
  <si>
    <t xml:space="preserve">Receitas Financeiras</t>
  </si>
  <si>
    <t xml:space="preserve">Descontos Obtidos</t>
  </si>
  <si>
    <t xml:space="preserve">Juros De Aplicações Financeiras</t>
  </si>
  <si>
    <t xml:space="preserve">Juros/multas Recebidos</t>
  </si>
  <si>
    <t xml:space="preserve">LUCRO OPERACIONAL</t>
  </si>
  <si>
    <t xml:space="preserve">Extra Operacional</t>
  </si>
  <si>
    <t xml:space="preserve">(-) Benfeitoria Em Imóveis De Terceiros</t>
  </si>
  <si>
    <t xml:space="preserve">(-) Imóveis</t>
  </si>
  <si>
    <t xml:space="preserve">(-) Terrenos</t>
  </si>
  <si>
    <t xml:space="preserve">(-) Consórcios Em Andamento</t>
  </si>
  <si>
    <t xml:space="preserve">(-) Equipamentos De Informática</t>
  </si>
  <si>
    <t xml:space="preserve">(-) Equipamentos Odontológicos</t>
  </si>
  <si>
    <t xml:space="preserve">(-) Maquinas E Equipamentos</t>
  </si>
  <si>
    <t xml:space="preserve">(-) Móveis E Utensílios</t>
  </si>
  <si>
    <t xml:space="preserve">(-) Veículos</t>
  </si>
  <si>
    <t xml:space="preserve">(-) Empréstimos De Capital De Giro</t>
  </si>
  <si>
    <t xml:space="preserve">(-) Financiamentos</t>
  </si>
  <si>
    <t xml:space="preserve">(-) Cotas De Empresas</t>
  </si>
  <si>
    <t xml:space="preserve">(-) Participação Em Cooperativas De Crédito</t>
  </si>
  <si>
    <t xml:space="preserve">(-) Retiradas De Lucro</t>
  </si>
  <si>
    <t xml:space="preserve">Aporte de capital</t>
  </si>
  <si>
    <t xml:space="preserve">Outras receitas da empresa</t>
  </si>
  <si>
    <t xml:space="preserve">LUCRO LÍQUIDO</t>
  </si>
  <si>
    <t xml:space="preserve">Ponto de Equilíbrio Operacional (Sem Result. Financ.)</t>
  </si>
  <si>
    <t xml:space="preserve">Ponto de Equilíbrio Geral</t>
  </si>
  <si>
    <t xml:space="preserve">Acumulado-20</t>
  </si>
  <si>
    <t xml:space="preserve">Média-20</t>
  </si>
  <si>
    <t xml:space="preserve">Recebimento dos serviços prestados</t>
  </si>
  <si>
    <t xml:space="preserve">Recebimento de Outras receitas</t>
  </si>
  <si>
    <t xml:space="preserve">Acumulado-21</t>
  </si>
  <si>
    <t xml:space="preserve">Média-21</t>
  </si>
  <si>
    <t xml:space="preserve">(-) Bonificação</t>
  </si>
  <si>
    <t xml:space="preserve">DRE </t>
  </si>
  <si>
    <t xml:space="preserve">Var.(%)</t>
  </si>
  <si>
    <t xml:space="preserve">Acumulado-23</t>
  </si>
  <si>
    <t xml:space="preserve">Média-23</t>
  </si>
  <si>
    <t xml:space="preserve">ORÇADO</t>
  </si>
  <si>
    <t xml:space="preserve">REALIZADO</t>
  </si>
  <si>
    <t xml:space="preserve">(-) Compras De Materiais (consumo)</t>
  </si>
  <si>
    <t xml:space="preserve">(-) Compras De Materiais (revenda)</t>
  </si>
  <si>
    <t xml:space="preserve">(-) Royalties</t>
  </si>
  <si>
    <t xml:space="preserve">(-) Fundo Nacional de Propaganda</t>
  </si>
  <si>
    <t xml:space="preserve">(-) Estacionamento</t>
  </si>
  <si>
    <t xml:space="preserve">(-) Taxa Antecipação de recebimento</t>
  </si>
  <si>
    <t xml:space="preserve">Ano</t>
  </si>
  <si>
    <t xml:space="preserve">data</t>
  </si>
  <si>
    <t xml:space="preserve">cob - CATEGORIA</t>
  </si>
  <si>
    <t xml:space="preserve">DESCRIÇÃO</t>
  </si>
  <si>
    <t xml:space="preserve">FORNECEDOR</t>
  </si>
  <si>
    <t xml:space="preserve">ITEM</t>
  </si>
  <si>
    <t xml:space="preserve">CENTRO CUSTO</t>
  </si>
  <si>
    <t xml:space="preserve"> </t>
  </si>
  <si>
    <t xml:space="preserve">l</t>
  </si>
  <si>
    <t xml:space="preserve">DEBITO</t>
  </si>
  <si>
    <t xml:space="preserve">CREDITO</t>
  </si>
  <si>
    <t xml:space="preserve">D-C</t>
  </si>
  <si>
    <t xml:space="preserve">Grupo de conta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</si>
</sst>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%"/>
    <numFmt numFmtId="166" formatCode="_(* #,##0.00_);_(* \(#,##0.00\);_(* \-??_);_(@_)"/>
    <numFmt numFmtId="167" formatCode="_-* #,##0.00_-;\-* #,##0.00_-;_-* \-??_-;_-@_-"/>
    <numFmt numFmtId="168" formatCode="_(* #,##0_);_(* \(#,##0\);_(* \-??_);_(@_)"/>
    <numFmt numFmtId="169" formatCode="0.0%"/>
    <numFmt numFmtId="170" formatCode="_-* #,##0_-;\-* #,##0_-;_-* \-??_-;_-@_-"/>
    <numFmt numFmtId="171" formatCode="[$-416]mmmm\-yy;@"/>
    <numFmt numFmtId="172" formatCode="dd/mm/yy;@"/>
    <numFmt numFmtId="173" formatCode="0.00%"/>
    <numFmt numFmtId="174" formatCode="0"/>
    <numFmt numFmtId="175" formatCode="_-* #,##0_-;\-* #,##0_-;_-* \-_-;_-@_-"/>
    <numFmt numFmtId="176" formatCode="0.00"/>
    <numFmt numFmtId="177" formatCode="mmm\-yy"/>
    <numFmt numFmtId="178" formatCode="m/d/yyyy"/>
    <numFmt numFmtId="179" formatCode="#,##0.00"/>
  </numFmts>
  <fonts count="43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10"/>
      <name val="Times New Roman"/>
      <family val="1"/>
      <charset val="1"/>
    </font>
    <font>
      <sz val="12"/>
      <color theme="1"/>
      <name val="Calibri"/>
      <family val="2"/>
      <charset val="1"/>
    </font>
    <font>
      <b val="true"/>
      <sz val="11"/>
      <color theme="9" tint="-0.5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theme="9" tint="-0.5"/>
      <name val="Calibri"/>
      <family val="2"/>
      <charset val="1"/>
    </font>
    <font>
      <b val="true"/>
      <sz val="11"/>
      <name val="Calibri"/>
      <family val="2"/>
      <charset val="1"/>
    </font>
    <font>
      <sz val="10"/>
      <color theme="1"/>
      <name val="Calibri"/>
      <family val="2"/>
      <charset val="1"/>
    </font>
    <font>
      <u val="single"/>
      <sz val="11"/>
      <name val="Calibri"/>
      <family val="2"/>
      <charset val="1"/>
    </font>
    <font>
      <b val="true"/>
      <sz val="16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 tint="0.2499"/>
      <name val="Calibri"/>
      <family val="2"/>
      <charset val="1"/>
    </font>
    <font>
      <b val="true"/>
      <sz val="10"/>
      <color theme="1" tint="0.2499"/>
      <name val="Calibri"/>
      <family val="2"/>
      <charset val="1"/>
    </font>
    <font>
      <sz val="11"/>
      <color theme="1" tint="0.2499"/>
      <name val="Calibri"/>
      <family val="2"/>
      <charset val="1"/>
    </font>
    <font>
      <sz val="10"/>
      <color theme="1" tint="0.2499"/>
      <name val="Calibri"/>
      <family val="2"/>
      <charset val="1"/>
    </font>
    <font>
      <sz val="10"/>
      <color rgb="FF000000"/>
      <name val="Calibri"/>
      <family val="2"/>
      <charset val="1"/>
    </font>
    <font>
      <u val="single"/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4" tint="-0.25"/>
      <name val="Calibri"/>
      <family val="2"/>
      <charset val="1"/>
    </font>
    <font>
      <b val="true"/>
      <sz val="10"/>
      <color theme="9" tint="-0.25"/>
      <name val="Calibri"/>
      <family val="2"/>
      <charset val="1"/>
    </font>
    <font>
      <sz val="8"/>
      <name val="Arial"/>
      <family val="2"/>
      <charset val="1"/>
    </font>
    <font>
      <sz val="7"/>
      <name val="Arial"/>
      <family val="2"/>
      <charset val="1"/>
    </font>
    <font>
      <b val="true"/>
      <sz val="9"/>
      <color rgb="FF000000"/>
      <name val="Tahoma"/>
      <family val="2"/>
      <charset val="1"/>
    </font>
    <font>
      <b val="true"/>
      <sz val="9"/>
      <name val="Tahoma"/>
      <family val="2"/>
      <charset val="1"/>
    </font>
    <font>
      <sz val="8"/>
      <name val="Tahoma"/>
      <family val="2"/>
      <charset val="1"/>
    </font>
    <font>
      <b val="true"/>
      <sz val="9"/>
      <color rgb="FFFF0000"/>
      <name val="Tahoma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10243E"/>
      </patternFill>
    </fill>
    <fill>
      <patternFill patternType="solid">
        <fgColor rgb="FF002060"/>
        <bgColor rgb="FF10243E"/>
      </patternFill>
    </fill>
    <fill>
      <patternFill patternType="solid">
        <fgColor theme="4" tint="-0.25"/>
        <bgColor rgb="FF215968"/>
      </patternFill>
    </fill>
    <fill>
      <patternFill patternType="solid">
        <fgColor theme="3" tint="-0.5"/>
        <bgColor rgb="FF002060"/>
      </patternFill>
    </fill>
    <fill>
      <patternFill patternType="solid">
        <fgColor theme="9"/>
        <bgColor rgb="FFFF8080"/>
      </patternFill>
    </fill>
    <fill>
      <patternFill patternType="solid">
        <fgColor theme="2" tint="-0.75"/>
        <bgColor rgb="FF404040"/>
      </patternFill>
    </fill>
    <fill>
      <patternFill patternType="solid">
        <fgColor rgb="FFFFFF00"/>
        <bgColor rgb="FFFFFF00"/>
      </patternFill>
    </fill>
    <fill>
      <patternFill patternType="solid">
        <fgColor theme="9" tint="-0.25"/>
        <bgColor rgb="FFF79646"/>
      </patternFill>
    </fill>
    <fill>
      <patternFill patternType="solid">
        <fgColor theme="0" tint="-0.35"/>
        <bgColor rgb="FF9999FF"/>
      </patternFill>
    </fill>
    <fill>
      <patternFill patternType="solid">
        <fgColor rgb="FFCCCCFF"/>
        <bgColor rgb="FFD9D9D9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>
        <color theme="0" tint="-0.15"/>
      </left>
      <right/>
      <top style="medium">
        <color theme="0" tint="-0.15"/>
      </top>
      <bottom/>
      <diagonal/>
    </border>
    <border diagonalUp="false" diagonalDown="false">
      <left/>
      <right style="medium">
        <color theme="0" tint="-0.15"/>
      </right>
      <top style="medium">
        <color theme="0" tint="-0.15"/>
      </top>
      <bottom/>
      <diagonal/>
    </border>
    <border diagonalUp="false" diagonalDown="false">
      <left style="medium">
        <color theme="0" tint="-0.15"/>
      </left>
      <right/>
      <top/>
      <bottom style="medium">
        <color theme="0" tint="-0.15"/>
      </bottom>
      <diagonal/>
    </border>
    <border diagonalUp="false" diagonalDown="false">
      <left/>
      <right style="medium">
        <color theme="0" tint="-0.15"/>
      </right>
      <top/>
      <bottom style="medium">
        <color theme="0" tint="-0.15"/>
      </bottom>
      <diagonal/>
    </border>
    <border diagonalUp="false" diagonalDown="false">
      <left/>
      <right style="medium">
        <color theme="0" tint="-0.15"/>
      </right>
      <top style="medium">
        <color theme="0" tint="-0.15"/>
      </top>
      <bottom style="medium">
        <color theme="0" tint="-0.15"/>
      </bottom>
      <diagonal/>
    </border>
    <border diagonalUp="false" diagonalDown="false">
      <left style="medium">
        <color theme="0" tint="-0.15"/>
      </left>
      <right style="medium">
        <color theme="0" tint="-0.15"/>
      </right>
      <top style="medium">
        <color theme="0" tint="-0.15"/>
      </top>
      <bottom style="medium">
        <color theme="0" tint="-0.15"/>
      </bottom>
      <diagonal/>
    </border>
    <border diagonalUp="false" diagonalDown="false">
      <left style="medium">
        <color theme="0" tint="-0.15"/>
      </left>
      <right/>
      <top style="medium">
        <color theme="0" tint="-0.15"/>
      </top>
      <bottom style="medium">
        <color theme="0" tint="-0.15"/>
      </bottom>
      <diagonal/>
    </border>
    <border diagonalUp="false" diagonalDown="false">
      <left style="medium">
        <color theme="0" tint="-0.15"/>
      </left>
      <right style="medium">
        <color theme="0" tint="-0.15"/>
      </right>
      <top style="medium">
        <color theme="0" tint="-0.15"/>
      </top>
      <bottom/>
      <diagonal/>
    </border>
    <border diagonalUp="false" diagonalDown="false">
      <left style="medium">
        <color theme="0" tint="-0.15"/>
      </left>
      <right style="medium">
        <color theme="0" tint="-0.15"/>
      </right>
      <top/>
      <bottom/>
      <diagonal/>
    </border>
    <border diagonalUp="false" diagonalDown="false">
      <left style="medium">
        <color theme="0" tint="-0.15"/>
      </left>
      <right style="medium">
        <color theme="0" tint="-0.15"/>
      </right>
      <top/>
      <bottom style="medium">
        <color theme="0" tint="-0.1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/>
      <top style="thin"/>
      <bottom style="thin"/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9" fillId="2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9" fillId="2" borderId="0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2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0" borderId="0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2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2" fillId="2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2" borderId="4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2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2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2" borderId="7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2" fillId="2" borderId="9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2" borderId="10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2" fillId="2" borderId="3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12" fillId="2" borderId="9" xfId="1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9" fillId="2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9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0" xfId="3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3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2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0" borderId="0" xfId="3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8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7" fillId="0" borderId="0" xfId="3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25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2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1" fillId="3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3" borderId="13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1" fillId="4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4" borderId="13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1" fillId="5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5" borderId="13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4" borderId="12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2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2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4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3" borderId="15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1" fillId="6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6" borderId="15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1" fillId="5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5" borderId="15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6" borderId="14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" borderId="14" xfId="25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1" fillId="2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5" fillId="2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4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4" fillId="0" borderId="17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8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6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6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1" fillId="5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5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6" borderId="18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8" xfId="25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24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5" fillId="0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4" xfId="25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26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26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7" fillId="2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5" fillId="0" borderId="15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6" borderId="1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0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1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7" borderId="18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7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7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7" borderId="18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8" xfId="25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15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5" fillId="2" borderId="15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0" borderId="19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0" borderId="2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0" borderId="21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6" fillId="2" borderId="19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6" fillId="2" borderId="2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6" fillId="2" borderId="21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8" xfId="25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21" fillId="8" borderId="18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8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2" fillId="8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8" borderId="18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6" fillId="2" borderId="17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7" borderId="17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4" fillId="9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26" fillId="0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" fillId="0" borderId="0" xfId="2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25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2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2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3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0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0" fillId="0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0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2" fillId="4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2" fillId="10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10" borderId="13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2" fillId="5" borderId="1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0" xfId="2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2" fillId="2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3" fillId="2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4" fillId="0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1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2" fillId="3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2" fillId="6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2" fillId="5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2" borderId="17" xfId="25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31" fillId="2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5" fillId="0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5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2" borderId="21" xfId="25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2" fontId="28" fillId="2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8" fillId="2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6" borderId="18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2" fillId="6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2" fillId="5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0" borderId="17" xfId="25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25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21" xfId="25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2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5" fillId="0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27" fillId="2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14" xfId="25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7" fontId="14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1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9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9" borderId="21" xfId="25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7" fontId="14" fillId="9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9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27" fillId="9" borderId="16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0" fillId="9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7" fillId="9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9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27" fillId="9" borderId="14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31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18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2" fillId="7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0" borderId="17" xfId="25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8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7" xfId="25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9" fontId="22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8" borderId="18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2" fillId="8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0" borderId="18" xfId="25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38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9" fillId="2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7" fillId="2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7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7" fillId="1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36" fillId="2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37" fillId="11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2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4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34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5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34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8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link 3" xfId="21"/>
    <cellStyle name="Normal 2" xfId="22"/>
    <cellStyle name="Normal 3" xfId="23"/>
    <cellStyle name="Normal 4" xfId="24"/>
    <cellStyle name="Normal 5" xfId="25"/>
    <cellStyle name="Normal 5 2" xfId="26"/>
    <cellStyle name="Normal 6" xfId="27"/>
    <cellStyle name="Normal 7" xfId="28"/>
    <cellStyle name="Normal 8" xfId="29"/>
    <cellStyle name="Porcentagem 2" xfId="30"/>
    <cellStyle name="Porcentagem 3" xfId="31"/>
    <cellStyle name="Vírgula 11" xfId="32"/>
    <cellStyle name="Vírgula 2" xfId="33"/>
    <cellStyle name="Vírgula 3" xfId="34"/>
    <cellStyle name="Vírgula 4" xfId="35"/>
    <cellStyle name="*unknown*" xfId="20" builtinId="8"/>
  </cellStyles>
  <dxfs count="276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0243E"/>
          <bgColor rgb="FF000000"/>
        </patternFill>
      </fill>
    </dxf>
    <dxf>
      <fill>
        <patternFill patternType="solid">
          <fgColor rgb="FF4A452A"/>
          <bgColor rgb="FF000000"/>
        </patternFill>
      </fill>
    </dxf>
    <dxf>
      <fill>
        <patternFill patternType="solid">
          <fgColor rgb="FFF7964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CCCFF"/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646"/>
      <rgbColor rgb="FFE46C0A"/>
      <rgbColor rgb="FF376092"/>
      <rgbColor rgb="FFA6A6A6"/>
      <rgbColor rgb="FF002060"/>
      <rgbColor rgb="FF339966"/>
      <rgbColor rgb="FF10243E"/>
      <rgbColor rgb="FF4A452A"/>
      <rgbColor rgb="FF984807"/>
      <rgbColor rgb="FF993366"/>
      <rgbColor rgb="FF21596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externalLink" Target="externalLinks/externalLink2.xml"/><Relationship Id="rId12" Type="http://schemas.openxmlformats.org/officeDocument/2006/relationships/externalLink" Target="externalLinks/externalLink3.xml"/><Relationship Id="rId13" Type="http://schemas.openxmlformats.org/officeDocument/2006/relationships/externalLink" Target="externalLinks/externalLink4.xml"/><Relationship Id="rId14" Type="http://schemas.openxmlformats.org/officeDocument/2006/relationships/externalLink" Target="externalLinks/externalLink5.xml"/><Relationship Id="rId15" Type="http://schemas.openxmlformats.org/officeDocument/2006/relationships/externalLink" Target="externalLinks/externalLink6.xml"/><Relationship Id="rId16" Type="http://schemas.openxmlformats.org/officeDocument/2006/relationships/externalLink" Target="externalLinks/externalLink7.xml"/><Relationship Id="rId17" Type="http://schemas.openxmlformats.org/officeDocument/2006/relationships/externalLink" Target="externalLinks/externalLink8.xml"/><Relationship Id="rId18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0.xml"/><Relationship Id="rId20" Type="http://schemas.openxmlformats.org/officeDocument/2006/relationships/externalLink" Target="externalLinks/externalLink11.xml"/><Relationship Id="rId21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14.xml"/><Relationship Id="rId24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1.xml"/><Relationship Id="rId31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23.xml"/><Relationship Id="rId3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VIEIRA%20SANTOS/CLIENTES%20ATIVOS/DBL%20Baterias/Diagn&#243;stico/Diagn&#243;stico%20DBL%20Bateria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D:/Users/Moacir/Documents/CGI-IGUA&#199;U%20_%202014%20-%20Realizado%20_.xlsm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Users/Moacir%20Vieira%20Santos/AppData/Local/Microsoft/Windows/Temporary%20Internet%20Files/Content.Outlook/71CI5ZZO/Plano%20de%20Neg&#243;cios%20-%20Maxlife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VIEIRA%20SANTOS/CLIENTES%20ATIVOS/Bachega%20Alimentos/Consultoria%20-%20Controladoria/Diagnostico%202014/Financeiro%20Bachega%20F&#225;brica.xls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Users/KZS/AppData/Roaming/Microsoft/Excel/KZS/Danithais/Consultoria/Demonstrativo%20Grupo%20Danithais%20REVISADO%20(12).xls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F:/Users/Fernando/AppData/Local/Microsoft/Windows/Temporary%20Internet%20Files/Content.Outlook/4FJE5AH1/Or&#231;amento%20FABRICA%202010.xls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file://192.168.18.253/Users/User/AppData/Local/Microsoft/Windows/INetCache/Content.Outlook/X7GYM8V0/Pre&#231;o%20de%20Fretes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../../../../../VIEIRA%20SANTOS/CLIENTES%20ATIVOS/Bachega%20Alimentos/Consultoria%20-%20Controladoria/Diagnostico%202014/Users/RP/Downloads/Financeiro%20JGN%20do%20Brasil2.xls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../../../../../Users/KZS/Desktop/Clientes%20-%20KZS%20-%2026.10.11/Donaflor/11.11/KZS/Danithais/Consultoria/Demonstrativo%20Grupo%20Danithais%20REVISADO%20(12).xls" TargetMode="External"/>
</Relationships>
</file>

<file path=xl/externalLinks/_rels/externalLink10.xml.rels><?xml version="1.0" encoding="UTF-8"?>
<Relationships xmlns="http://schemas.openxmlformats.org/package/2006/relationships"><Relationship Id="rId1" Type="http://schemas.openxmlformats.org/officeDocument/2006/relationships/externalLinkPath" Target="../../../../../VIEIRA%20SANTOS/CLIENTES%20ATIVOS/Bachega%20Alimentos/Consultoria%20-%20Controladoria/Consultoria/Controles%20Financeiros/Fluxo%20de%20Caixa%20Bachega.xls" TargetMode="External"/>
</Relationships>
</file>

<file path=xl/externalLinks/_rels/externalLink11.xml.rels><?xml version="1.0" encoding="UTF-8"?>
<Relationships xmlns="http://schemas.openxmlformats.org/package/2006/relationships"><Relationship Id="rId1" Type="http://schemas.openxmlformats.org/officeDocument/2006/relationships/externalLinkPath" Target="../../../../../Users/stephani/AppData/Local/Microsoft/Windows/Temporary%20Internet%20Files/Content.Outlook/A8Z9RF5A/Fluxo%20de%20Caixa%20Bachega.xls" TargetMode="External"/>
</Relationships>
</file>

<file path=xl/externalLinks/_rels/externalLink12.xml.rels><?xml version="1.0" encoding="UTF-8"?>
<Relationships xmlns="http://schemas.openxmlformats.org/package/2006/relationships"><Relationship Id="rId1" Type="http://schemas.openxmlformats.org/officeDocument/2006/relationships/externalLinkPath" Target="../../../../../Users/eder.garcia/Desktop/Mitalcopy/Diagn&#243;stico%20Mitalcopy/Diagn&#243;stico%20Mitalcopy.xlsx" TargetMode="External"/>
</Relationships>
</file>

<file path=xl/externalLinks/_rels/externalLink13.xml.rels><?xml version="1.0" encoding="UTF-8"?>
<Relationships xmlns="http://schemas.openxmlformats.org/package/2006/relationships"><Relationship Id="rId1" Type="http://schemas.openxmlformats.org/officeDocument/2006/relationships/externalLinkPath" Target="file://5393DC61/Planilha%20de%20c&#225;lculo%20de%20empr&#233;stimo1.xlsx" TargetMode="External"/>
</Relationships>
</file>

<file path=xl/externalLinks/_rels/externalLink14.xml.rels><?xml version="1.0" encoding="UTF-8"?>
<Relationships xmlns="http://schemas.openxmlformats.org/package/2006/relationships"><Relationship Id="rId1" Type="http://schemas.openxmlformats.org/officeDocument/2006/relationships/externalLinkPath" Target="file://192.168.18.253/VIEIRA%20SANTOS/CLIENTES%20ATIVOS/Petropuro/Consultoria%20-%20Controladoria/Consultoria/Diagn&#243;stico%20Petro%20Puro.xlsx" TargetMode="External"/>
</Relationships>
</file>

<file path=xl/externalLinks/_rels/externalLink15.xml.rels><?xml version="1.0" encoding="UTF-8"?>
<Relationships xmlns="http://schemas.openxmlformats.org/package/2006/relationships"><Relationship Id="rId1" Type="http://schemas.openxmlformats.org/officeDocument/2006/relationships/externalLinkPath" Target="../../../../../VIEIRA%20SANTOS/CLIENTES%20ATIVOS/Solomar/Dashboard/DFC%20Solomar%20Consolidado.xlsx" TargetMode="External"/>
</Relationships>
</file>

<file path=xl/externalLinks/_rels/externalLink16.xml.rels><?xml version="1.0" encoding="UTF-8"?>
<Relationships xmlns="http://schemas.openxmlformats.org/package/2006/relationships"><Relationship Id="rId1" Type="http://schemas.openxmlformats.org/officeDocument/2006/relationships/externalLinkPath" Target="file://servidor01/VIEIRA%20SANTOS/CLIENTES%20ATIVOS/Londricenter/Diagn&#243;stico%20Londricenter.xlsx" TargetMode="External"/>
</Relationships>
</file>

<file path=xl/externalLinks/_rels/externalLink17.xml.rels><?xml version="1.0" encoding="UTF-8"?>
<Relationships xmlns="http://schemas.openxmlformats.org/package/2006/relationships"><Relationship Id="rId1" Type="http://schemas.openxmlformats.org/officeDocument/2006/relationships/externalLinkPath" Target="../../../../../Users/KZS/AppData/Roaming/Microsoft/Excel/KZS/Danithais/Consultoria/Gerencial%20Danithais%202011%201.%20trim.xlsx" TargetMode="External"/>
</Relationships>
</file>

<file path=xl/externalLinks/_rels/externalLink18.xml.rels><?xml version="1.0" encoding="UTF-8"?>
<Relationships xmlns="http://schemas.openxmlformats.org/package/2006/relationships"><Relationship Id="rId1" Type="http://schemas.openxmlformats.org/officeDocument/2006/relationships/externalLinkPath" Target="../../../../../Users/Stephani/AppData/Local/Microsoft/Windows/INetCache/Content.Outlook/Z303HJGQ/Financeiro_Ateli&#234;_Roberta_Peixot%20o%20(1)%20(2)%20(1).xls" TargetMode="External"/>
</Relationships>
</file>

<file path=xl/externalLinks/_rels/externalLink19.xml.rels><?xml version="1.0" encoding="UTF-8"?>
<Relationships xmlns="http://schemas.openxmlformats.org/package/2006/relationships"><Relationship Id="rId1" Type="http://schemas.openxmlformats.org/officeDocument/2006/relationships/externalLinkPath" Target="../../../../../Users/Eder/KZS/Clientes%20e%20Parceiros/Mensal/Bioprime/Diagn&#243;stico%20Bioprime.xlsx" TargetMode="External"/>
</Relationships>
</file>

<file path=xl/externalLinks/_rels/externalLink20.xml.rels><?xml version="1.0" encoding="UTF-8"?>
<Relationships xmlns="http://schemas.openxmlformats.org/package/2006/relationships"><Relationship Id="rId1" Type="http://schemas.openxmlformats.org/officeDocument/2006/relationships/externalLinkPath" Target="../../../../../Users/User/Desktop/Diagn&#243;stico%20Concentrated.xlsx" TargetMode="External"/>
</Relationships>
</file>

<file path=xl/externalLinks/_rels/externalLink21.xml.rels><?xml version="1.0" encoding="UTF-8"?>
<Relationships xmlns="http://schemas.openxmlformats.org/package/2006/relationships"><Relationship Id="rId1" Type="http://schemas.openxmlformats.org/officeDocument/2006/relationships/externalLinkPath" Target="file://Recepcao/D&amp;R%20Documentos/TEMP/Client/DSMneste/Excel/00_05_30valuation" TargetMode="External"/>
</Relationships>
</file>

<file path=xl/externalLinks/_rels/externalLink22.xml.rels><?xml version="1.0" encoding="UTF-8"?>
<Relationships xmlns="http://schemas.openxmlformats.org/package/2006/relationships"><Relationship Id="rId1" Type="http://schemas.openxmlformats.org/officeDocument/2006/relationships/externalLinkPath" Target="../../../../../Users/Usuario/AppData/Local/Microsoft/Windows/INetCache/Content.Outlook/ZMNCFBTN/Downloads/Users/RP/Downloads/Financeiro%20JGN%20do%20Brasil2.xls" TargetMode="External"/>
</Relationships>
</file>

<file path=xl/externalLinks/_rels/externalLink23.xml.rels><?xml version="1.0" encoding="UTF-8"?>
<Relationships xmlns="http://schemas.openxmlformats.org/package/2006/relationships"><Relationship Id="rId1" Type="http://schemas.openxmlformats.org/officeDocument/2006/relationships/externalLinkPath" Target="../../../../../Users/Usuario/Desktop/VALUE/DBL%20Baterias/DBL%20ATACADO/2016/Gerencial%20DBL%20-%20Jan.2016%20-%20Fev.2016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ainel Navegação"/>
      <sheetName val="Gráficos"/>
      <sheetName val="Term. Kanitz"/>
      <sheetName val="Dashboard"/>
      <sheetName val="Balanço Patrimonial"/>
      <sheetName val="DRE Competência"/>
      <sheetName val="Simulação de Resultados"/>
      <sheetName val="Folha de Pagamento Mensal"/>
      <sheetName val="Disponível"/>
      <sheetName val="Contas a Receber"/>
      <sheetName val="Contas a Receber Resumido"/>
      <sheetName val="Estoque"/>
      <sheetName val="Imobilizado"/>
      <sheetName val="Empréstimos Bancários"/>
      <sheetName val="Empréstimos de Terceiros"/>
      <sheetName val="Fornecedores em Aberto"/>
      <sheetName val="Conta Corrente dos Sócios"/>
      <sheetName val="Impostos Sobre Vendas"/>
      <sheetName val="Encargos Sociais"/>
      <sheetName val="Impostos e Provisões"/>
      <sheetName val="Comissões"/>
      <sheetName val="Percentual de Impostos"/>
      <sheetName val="Simulacao nota a nota"/>
      <sheetName val="M.C. Unitária"/>
      <sheetName val="Volume de Vendas"/>
      <sheetName val="Faturamento Acumulado"/>
      <sheetName val="Bancos Lançados no Sistema"/>
      <sheetName val="DRG - Pedr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arâmetros"/>
      <sheetName val="INVERSÃO 1"/>
      <sheetName val="INVERSÃO 2"/>
      <sheetName val="MENU"/>
      <sheetName val="DRE Vendas RN"/>
      <sheetName val="DRE Vendas PL"/>
      <sheetName val="DRE Vendas CV"/>
      <sheetName val="DRE Vendas SN"/>
      <sheetName val="DRE Vendas CONS"/>
      <sheetName val="DRE Peças RN"/>
      <sheetName val="DRE Peças PL"/>
      <sheetName val="DRE Peças CV"/>
      <sheetName val="DRE Peças SN"/>
      <sheetName val="DRE Peças AG"/>
      <sheetName val="DRE Peças CONS"/>
      <sheetName val="DRE Serviços RN"/>
      <sheetName val="DRE Serviços PL"/>
      <sheetName val="DRE Serviços CV"/>
      <sheetName val="DRE Serviços SN"/>
      <sheetName val="DRE Serviços CONS"/>
      <sheetName val="DRE Administração RN"/>
      <sheetName val="DRE Administração PL"/>
      <sheetName val="DRE Administração CV"/>
      <sheetName val="DRE Administração SN"/>
      <sheetName val="DRE Administração CONS"/>
      <sheetName val="DRE Central ADM"/>
      <sheetName val="DRE ROO+Central ADM"/>
      <sheetName val="DRE ROO+Central ADM (2)"/>
      <sheetName val="DRE Consolidado RN"/>
      <sheetName val="DRE Consolidado RN (2)"/>
      <sheetName val="DRE Consolidado PL"/>
      <sheetName val="DRE Consolidado PL (2)"/>
      <sheetName val="DRE Consolidado CV"/>
      <sheetName val="DRE Consolidado CV (2)"/>
      <sheetName val="DRE Consolidado SN"/>
      <sheetName val="DRE Consolidado SN (2)"/>
      <sheetName val="DRE Consolidado AG"/>
      <sheetName val="DRE Consolidado AG (2)"/>
      <sheetName val="DRE Consolidado Global"/>
      <sheetName val="DRE Consolidado Global (2)"/>
      <sheetName val="DRE Consolidado Global (3)"/>
      <sheetName val="db_graf"/>
      <sheetName val="Rateios"/>
      <sheetName val="Plano de Contas"/>
      <sheetName val="Centro de Cust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00- Premissas"/>
      <sheetName val="Demonstração dos Resultados"/>
      <sheetName val="Análise dos Investimentos"/>
      <sheetName val="1- Folha de Pagamento"/>
      <sheetName val="2- Relação de Máquinas"/>
      <sheetName val="3- Invest. Instalações"/>
      <sheetName val="4- Perspectiva de Vendas"/>
      <sheetName val="4.1 Faturamento Previsto"/>
      <sheetName val="4.2 Representantes"/>
      <sheetName val="4.3 Comissões"/>
      <sheetName val="4.4- Impostos"/>
      <sheetName val="5- Terceirizações"/>
      <sheetName val="6- Despesas"/>
      <sheetName val="6.1 - Registro ANVISA"/>
      <sheetName val="7- Despesas Filiais"/>
      <sheetName val="8- Custo de Matéria Prim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Entradas - Fábrica"/>
      <sheetName val="Saídas - Fábrica"/>
      <sheetName val="SALDO"/>
      <sheetName val="BASE"/>
      <sheetName val="SALDO 2"/>
      <sheetName val="PREVISÃO FAKTOR VENCIMENTOS"/>
      <sheetName val="Realizado"/>
      <sheetName val="Realizado 2014"/>
      <sheetName val="Realizado 2014 (2)"/>
      <sheetName val="Parcela Empréstimos Empréstimos"/>
      <sheetName val="Moinho Arapong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INSTRUÇÕES "/>
      <sheetName val="INSTRUÇÕES"/>
      <sheetName val="Plan2"/>
      <sheetName val="Dezembro"/>
      <sheetName val="Novembro"/>
      <sheetName val="outubro"/>
      <sheetName val="Setembro"/>
      <sheetName val="Agosto"/>
      <sheetName val="Julho"/>
      <sheetName val="Junho"/>
      <sheetName val="Maio"/>
      <sheetName val="Folha de Pagamentos - Fabrica"/>
      <sheetName val="1. DRE Fabrica"/>
      <sheetName val="2. DRE Atacado"/>
      <sheetName val="1.1Despesas Fabrica"/>
      <sheetName val="7.PAINEL FABRICA"/>
      <sheetName val="Balanço Fabrica"/>
      <sheetName val="Custo Financeiro"/>
      <sheetName val="Faturamento Loja"/>
      <sheetName val="3. DRE Loja Londrina"/>
      <sheetName val="4. DRE Loja Maringa"/>
      <sheetName val="7.Custos e Despesas Lojas"/>
      <sheetName val="BALANÇO LOJA"/>
      <sheetName val="5. DRE Consolidado Lojas (4+5)"/>
      <sheetName val="6.PAINEL lojas"/>
      <sheetName val="7.Custos e Despesas Lojas (2)"/>
      <sheetName val="Endividamento Fabrica"/>
      <sheetName val="Endividamento Loja"/>
      <sheetName val="Balanço Consolidado"/>
      <sheetName val="Impostos Loja"/>
      <sheetName val="Impostos fABRICA"/>
      <sheetName val="Orçamento Fabrica"/>
      <sheetName val="Previsoes"/>
      <sheetName val="3. DRE Consolidado (1+2)"/>
      <sheetName val="7. DRE Consolidado Grupo (3+6)"/>
      <sheetName val="Faturamento Lojas - março"/>
      <sheetName val="Plan1"/>
      <sheetName val="Plan3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remissasFabrica"/>
      <sheetName val="PremissasAtacado"/>
      <sheetName val="Custo Mercadoria Vendida"/>
      <sheetName val="Despesas Variáveis"/>
      <sheetName val="Despesas Fixas"/>
      <sheetName val="DREFabrica"/>
      <sheetName val="DREAtacado"/>
      <sheetName val="DREConsolidado"/>
      <sheetName val="INSTRUÇÕE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Parâmetros"/>
      <sheetName val="Insumos"/>
      <sheetName val="3-4 VW 10.160"/>
      <sheetName val="Custo 3-4 VW 10.160"/>
      <sheetName val="Toco - 15.190"/>
      <sheetName val="Custo Toco - 15.190"/>
      <sheetName val="Truck - VW 24.280"/>
      <sheetName val="Custo Turck - VW 24.280"/>
      <sheetName val="Atego 1419 TRUCK"/>
      <sheetName val="Custo MB ATEGO TRUCK"/>
      <sheetName val="Resumo"/>
      <sheetName val="Pesquisa de Preç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ase de Dados"/>
      <sheetName val="Entradas"/>
      <sheetName val="Saídas Escritório"/>
      <sheetName val="Saídas Casa"/>
      <sheetName val="Saldo Inicial"/>
      <sheetName val="Particular"/>
      <sheetName val="DRE 2012 Competência"/>
      <sheetName val="DRE 2013 Competência"/>
      <sheetName val="DRE 2012 Caixa"/>
      <sheetName val="Evolução de Caixa 2012"/>
      <sheetName val="Previsão Financeira 2012"/>
      <sheetName val="Fluxo de Caixa Previsto"/>
      <sheetName val="Gráfic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INSTRUÇÕES "/>
      <sheetName val="INSTRUÇÕES"/>
      <sheetName val="Plan2"/>
      <sheetName val="Dezembro"/>
      <sheetName val="Novembro"/>
      <sheetName val="outubro"/>
      <sheetName val="Setembro"/>
      <sheetName val="Agosto"/>
      <sheetName val="Julho"/>
      <sheetName val="Junho"/>
      <sheetName val="Maio"/>
      <sheetName val="Folha de Pagamentos - Fabrica"/>
      <sheetName val="1. DRE Fabrica"/>
      <sheetName val="2. DRE Atacado"/>
      <sheetName val="1.1Despesas Fabrica"/>
      <sheetName val="7.PAINEL FABRICA"/>
      <sheetName val="Balanço Fabrica"/>
      <sheetName val="Custo Financeiro"/>
      <sheetName val="Faturamento Loja"/>
      <sheetName val="3. DRE Loja Londrina"/>
      <sheetName val="4. DRE Loja Maringa"/>
      <sheetName val="7.Custos e Despesas Lojas"/>
      <sheetName val="BALANÇO LOJA"/>
      <sheetName val="5. DRE Consolidado Lojas (4+5)"/>
      <sheetName val="6.PAINEL lojas"/>
      <sheetName val="7.Custos e Despesas Lojas (2)"/>
      <sheetName val="Endividamento Fabrica"/>
      <sheetName val="Endividamento Loja"/>
      <sheetName val="Balanço Consolidado"/>
      <sheetName val="Impostos Loja"/>
      <sheetName val="Impostos fABRICA"/>
      <sheetName val="Orçamento Fabrica"/>
      <sheetName val="Previsoes"/>
      <sheetName val="3. DRE Consolidado (1+2)"/>
      <sheetName val="7. DRE Consolidado Grupo (3+6)"/>
      <sheetName val="Faturamento Lojas - março"/>
      <sheetName val="Plan1"/>
      <sheetName val="Plan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Entradas - Fábrica"/>
      <sheetName val="Saídas - Fábrica"/>
      <sheetName val="SALDO"/>
      <sheetName val="BASE"/>
      <sheetName val="PREVISÃO  VENCIMENTOS"/>
      <sheetName val="SALDO (2)"/>
      <sheetName val="Realizado"/>
      <sheetName val="Realizado 2014"/>
      <sheetName val="Realizado 2014 (2)"/>
      <sheetName val="Parcela Empréstimos Empréstimos"/>
      <sheetName val="Moinho Arapongas"/>
      <sheetName val="FLUXO DE CAIXA REALIZADO"/>
      <sheetName val="Bradesco"/>
      <sheetName val="Itaú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Entradas - Fábrica"/>
      <sheetName val="Saídas - Fábrica"/>
      <sheetName val="SALDO"/>
      <sheetName val="BASE"/>
      <sheetName val="SALDO (2)"/>
      <sheetName val="PREVISÃO  VENCIMENTOS"/>
      <sheetName val="Realizado"/>
      <sheetName val="Realizado 2014"/>
      <sheetName val="Realizado 2014 (2)"/>
      <sheetName val="Parcela Empréstimos Empréstimos"/>
      <sheetName val="Moinho Arapongas"/>
      <sheetName val="Bradesco"/>
      <sheetName val="Sicredi"/>
      <sheetName val="Plan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Painel Navegação"/>
      <sheetName val="Dashboard"/>
      <sheetName val="Balanço Patrimonial"/>
      <sheetName val="DRE Competência"/>
      <sheetName val="CICLO FINANCEIRO"/>
      <sheetName val="Resumo Contas Pagas"/>
      <sheetName val="Contas Pagas"/>
      <sheetName val="Disponível"/>
      <sheetName val="Dados Fluxo de Caixa"/>
      <sheetName val="Contas a Receber Bancos"/>
      <sheetName val="Contas a Receber Carteira"/>
      <sheetName val="Máquina Canon 1023"/>
      <sheetName val="Venda Máquina Santa Fé"/>
      <sheetName val="Contas a Pagar"/>
      <sheetName val="Consórcios"/>
      <sheetName val="Títulos de Capitalização"/>
      <sheetName val="Imobilizado"/>
      <sheetName val="Folha de Pagamento"/>
      <sheetName val="Encargos a Recolher"/>
      <sheetName val="Provisões Trabalhistas"/>
      <sheetName val="Empréstimos Bancários"/>
      <sheetName val="Empréstimos Terceiros"/>
      <sheetName val="Faturamento"/>
      <sheetName val="Fluxo Realizado Consolidado"/>
      <sheetName val="Saldo Seq. 1"/>
      <sheetName val="Saldo Seq. 2"/>
      <sheetName val="Saldo Seq. 3"/>
      <sheetName val="Saldo Seq. 4"/>
      <sheetName val="Saldo Seq. 5"/>
      <sheetName val="Saldo Seq. 6"/>
      <sheetName val="Saldo Seq. 7"/>
      <sheetName val="Saldo Seq. 8"/>
      <sheetName val="Saldo Seq. 9"/>
      <sheetName val="Custo Estima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alculadora de empréstimo"/>
    </sheetNames>
    <sheetDataSet>
      <sheetData sheetId="0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ainel Navegação"/>
      <sheetName val="Term. Kanitz"/>
      <sheetName val="Dashboard"/>
      <sheetName val="Balanço Patrimonial"/>
      <sheetName val="DRE Comp. Trimestre"/>
      <sheetName val="Simulação de Resultados"/>
      <sheetName val="Disponível"/>
      <sheetName val="Contas a Receber"/>
      <sheetName val="Antecipações Pedidos"/>
      <sheetName val="Estoque"/>
      <sheetName val="Investimentos"/>
      <sheetName val="Imobilizado"/>
      <sheetName val="Encargos Sociais"/>
      <sheetName val="Empréstimos Bancários"/>
      <sheetName val="Empréstimos de Terceiros"/>
      <sheetName val="Fornecedores em Aberto"/>
      <sheetName val="Fornecedores em Aberto (2)"/>
      <sheetName val="Impostos Sobre Vendas"/>
      <sheetName val="Provisões"/>
      <sheetName val="Tendência Vendas"/>
      <sheetName val="Tendência Vendas (2)"/>
      <sheetName val="Comissões"/>
      <sheetName val="Percentual de Impostos Doctor"/>
      <sheetName val="Percentual de Impostos Petrofil"/>
      <sheetName val="Percentual Descontos"/>
      <sheetName val="Provisões Trabalhistas"/>
      <sheetName val="Simples Nacional"/>
      <sheetName val="Custo dos Produtos"/>
      <sheetName val="Custo dos Produtos (2)"/>
      <sheetName val="Impostos 2013"/>
      <sheetName val="DRE Competência"/>
      <sheetName val="Folha 11-2012"/>
      <sheetName val="Folha 12-2012"/>
      <sheetName val="Folha 01-2013"/>
      <sheetName val="Folha 02-2013"/>
      <sheetName val="Folha 03-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Balanço Patrimonial 2013"/>
      <sheetName val="DRE 2013"/>
      <sheetName val="Informações Complementares"/>
      <sheetName val="Dashboard"/>
      <sheetName val="LISTA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Painel Navegação"/>
      <sheetName val="Gráficos"/>
      <sheetName val="Balanço Patrimonial"/>
      <sheetName val="Dashboard"/>
      <sheetName val="DRE Competência"/>
      <sheetName val="Nov e Dez -13"/>
      <sheetName val="Disponível"/>
      <sheetName val="Contas a Receber Resumido"/>
      <sheetName val="Estoque"/>
      <sheetName val="Imobilizado"/>
      <sheetName val="Contas a pagar"/>
      <sheetName val="Financiamento e Empréstimo"/>
      <sheetName val="Impostos em Aberto"/>
      <sheetName val="Faturamento e Impostos"/>
      <sheetName val="Custo das Vendas"/>
      <sheetName val="Sebrae 2013"/>
      <sheetName val="Contas Pagas - Resumo"/>
      <sheetName val="Contas Pagas"/>
      <sheetName val="Provisões Trabalhistas"/>
      <sheetName val="Folha de Pagam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RODUÇÃO"/>
      <sheetName val="FATURAMENTO EM UNIDADES"/>
      <sheetName val="TIQUET MÉDIO"/>
      <sheetName val="PREMISSAS"/>
      <sheetName val="Folha Pagto Orçado"/>
      <sheetName val="FATURAMENTO em Reais"/>
      <sheetName val="txt jan"/>
      <sheetName val="txt fev"/>
      <sheetName val="txt mar"/>
      <sheetName val="Despesas Custos"/>
      <sheetName val="Folha Pagto Realizada"/>
      <sheetName val="DRE fabrica Médio"/>
      <sheetName val="DRE fabrica Conservador"/>
      <sheetName val="PAINEL"/>
      <sheetName val="FAT. Atacado"/>
      <sheetName val="DRE Atacado"/>
      <sheetName val="Despesa - Atacado"/>
      <sheetName val="Consolida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Base de Dados"/>
      <sheetName val="Entradas"/>
      <sheetName val="Conferência Bancos (2)"/>
      <sheetName val="Saídas Ateliê"/>
      <sheetName val="Saídas Particulares"/>
      <sheetName val="Conferência Bancos até ago-13"/>
      <sheetName val="Adriane"/>
      <sheetName val="ALANE"/>
      <sheetName val="JOSI"/>
      <sheetName val="VIRGINIA"/>
      <sheetName val="LOJA"/>
      <sheetName val="Nicaele"/>
      <sheetName val="Conferência Bancos"/>
      <sheetName val="Juros GETNET"/>
      <sheetName val="CONTROLE DO MÊS"/>
      <sheetName val="DRE Competência"/>
      <sheetName val="Fluxo de Caixa Realizado"/>
      <sheetName val="Gráfi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ainel Navegação"/>
      <sheetName val="Pendências"/>
      <sheetName val="Gráficos"/>
      <sheetName val="Balanço Patrimonial"/>
      <sheetName val="Projeção 2013"/>
      <sheetName val="Gráficos Projeção"/>
      <sheetName val="Term. Kanitz"/>
      <sheetName val="Dashboard"/>
      <sheetName val="DRE Sintética"/>
      <sheetName val="DRE Analítica"/>
      <sheetName val="Disponível"/>
      <sheetName val="Contas a Receber"/>
      <sheetName val="Contas a Receber (2)"/>
      <sheetName val="Cheques Devolvidos"/>
      <sheetName val="Estoque Prod. Acab."/>
      <sheetName val="Estoque M.P."/>
      <sheetName val="Investimentos"/>
      <sheetName val="Imobilizado"/>
      <sheetName val="Empréstimos Bancários"/>
      <sheetName val="Empréstimos Sócios"/>
      <sheetName val="Empréstimos Terceiros"/>
      <sheetName val="Folha de Pagamento Líquida"/>
      <sheetName val="Fornecedores em Aberto"/>
      <sheetName val="Fornecedores em Aberto (2)"/>
      <sheetName val="Impostos e Encargos"/>
      <sheetName val="Adto de Clientes"/>
      <sheetName val="Faturamento"/>
      <sheetName val="Simples Nacional"/>
      <sheetName val="Demonstrativo Fat."/>
      <sheetName val="Despesas Fixas e Variáveis"/>
      <sheetName val="Comissões"/>
      <sheetName val="Despesas Filiais"/>
      <sheetName val="Impostos e Provisões"/>
      <sheetName val="Vendas e Custo"/>
      <sheetName val="Rel. Desp. Filiais"/>
      <sheetName val="Percentual Descont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Painel Navegação"/>
      <sheetName val="Gráficos"/>
      <sheetName val="Term. Kanitz"/>
      <sheetName val="Projeção 2013"/>
      <sheetName val="Gráficos Projeção"/>
      <sheetName val="Balanço Patrimonial"/>
      <sheetName val="Dashboard"/>
      <sheetName val="DRE Analítica"/>
      <sheetName val="DRE Sintética"/>
      <sheetName val="Contas a Receber Clientes"/>
      <sheetName val="Contas a Receber"/>
      <sheetName val="Estoques"/>
      <sheetName val="Imobilizado"/>
      <sheetName val="Empréstimos Bancários"/>
      <sheetName val="Empréstimos Terceiros"/>
      <sheetName val="BNDES"/>
      <sheetName val="Fornecedores em Aberto"/>
      <sheetName val="Salários e Provisões"/>
      <sheetName val="Encargos Sociais"/>
      <sheetName val="Simples Nacional em Aberto"/>
      <sheetName val="Faturamento"/>
      <sheetName val="Despesas Fixas e Variáveis"/>
      <sheetName val="Impostos e Provisões"/>
      <sheetName val="Percentual Descontos"/>
      <sheetName val="Relatório Geral"/>
      <sheetName val="Arno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Val summary"/>
      <sheetName val="DCF Title"/>
      <sheetName val="Detailed P&amp;L"/>
      <sheetName val="DCF Assumptions"/>
      <sheetName val="DCF P&amp;L"/>
      <sheetName val="DCF BS"/>
      <sheetName val="DCF Cashflow"/>
      <sheetName val="PV Calcs"/>
      <sheetName val="WACC (2)"/>
      <sheetName val="Synergies (3)"/>
      <sheetName val="Synergies (2)"/>
      <sheetName val="Cocos Title"/>
      <sheetName val="CoCo Multiples"/>
      <sheetName val="CoCo Base Data"/>
      <sheetName val="CoCo Activities"/>
      <sheetName val="CoTrans Title"/>
      <sheetName val="CoTrans Multiples"/>
      <sheetName val="CoTrans Base Data"/>
      <sheetName val="&lt;&lt;Base data, don't print&gt;&gt;"/>
      <sheetName val="US business old"/>
      <sheetName val="NP North"/>
      <sheetName val="NP south"/>
      <sheetName val="Krems"/>
      <sheetName val="USA"/>
      <sheetName val="China"/>
      <sheetName val="Aggregation"/>
      <sheetName val="Polyester total"/>
      <sheetName val="WACC"/>
      <sheetName val="Synergies"/>
      <sheetName val="fixed costs"/>
      <sheetName val="Macros"/>
      <sheetName val="NAO EXCLU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Base de Dados"/>
      <sheetName val="Entradas"/>
      <sheetName val="Saídas Escritório"/>
      <sheetName val="Saídas Casa"/>
      <sheetName val="Saldo Inicial"/>
      <sheetName val="Particular"/>
      <sheetName val="DRE 2012 Competência"/>
      <sheetName val="DRE 2013 Competência"/>
      <sheetName val="DRE 2012 Caixa"/>
      <sheetName val="Evolução de Caixa 2012"/>
      <sheetName val="Previsão Financeira 2012"/>
      <sheetName val="Fluxo de Caixa Previsto"/>
      <sheetName val="Gráfic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Regressão Linear"/>
      <sheetName val="Orçamento 2016"/>
      <sheetName val="DRE Competência 2016"/>
      <sheetName val="Balanço Patrimonial"/>
      <sheetName val="Previsão"/>
      <sheetName val="Previsto x Realizado"/>
      <sheetName val="Vendas por produto"/>
      <sheetName val="Comparativo Vendas X Custo"/>
      <sheetName val="Comparativo 2013 x 2014 x 2015"/>
      <sheetName val="Impostos e Provisõ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5"/>
  <sheetViews>
    <sheetView showFormulas="false" showGridLines="fals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G13" activeCellId="1" sqref="O2:O308 G13"/>
    </sheetView>
  </sheetViews>
  <sheetFormatPr defaultColWidth="9.66796875" defaultRowHeight="14.25" zeroHeight="false" outlineLevelRow="0" outlineLevelCol="0"/>
  <cols>
    <col collapsed="false" customWidth="false" hidden="false" outlineLevel="0" max="1" min="1" style="1" width="9.66"/>
    <col collapsed="false" customWidth="true" hidden="false" outlineLevel="0" max="2" min="2" style="1" width="11.55"/>
    <col collapsed="false" customWidth="true" hidden="false" outlineLevel="0" max="3" min="3" style="1" width="17.44"/>
    <col collapsed="false" customWidth="true" hidden="false" outlineLevel="0" max="4" min="4" style="1" width="12.89"/>
    <col collapsed="false" customWidth="true" hidden="false" outlineLevel="0" max="5" min="5" style="1" width="3.45"/>
    <col collapsed="false" customWidth="true" hidden="false" outlineLevel="0" max="6" min="6" style="2" width="14.44"/>
    <col collapsed="false" customWidth="true" hidden="false" outlineLevel="0" max="7" min="7" style="2" width="10.56"/>
    <col collapsed="false" customWidth="false" hidden="false" outlineLevel="0" max="8" min="8" style="1" width="9.66"/>
    <col collapsed="false" customWidth="true" hidden="false" outlineLevel="0" max="9" min="9" style="1" width="4.45"/>
    <col collapsed="false" customWidth="true" hidden="false" outlineLevel="0" max="10" min="10" style="1" width="15.89"/>
    <col collapsed="false" customWidth="false" hidden="false" outlineLevel="0" max="16384" min="11" style="1" width="9.66"/>
  </cols>
  <sheetData>
    <row r="1" customFormat="false" ht="9" hidden="false" customHeight="true" outlineLevel="0" collapsed="false"/>
    <row r="2" customFormat="false" ht="14.25" hidden="false" customHeight="false" outlineLevel="0" collapsed="false">
      <c r="C2" s="3" t="s">
        <v>0</v>
      </c>
      <c r="D2" s="4"/>
    </row>
    <row r="3" customFormat="false" ht="14.25" hidden="false" customHeight="false" outlineLevel="0" collapsed="false">
      <c r="A3" s="5" t="s">
        <v>1</v>
      </c>
      <c r="B3" s="5" t="s">
        <v>1</v>
      </c>
      <c r="C3" s="6" t="n">
        <v>2024</v>
      </c>
    </row>
    <row r="4" customFormat="false" ht="15.75" hidden="false" customHeight="true" outlineLevel="0" collapsed="false">
      <c r="B4" s="7" t="s">
        <v>2</v>
      </c>
      <c r="C4" s="7"/>
      <c r="D4" s="7"/>
    </row>
    <row r="5" customFormat="false" ht="36" hidden="false" customHeight="true" outlineLevel="0" collapsed="false">
      <c r="B5" s="8" t="s">
        <v>3</v>
      </c>
      <c r="C5" s="9" t="s">
        <v>4</v>
      </c>
      <c r="D5" s="10" t="s">
        <v>5</v>
      </c>
      <c r="F5" s="11" t="s">
        <v>6</v>
      </c>
      <c r="G5" s="11" t="s">
        <v>7</v>
      </c>
      <c r="H5" s="12" t="s">
        <v>8</v>
      </c>
      <c r="I5" s="12"/>
      <c r="J5" s="13" t="s">
        <v>9</v>
      </c>
    </row>
    <row r="6" customFormat="false" ht="14.25" hidden="false" customHeight="false" outlineLevel="0" collapsed="false">
      <c r="B6" s="14" t="s">
        <v>10</v>
      </c>
      <c r="C6" s="15" t="n">
        <v>80000</v>
      </c>
      <c r="D6" s="16" t="n">
        <v>5000</v>
      </c>
    </row>
    <row r="7" customFormat="false" ht="14.25" hidden="false" customHeight="false" outlineLevel="0" collapsed="false">
      <c r="B7" s="17" t="s">
        <v>11</v>
      </c>
      <c r="C7" s="18" t="n">
        <v>85000</v>
      </c>
      <c r="D7" s="19" t="n">
        <v>5000</v>
      </c>
    </row>
    <row r="8" customFormat="false" ht="14.25" hidden="false" customHeight="false" outlineLevel="0" collapsed="false">
      <c r="B8" s="17" t="s">
        <v>12</v>
      </c>
      <c r="C8" s="18" t="n">
        <v>90000</v>
      </c>
      <c r="D8" s="19" t="n">
        <v>5000</v>
      </c>
    </row>
    <row r="9" customFormat="false" ht="14.25" hidden="false" customHeight="false" outlineLevel="0" collapsed="false">
      <c r="B9" s="17" t="s">
        <v>13</v>
      </c>
      <c r="C9" s="18" t="n">
        <v>100000</v>
      </c>
      <c r="D9" s="19" t="n">
        <v>5000</v>
      </c>
      <c r="H9" s="20"/>
      <c r="I9" s="20"/>
      <c r="J9" s="21"/>
    </row>
    <row r="10" customFormat="false" ht="14.25" hidden="false" customHeight="false" outlineLevel="0" collapsed="false">
      <c r="B10" s="17" t="s">
        <v>14</v>
      </c>
      <c r="C10" s="18" t="n">
        <v>110000</v>
      </c>
      <c r="D10" s="19" t="n">
        <v>5000</v>
      </c>
      <c r="H10" s="20"/>
      <c r="I10" s="20"/>
      <c r="J10" s="21"/>
    </row>
    <row r="11" customFormat="false" ht="14.25" hidden="false" customHeight="false" outlineLevel="0" collapsed="false">
      <c r="B11" s="17" t="s">
        <v>15</v>
      </c>
      <c r="C11" s="18" t="n">
        <v>120000</v>
      </c>
      <c r="D11" s="19" t="n">
        <v>5000</v>
      </c>
      <c r="H11" s="20"/>
      <c r="I11" s="20"/>
      <c r="J11" s="21"/>
    </row>
    <row r="12" customFormat="false" ht="14.25" hidden="false" customHeight="false" outlineLevel="0" collapsed="false">
      <c r="B12" s="17" t="s">
        <v>16</v>
      </c>
      <c r="C12" s="18" t="n">
        <v>130000</v>
      </c>
      <c r="D12" s="19" t="n">
        <v>5000</v>
      </c>
      <c r="H12" s="20"/>
      <c r="I12" s="20"/>
      <c r="J12" s="21"/>
    </row>
    <row r="13" customFormat="false" ht="14.25" hidden="false" customHeight="false" outlineLevel="0" collapsed="false">
      <c r="B13" s="17" t="s">
        <v>17</v>
      </c>
      <c r="C13" s="18" t="n">
        <v>140000</v>
      </c>
      <c r="D13" s="19" t="n">
        <v>5000</v>
      </c>
      <c r="H13" s="20"/>
      <c r="I13" s="20"/>
      <c r="J13" s="21"/>
    </row>
    <row r="14" customFormat="false" ht="14.25" hidden="false" customHeight="false" outlineLevel="0" collapsed="false">
      <c r="B14" s="17" t="s">
        <v>18</v>
      </c>
      <c r="C14" s="18" t="n">
        <v>150000</v>
      </c>
      <c r="D14" s="19" t="n">
        <v>5000</v>
      </c>
      <c r="H14" s="20"/>
      <c r="I14" s="20"/>
      <c r="J14" s="21"/>
    </row>
    <row r="15" customFormat="false" ht="14.25" hidden="false" customHeight="false" outlineLevel="0" collapsed="false">
      <c r="B15" s="17" t="s">
        <v>19</v>
      </c>
      <c r="C15" s="18" t="n">
        <v>150000</v>
      </c>
      <c r="D15" s="19" t="n">
        <v>5000</v>
      </c>
      <c r="H15" s="20"/>
      <c r="I15" s="20"/>
      <c r="J15" s="21"/>
    </row>
    <row r="16" customFormat="false" ht="14.25" hidden="false" customHeight="false" outlineLevel="0" collapsed="false">
      <c r="B16" s="17" t="s">
        <v>20</v>
      </c>
      <c r="C16" s="18" t="n">
        <v>150000</v>
      </c>
      <c r="D16" s="19" t="n">
        <v>5000</v>
      </c>
      <c r="H16" s="20"/>
      <c r="I16" s="20"/>
      <c r="J16" s="21"/>
    </row>
    <row r="17" customFormat="false" ht="14.25" hidden="false" customHeight="false" outlineLevel="0" collapsed="false">
      <c r="B17" s="22" t="s">
        <v>21</v>
      </c>
      <c r="C17" s="23" t="n">
        <v>150000</v>
      </c>
      <c r="D17" s="24" t="n">
        <v>5000</v>
      </c>
      <c r="H17" s="20"/>
      <c r="I17" s="20"/>
      <c r="J17" s="21"/>
    </row>
    <row r="18" customFormat="false" ht="14.25" hidden="false" customHeight="false" outlineLevel="0" collapsed="false">
      <c r="B18" s="25" t="s">
        <v>22</v>
      </c>
      <c r="C18" s="26" t="n">
        <f aca="false">SUM(C6:C17)</f>
        <v>1455000</v>
      </c>
      <c r="D18" s="27"/>
    </row>
    <row r="19" customFormat="false" ht="14.25" hidden="true" customHeight="false" outlineLevel="0" collapsed="false">
      <c r="B19" s="28"/>
      <c r="C19" s="4" t="s">
        <v>23</v>
      </c>
      <c r="D19" s="4" t="s">
        <v>24</v>
      </c>
    </row>
    <row r="20" customFormat="false" ht="14.25" hidden="true" customHeight="false" outlineLevel="0" collapsed="false">
      <c r="A20" s="5" t="s">
        <v>1</v>
      </c>
      <c r="B20" s="12" t="n">
        <v>2021</v>
      </c>
    </row>
    <row r="21" customFormat="false" ht="15.75" hidden="true" customHeight="true" outlineLevel="0" collapsed="false">
      <c r="B21" s="29" t="s">
        <v>2</v>
      </c>
      <c r="C21" s="29"/>
      <c r="D21" s="29"/>
    </row>
    <row r="22" customFormat="false" ht="31.3" hidden="true" customHeight="false" outlineLevel="0" collapsed="false">
      <c r="B22" s="8" t="s">
        <v>3</v>
      </c>
      <c r="C22" s="9" t="s">
        <v>4</v>
      </c>
      <c r="D22" s="10" t="s">
        <v>5</v>
      </c>
    </row>
    <row r="23" customFormat="false" ht="14.25" hidden="true" customHeight="false" outlineLevel="0" collapsed="false">
      <c r="B23" s="14" t="s">
        <v>10</v>
      </c>
      <c r="C23" s="30" t="n">
        <v>0</v>
      </c>
      <c r="D23" s="16" t="n">
        <v>5000</v>
      </c>
    </row>
    <row r="24" customFormat="false" ht="14.25" hidden="true" customHeight="false" outlineLevel="0" collapsed="false">
      <c r="B24" s="17" t="s">
        <v>11</v>
      </c>
      <c r="C24" s="27" t="n">
        <v>0</v>
      </c>
      <c r="D24" s="19" t="n">
        <f aca="false">D23</f>
        <v>5000</v>
      </c>
    </row>
    <row r="25" customFormat="false" ht="14.25" hidden="true" customHeight="false" outlineLevel="0" collapsed="false">
      <c r="B25" s="17" t="s">
        <v>12</v>
      </c>
      <c r="C25" s="27" t="n">
        <v>0</v>
      </c>
      <c r="D25" s="19" t="n">
        <f aca="false">D24</f>
        <v>5000</v>
      </c>
    </row>
    <row r="26" customFormat="false" ht="14.25" hidden="true" customHeight="false" outlineLevel="0" collapsed="false">
      <c r="B26" s="17" t="s">
        <v>13</v>
      </c>
      <c r="C26" s="27" t="n">
        <v>0</v>
      </c>
      <c r="D26" s="19" t="n">
        <f aca="false">D25</f>
        <v>5000</v>
      </c>
    </row>
    <row r="27" customFormat="false" ht="14.25" hidden="true" customHeight="false" outlineLevel="0" collapsed="false">
      <c r="B27" s="17" t="s">
        <v>14</v>
      </c>
      <c r="C27" s="27" t="n">
        <v>0</v>
      </c>
      <c r="D27" s="19" t="n">
        <f aca="false">D26</f>
        <v>5000</v>
      </c>
    </row>
    <row r="28" customFormat="false" ht="14.25" hidden="true" customHeight="false" outlineLevel="0" collapsed="false">
      <c r="B28" s="17" t="s">
        <v>15</v>
      </c>
      <c r="C28" s="27" t="n">
        <v>0</v>
      </c>
      <c r="D28" s="19" t="n">
        <f aca="false">D27</f>
        <v>5000</v>
      </c>
    </row>
    <row r="29" customFormat="false" ht="14.25" hidden="true" customHeight="false" outlineLevel="0" collapsed="false">
      <c r="B29" s="17" t="s">
        <v>16</v>
      </c>
      <c r="C29" s="27" t="n">
        <v>0</v>
      </c>
      <c r="D29" s="19" t="n">
        <f aca="false">D28</f>
        <v>5000</v>
      </c>
    </row>
    <row r="30" customFormat="false" ht="14.25" hidden="true" customHeight="false" outlineLevel="0" collapsed="false">
      <c r="B30" s="17" t="s">
        <v>17</v>
      </c>
      <c r="C30" s="27" t="n">
        <v>0</v>
      </c>
      <c r="D30" s="19" t="n">
        <f aca="false">D29</f>
        <v>5000</v>
      </c>
    </row>
    <row r="31" customFormat="false" ht="14.25" hidden="true" customHeight="false" outlineLevel="0" collapsed="false">
      <c r="B31" s="17" t="s">
        <v>18</v>
      </c>
      <c r="C31" s="27" t="n">
        <v>0</v>
      </c>
      <c r="D31" s="19" t="n">
        <f aca="false">D30</f>
        <v>5000</v>
      </c>
    </row>
    <row r="32" customFormat="false" ht="14.25" hidden="true" customHeight="false" outlineLevel="0" collapsed="false">
      <c r="B32" s="17" t="s">
        <v>19</v>
      </c>
      <c r="C32" s="27" t="n">
        <v>0</v>
      </c>
      <c r="D32" s="19" t="n">
        <f aca="false">D31</f>
        <v>5000</v>
      </c>
    </row>
    <row r="33" customFormat="false" ht="14.25" hidden="true" customHeight="false" outlineLevel="0" collapsed="false">
      <c r="B33" s="17" t="s">
        <v>20</v>
      </c>
      <c r="C33" s="27" t="n">
        <v>0</v>
      </c>
      <c r="D33" s="19" t="n">
        <f aca="false">D32</f>
        <v>5000</v>
      </c>
    </row>
    <row r="34" customFormat="false" ht="14.25" hidden="true" customHeight="false" outlineLevel="0" collapsed="false">
      <c r="B34" s="22" t="s">
        <v>21</v>
      </c>
      <c r="C34" s="31" t="n">
        <v>0</v>
      </c>
      <c r="D34" s="24" t="n">
        <f aca="false">D33</f>
        <v>5000</v>
      </c>
    </row>
    <row r="35" customFormat="false" ht="14.25" hidden="true" customHeight="false" outlineLevel="0" collapsed="false">
      <c r="B35" s="28"/>
      <c r="C35" s="27"/>
      <c r="D35" s="27"/>
    </row>
    <row r="36" customFormat="false" ht="14.25" hidden="true" customHeight="false" outlineLevel="0" collapsed="false">
      <c r="B36" s="28"/>
      <c r="C36" s="4" t="s">
        <v>25</v>
      </c>
      <c r="D36" s="4" t="s">
        <v>26</v>
      </c>
    </row>
    <row r="37" customFormat="false" ht="14.25" hidden="true" customHeight="false" outlineLevel="0" collapsed="false">
      <c r="B37" s="32"/>
      <c r="C37" s="27"/>
      <c r="D37" s="27"/>
    </row>
    <row r="38" customFormat="false" ht="14.25" hidden="true" customHeight="false" outlineLevel="0" collapsed="false">
      <c r="A38" s="5" t="s">
        <v>1</v>
      </c>
      <c r="B38" s="12" t="n">
        <v>2022</v>
      </c>
      <c r="C38" s="33" t="s">
        <v>27</v>
      </c>
      <c r="D38" s="34"/>
    </row>
    <row r="39" customFormat="false" ht="14.25" hidden="true" customHeight="false" outlineLevel="0" collapsed="false">
      <c r="B39" s="29" t="s">
        <v>2</v>
      </c>
      <c r="C39" s="29"/>
      <c r="D39" s="29"/>
    </row>
    <row r="40" customFormat="false" ht="46.25" hidden="true" customHeight="false" outlineLevel="0" collapsed="false">
      <c r="B40" s="8" t="s">
        <v>3</v>
      </c>
      <c r="C40" s="9" t="s">
        <v>4</v>
      </c>
      <c r="D40" s="10" t="s">
        <v>28</v>
      </c>
    </row>
    <row r="41" customFormat="false" ht="14.25" hidden="true" customHeight="false" outlineLevel="0" collapsed="false">
      <c r="B41" s="14" t="s">
        <v>10</v>
      </c>
      <c r="C41" s="15" t="n">
        <v>0</v>
      </c>
      <c r="D41" s="16" t="n">
        <v>5000</v>
      </c>
    </row>
    <row r="42" customFormat="false" ht="14.25" hidden="true" customHeight="false" outlineLevel="0" collapsed="false">
      <c r="B42" s="17" t="s">
        <v>11</v>
      </c>
      <c r="C42" s="18" t="n">
        <v>0</v>
      </c>
      <c r="D42" s="19" t="n">
        <f aca="false">D41</f>
        <v>5000</v>
      </c>
    </row>
    <row r="43" customFormat="false" ht="14.25" hidden="true" customHeight="false" outlineLevel="0" collapsed="false">
      <c r="B43" s="17" t="s">
        <v>12</v>
      </c>
      <c r="C43" s="18" t="n">
        <v>0</v>
      </c>
      <c r="D43" s="19" t="n">
        <f aca="false">D42</f>
        <v>5000</v>
      </c>
    </row>
    <row r="44" customFormat="false" ht="14.25" hidden="true" customHeight="false" outlineLevel="0" collapsed="false">
      <c r="B44" s="17" t="s">
        <v>13</v>
      </c>
      <c r="C44" s="18" t="n">
        <v>0</v>
      </c>
      <c r="D44" s="19" t="n">
        <f aca="false">D43</f>
        <v>5000</v>
      </c>
    </row>
    <row r="45" customFormat="false" ht="14.25" hidden="true" customHeight="false" outlineLevel="0" collapsed="false">
      <c r="B45" s="17" t="s">
        <v>14</v>
      </c>
      <c r="C45" s="18" t="n">
        <v>0</v>
      </c>
      <c r="D45" s="19" t="n">
        <f aca="false">D44</f>
        <v>5000</v>
      </c>
    </row>
    <row r="46" customFormat="false" ht="14.25" hidden="true" customHeight="false" outlineLevel="0" collapsed="false">
      <c r="B46" s="17" t="s">
        <v>15</v>
      </c>
      <c r="C46" s="18" t="n">
        <v>0</v>
      </c>
      <c r="D46" s="19" t="n">
        <f aca="false">D45</f>
        <v>5000</v>
      </c>
    </row>
    <row r="47" customFormat="false" ht="14.25" hidden="true" customHeight="false" outlineLevel="0" collapsed="false">
      <c r="B47" s="17" t="s">
        <v>16</v>
      </c>
      <c r="C47" s="18" t="n">
        <v>0</v>
      </c>
      <c r="D47" s="19" t="n">
        <f aca="false">D46</f>
        <v>5000</v>
      </c>
    </row>
    <row r="48" customFormat="false" ht="14.25" hidden="true" customHeight="false" outlineLevel="0" collapsed="false">
      <c r="B48" s="17" t="s">
        <v>17</v>
      </c>
      <c r="C48" s="18" t="n">
        <v>0</v>
      </c>
      <c r="D48" s="19" t="n">
        <f aca="false">D47</f>
        <v>5000</v>
      </c>
    </row>
    <row r="49" customFormat="false" ht="14.25" hidden="true" customHeight="false" outlineLevel="0" collapsed="false">
      <c r="B49" s="17" t="s">
        <v>18</v>
      </c>
      <c r="C49" s="18" t="n">
        <v>0</v>
      </c>
      <c r="D49" s="19" t="n">
        <f aca="false">D48</f>
        <v>5000</v>
      </c>
    </row>
    <row r="50" customFormat="false" ht="14.25" hidden="true" customHeight="false" outlineLevel="0" collapsed="false">
      <c r="B50" s="17" t="s">
        <v>19</v>
      </c>
      <c r="C50" s="18" t="n">
        <v>0</v>
      </c>
      <c r="D50" s="19" t="n">
        <f aca="false">D49</f>
        <v>5000</v>
      </c>
    </row>
    <row r="51" customFormat="false" ht="14.25" hidden="true" customHeight="false" outlineLevel="0" collapsed="false">
      <c r="B51" s="17" t="s">
        <v>20</v>
      </c>
      <c r="C51" s="18" t="n">
        <v>0</v>
      </c>
      <c r="D51" s="19" t="n">
        <f aca="false">D50</f>
        <v>5000</v>
      </c>
    </row>
    <row r="52" customFormat="false" ht="14.25" hidden="true" customHeight="false" outlineLevel="0" collapsed="false">
      <c r="B52" s="22" t="s">
        <v>21</v>
      </c>
      <c r="C52" s="23" t="n">
        <v>0</v>
      </c>
      <c r="D52" s="24" t="n">
        <f aca="false">D51</f>
        <v>5000</v>
      </c>
    </row>
    <row r="53" customFormat="false" ht="14.25" hidden="true" customHeight="false" outlineLevel="0" collapsed="false">
      <c r="B53" s="28"/>
      <c r="C53" s="18"/>
      <c r="D53" s="27"/>
    </row>
    <row r="54" customFormat="false" ht="14.25" hidden="true" customHeight="false" outlineLevel="0" collapsed="false">
      <c r="B54" s="28"/>
      <c r="C54" s="4" t="s">
        <v>29</v>
      </c>
      <c r="D54" s="4" t="s">
        <v>24</v>
      </c>
    </row>
    <row r="55" customFormat="false" ht="14.25" hidden="true" customHeight="false" outlineLevel="0" collapsed="false">
      <c r="B55" s="28"/>
      <c r="C55" s="4"/>
      <c r="D55" s="4"/>
    </row>
    <row r="56" customFormat="false" ht="14.25" hidden="true" customHeight="false" outlineLevel="0" collapsed="false">
      <c r="A56" s="5" t="s">
        <v>1</v>
      </c>
      <c r="B56" s="12" t="n">
        <v>2023</v>
      </c>
      <c r="C56" s="35" t="s">
        <v>27</v>
      </c>
      <c r="D56" s="34"/>
    </row>
    <row r="57" customFormat="false" ht="14.25" hidden="true" customHeight="false" outlineLevel="0" collapsed="false">
      <c r="B57" s="29" t="s">
        <v>2</v>
      </c>
      <c r="C57" s="29"/>
      <c r="D57" s="29"/>
    </row>
    <row r="58" customFormat="false" ht="46.25" hidden="true" customHeight="false" outlineLevel="0" collapsed="false">
      <c r="B58" s="8" t="s">
        <v>3</v>
      </c>
      <c r="C58" s="9" t="s">
        <v>4</v>
      </c>
      <c r="D58" s="10" t="s">
        <v>28</v>
      </c>
    </row>
    <row r="59" customFormat="false" ht="14.25" hidden="true" customHeight="false" outlineLevel="0" collapsed="false">
      <c r="B59" s="14" t="s">
        <v>10</v>
      </c>
      <c r="C59" s="15" t="n">
        <v>0</v>
      </c>
      <c r="D59" s="16" t="n">
        <v>5000</v>
      </c>
    </row>
    <row r="60" customFormat="false" ht="14.25" hidden="true" customHeight="false" outlineLevel="0" collapsed="false">
      <c r="B60" s="17" t="s">
        <v>11</v>
      </c>
      <c r="C60" s="18" t="n">
        <v>0</v>
      </c>
      <c r="D60" s="19" t="n">
        <f aca="false">D59</f>
        <v>5000</v>
      </c>
    </row>
    <row r="61" customFormat="false" ht="14.25" hidden="true" customHeight="false" outlineLevel="0" collapsed="false">
      <c r="B61" s="17" t="s">
        <v>12</v>
      </c>
      <c r="C61" s="18" t="n">
        <v>0</v>
      </c>
      <c r="D61" s="19" t="n">
        <f aca="false">D60</f>
        <v>5000</v>
      </c>
    </row>
    <row r="62" customFormat="false" ht="14.25" hidden="true" customHeight="false" outlineLevel="0" collapsed="false">
      <c r="B62" s="17" t="s">
        <v>13</v>
      </c>
      <c r="C62" s="18" t="n">
        <v>0</v>
      </c>
      <c r="D62" s="19" t="n">
        <f aca="false">D61</f>
        <v>5000</v>
      </c>
    </row>
    <row r="63" customFormat="false" ht="14.25" hidden="true" customHeight="false" outlineLevel="0" collapsed="false">
      <c r="B63" s="17" t="s">
        <v>14</v>
      </c>
      <c r="C63" s="18" t="n">
        <v>0</v>
      </c>
      <c r="D63" s="19" t="n">
        <f aca="false">D62</f>
        <v>5000</v>
      </c>
    </row>
    <row r="64" customFormat="false" ht="14.25" hidden="true" customHeight="false" outlineLevel="0" collapsed="false">
      <c r="B64" s="17" t="s">
        <v>15</v>
      </c>
      <c r="C64" s="18" t="n">
        <v>0</v>
      </c>
      <c r="D64" s="19" t="n">
        <f aca="false">D63</f>
        <v>5000</v>
      </c>
    </row>
    <row r="65" customFormat="false" ht="14.25" hidden="true" customHeight="false" outlineLevel="0" collapsed="false">
      <c r="B65" s="17" t="s">
        <v>16</v>
      </c>
      <c r="C65" s="18" t="n">
        <v>0</v>
      </c>
      <c r="D65" s="19" t="n">
        <f aca="false">D64</f>
        <v>5000</v>
      </c>
    </row>
    <row r="66" customFormat="false" ht="14.25" hidden="true" customHeight="false" outlineLevel="0" collapsed="false">
      <c r="B66" s="17" t="s">
        <v>17</v>
      </c>
      <c r="C66" s="18" t="n">
        <v>0</v>
      </c>
      <c r="D66" s="19" t="n">
        <f aca="false">D65</f>
        <v>5000</v>
      </c>
    </row>
    <row r="67" customFormat="false" ht="14.25" hidden="true" customHeight="false" outlineLevel="0" collapsed="false">
      <c r="B67" s="17" t="s">
        <v>18</v>
      </c>
      <c r="C67" s="18" t="n">
        <v>0</v>
      </c>
      <c r="D67" s="19" t="n">
        <f aca="false">D66</f>
        <v>5000</v>
      </c>
    </row>
    <row r="68" customFormat="false" ht="14.25" hidden="true" customHeight="false" outlineLevel="0" collapsed="false">
      <c r="B68" s="17" t="s">
        <v>19</v>
      </c>
      <c r="C68" s="18" t="n">
        <v>0</v>
      </c>
      <c r="D68" s="19" t="n">
        <f aca="false">D67</f>
        <v>5000</v>
      </c>
    </row>
    <row r="69" customFormat="false" ht="14.25" hidden="true" customHeight="false" outlineLevel="0" collapsed="false">
      <c r="B69" s="17" t="s">
        <v>20</v>
      </c>
      <c r="C69" s="18" t="n">
        <v>0</v>
      </c>
      <c r="D69" s="19" t="n">
        <f aca="false">D68</f>
        <v>5000</v>
      </c>
    </row>
    <row r="70" customFormat="false" ht="14.25" hidden="true" customHeight="false" outlineLevel="0" collapsed="false">
      <c r="B70" s="22" t="s">
        <v>21</v>
      </c>
      <c r="C70" s="23" t="n">
        <v>0</v>
      </c>
      <c r="D70" s="24" t="n">
        <f aca="false">D69</f>
        <v>5000</v>
      </c>
    </row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5" customFormat="false" ht="14.25" hidden="false" customHeight="false" outlineLevel="0" collapsed="false">
      <c r="C105" s="21"/>
    </row>
  </sheetData>
  <mergeCells count="4">
    <mergeCell ref="B4:D4"/>
    <mergeCell ref="B21:D21"/>
    <mergeCell ref="B39:D39"/>
    <mergeCell ref="B57:D57"/>
  </mergeCells>
  <printOptions headings="false" gridLines="false" gridLinesSet="true" horizontalCentered="false" verticalCentered="false"/>
  <pageMargins left="0.511805555555556" right="0.511805555555556" top="0.39375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5968"/>
    <pageSetUpPr fitToPage="true"/>
  </sheetPr>
  <dimension ref="A1:AU14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Y24" activeCellId="1" sqref="O2:O308 AY24"/>
    </sheetView>
  </sheetViews>
  <sheetFormatPr defaultColWidth="9.11328125" defaultRowHeight="14.25" zeroHeight="false" outlineLevelRow="1" outlineLevelCol="1"/>
  <cols>
    <col collapsed="false" customWidth="true" hidden="false" outlineLevel="0" max="1" min="1" style="36" width="5.56"/>
    <col collapsed="false" customWidth="true" hidden="false" outlineLevel="0" max="2" min="2" style="36" width="66"/>
    <col collapsed="false" customWidth="true" hidden="false" outlineLevel="0" max="3" min="3" style="36" width="1.11"/>
    <col collapsed="false" customWidth="true" hidden="true" outlineLevel="1" max="4" min="4" style="37" width="13"/>
    <col collapsed="false" customWidth="true" hidden="true" outlineLevel="1" max="5" min="5" style="38" width="8"/>
    <col collapsed="false" customWidth="true" hidden="true" outlineLevel="1" max="6" min="6" style="36" width="1"/>
    <col collapsed="false" customWidth="true" hidden="true" outlineLevel="1" max="7" min="7" style="37" width="15.67"/>
    <col collapsed="false" customWidth="true" hidden="true" outlineLevel="1" max="8" min="8" style="38" width="8.89"/>
    <col collapsed="false" customWidth="true" hidden="true" outlineLevel="1" max="9" min="9" style="36" width="1"/>
    <col collapsed="false" customWidth="true" hidden="true" outlineLevel="1" max="10" min="10" style="37" width="13.11"/>
    <col collapsed="false" customWidth="true" hidden="true" outlineLevel="1" max="11" min="11" style="38" width="7.45"/>
    <col collapsed="false" customWidth="true" hidden="true" outlineLevel="1" max="12" min="12" style="36" width="1"/>
    <col collapsed="false" customWidth="true" hidden="true" outlineLevel="1" max="13" min="13" style="37" width="13.11"/>
    <col collapsed="false" customWidth="true" hidden="true" outlineLevel="1" max="14" min="14" style="38" width="7.45"/>
    <col collapsed="false" customWidth="true" hidden="true" outlineLevel="1" max="15" min="15" style="36" width="1"/>
    <col collapsed="false" customWidth="true" hidden="true" outlineLevel="1" max="16" min="16" style="37" width="13.11"/>
    <col collapsed="false" customWidth="true" hidden="true" outlineLevel="1" max="17" min="17" style="38" width="7.45"/>
    <col collapsed="false" customWidth="true" hidden="true" outlineLevel="1" max="18" min="18" style="36" width="1"/>
    <col collapsed="false" customWidth="true" hidden="true" outlineLevel="1" max="19" min="19" style="37" width="13.11"/>
    <col collapsed="false" customWidth="true" hidden="true" outlineLevel="1" max="20" min="20" style="38" width="7.45"/>
    <col collapsed="false" customWidth="true" hidden="true" outlineLevel="1" max="21" min="21" style="36" width="1"/>
    <col collapsed="false" customWidth="true" hidden="true" outlineLevel="1" max="22" min="22" style="37" width="13.89"/>
    <col collapsed="false" customWidth="true" hidden="true" outlineLevel="1" max="23" min="23" style="38" width="7.45"/>
    <col collapsed="false" customWidth="true" hidden="true" outlineLevel="1" max="24" min="24" style="36" width="1"/>
    <col collapsed="false" customWidth="true" hidden="true" outlineLevel="1" max="25" min="25" style="37" width="12.55"/>
    <col collapsed="false" customWidth="true" hidden="true" outlineLevel="1" max="26" min="26" style="38" width="7.45"/>
    <col collapsed="false" customWidth="true" hidden="true" outlineLevel="1" max="27" min="27" style="36" width="1"/>
    <col collapsed="false" customWidth="true" hidden="true" outlineLevel="1" max="28" min="28" style="37" width="16.11"/>
    <col collapsed="false" customWidth="true" hidden="true" outlineLevel="1" max="29" min="29" style="38" width="7.45"/>
    <col collapsed="false" customWidth="true" hidden="true" outlineLevel="1" max="30" min="30" style="36" width="1"/>
    <col collapsed="false" customWidth="true" hidden="true" outlineLevel="1" max="31" min="31" style="37" width="14.34"/>
    <col collapsed="false" customWidth="true" hidden="true" outlineLevel="1" max="32" min="32" style="38" width="7.45"/>
    <col collapsed="false" customWidth="true" hidden="true" outlineLevel="1" max="33" min="33" style="36" width="1"/>
    <col collapsed="false" customWidth="true" hidden="true" outlineLevel="1" max="34" min="34" style="37" width="16.67"/>
    <col collapsed="false" customWidth="true" hidden="true" outlineLevel="1" max="35" min="35" style="38" width="7.45"/>
    <col collapsed="false" customWidth="true" hidden="true" outlineLevel="1" max="36" min="36" style="36" width="1"/>
    <col collapsed="false" customWidth="true" hidden="true" outlineLevel="1" max="37" min="37" style="37" width="16.55"/>
    <col collapsed="false" customWidth="true" hidden="true" outlineLevel="1" max="38" min="38" style="38" width="7.45"/>
    <col collapsed="false" customWidth="true" hidden="true" outlineLevel="1" max="39" min="39" style="36" width="1.11"/>
    <col collapsed="false" customWidth="true" hidden="false" outlineLevel="0" max="40" min="40" style="37" width="18"/>
    <col collapsed="false" customWidth="true" hidden="false" outlineLevel="0" max="41" min="41" style="38" width="7.45"/>
    <col collapsed="false" customWidth="true" hidden="false" outlineLevel="0" max="42" min="42" style="36" width="1"/>
    <col collapsed="false" customWidth="true" hidden="false" outlineLevel="0" max="43" min="43" style="37" width="13.11"/>
    <col collapsed="false" customWidth="true" hidden="false" outlineLevel="0" max="44" min="44" style="38" width="7.45"/>
    <col collapsed="false" customWidth="true" hidden="false" outlineLevel="0" max="45" min="45" style="36" width="1"/>
    <col collapsed="false" customWidth="true" hidden="false" outlineLevel="0" max="46" min="46" style="39" width="17.33"/>
    <col collapsed="false" customWidth="false" hidden="false" outlineLevel="0" max="16384" min="47" style="36" width="9.11"/>
  </cols>
  <sheetData>
    <row r="1" s="42" customFormat="true" ht="15" hidden="false" customHeight="true" outlineLevel="0" collapsed="false">
      <c r="A1" s="40"/>
      <c r="B1" s="41"/>
      <c r="D1" s="43" t="n">
        <f aca="false">MONTH(D3)</f>
        <v>1</v>
      </c>
      <c r="E1" s="44"/>
      <c r="G1" s="43" t="n">
        <f aca="false">MONTH(G3)</f>
        <v>2</v>
      </c>
      <c r="H1" s="44"/>
      <c r="J1" s="43" t="n">
        <f aca="false">MONTH(J3)</f>
        <v>3</v>
      </c>
      <c r="K1" s="44"/>
      <c r="M1" s="43" t="n">
        <f aca="false">MONTH(M3)</f>
        <v>4</v>
      </c>
      <c r="N1" s="44"/>
      <c r="P1" s="43" t="n">
        <f aca="false">MONTH(P3)</f>
        <v>5</v>
      </c>
      <c r="Q1" s="44"/>
      <c r="S1" s="43" t="n">
        <f aca="false">MONTH(S3)</f>
        <v>6</v>
      </c>
      <c r="T1" s="44"/>
      <c r="V1" s="43" t="n">
        <f aca="false">MONTH(V3)</f>
        <v>7</v>
      </c>
      <c r="W1" s="44"/>
      <c r="Y1" s="43" t="n">
        <f aca="false">MONTH(Y3)</f>
        <v>8</v>
      </c>
      <c r="Z1" s="44"/>
      <c r="AB1" s="43" t="n">
        <f aca="false">MONTH(AB3)</f>
        <v>9</v>
      </c>
      <c r="AC1" s="44"/>
      <c r="AE1" s="43" t="n">
        <f aca="false">MONTH(AE3)</f>
        <v>10</v>
      </c>
      <c r="AF1" s="44"/>
      <c r="AH1" s="43" t="n">
        <f aca="false">MONTH(AH3)</f>
        <v>11</v>
      </c>
      <c r="AI1" s="44"/>
      <c r="AK1" s="43" t="n">
        <f aca="false">MONTH(AK3)</f>
        <v>12</v>
      </c>
      <c r="AL1" s="44"/>
      <c r="AN1" s="43"/>
      <c r="AO1" s="44"/>
      <c r="AQ1" s="43"/>
      <c r="AR1" s="45" t="n">
        <v>12</v>
      </c>
      <c r="AT1" s="46"/>
    </row>
    <row r="2" s="42" customFormat="true" ht="15" hidden="false" customHeight="true" outlineLevel="0" collapsed="false">
      <c r="A2" s="40"/>
      <c r="B2" s="47" t="s">
        <v>30</v>
      </c>
      <c r="D2" s="43" t="n">
        <f aca="false">YEAR(D3)</f>
        <v>2019</v>
      </c>
      <c r="E2" s="44"/>
      <c r="G2" s="43" t="n">
        <f aca="false">YEAR(G3)</f>
        <v>2019</v>
      </c>
      <c r="H2" s="44"/>
      <c r="J2" s="43" t="n">
        <f aca="false">YEAR(J3)</f>
        <v>2019</v>
      </c>
      <c r="K2" s="44"/>
      <c r="M2" s="43" t="n">
        <f aca="false">YEAR(M3)</f>
        <v>2019</v>
      </c>
      <c r="N2" s="44"/>
      <c r="P2" s="43" t="n">
        <f aca="false">YEAR(P3)</f>
        <v>2019</v>
      </c>
      <c r="Q2" s="44"/>
      <c r="S2" s="43" t="n">
        <f aca="false">YEAR(S3)</f>
        <v>2019</v>
      </c>
      <c r="T2" s="44"/>
      <c r="V2" s="43" t="n">
        <f aca="false">YEAR(V3)</f>
        <v>2019</v>
      </c>
      <c r="W2" s="44"/>
      <c r="Y2" s="43" t="n">
        <f aca="false">YEAR(Y3)</f>
        <v>2019</v>
      </c>
      <c r="Z2" s="44"/>
      <c r="AB2" s="43" t="n">
        <f aca="false">YEAR(AB3)</f>
        <v>2019</v>
      </c>
      <c r="AC2" s="44"/>
      <c r="AE2" s="43" t="n">
        <f aca="false">YEAR(AE3)</f>
        <v>2019</v>
      </c>
      <c r="AF2" s="44"/>
      <c r="AH2" s="43" t="n">
        <f aca="false">YEAR(AH3)</f>
        <v>2019</v>
      </c>
      <c r="AI2" s="44"/>
      <c r="AK2" s="43" t="n">
        <f aca="false">YEAR(AK3)</f>
        <v>2019</v>
      </c>
      <c r="AL2" s="44"/>
      <c r="AN2" s="43"/>
      <c r="AO2" s="44"/>
      <c r="AQ2" s="43"/>
      <c r="AR2" s="45"/>
      <c r="AT2" s="46"/>
    </row>
    <row r="3" customFormat="false" ht="18.75" hidden="false" customHeight="true" outlineLevel="0" collapsed="false">
      <c r="B3" s="48"/>
      <c r="C3" s="49"/>
      <c r="D3" s="50" t="n">
        <v>43466</v>
      </c>
      <c r="E3" s="51" t="s">
        <v>31</v>
      </c>
      <c r="F3" s="49"/>
      <c r="G3" s="50" t="n">
        <f aca="false">D3+31</f>
        <v>43497</v>
      </c>
      <c r="H3" s="51" t="s">
        <v>31</v>
      </c>
      <c r="I3" s="49"/>
      <c r="J3" s="50" t="n">
        <f aca="false">G3+31</f>
        <v>43528</v>
      </c>
      <c r="K3" s="51" t="s">
        <v>31</v>
      </c>
      <c r="L3" s="49"/>
      <c r="M3" s="50" t="n">
        <f aca="false">J3+31</f>
        <v>43559</v>
      </c>
      <c r="N3" s="51" t="s">
        <v>31</v>
      </c>
      <c r="O3" s="49"/>
      <c r="P3" s="50" t="n">
        <f aca="false">M3+31</f>
        <v>43590</v>
      </c>
      <c r="Q3" s="51" t="s">
        <v>31</v>
      </c>
      <c r="R3" s="49"/>
      <c r="S3" s="50" t="n">
        <f aca="false">P3+31</f>
        <v>43621</v>
      </c>
      <c r="T3" s="51" t="s">
        <v>31</v>
      </c>
      <c r="U3" s="49"/>
      <c r="V3" s="50" t="n">
        <f aca="false">S3+31</f>
        <v>43652</v>
      </c>
      <c r="W3" s="51" t="s">
        <v>31</v>
      </c>
      <c r="X3" s="49"/>
      <c r="Y3" s="50" t="n">
        <f aca="false">V3+31</f>
        <v>43683</v>
      </c>
      <c r="Z3" s="51" t="s">
        <v>31</v>
      </c>
      <c r="AA3" s="49"/>
      <c r="AB3" s="50" t="n">
        <f aca="false">Y3+31</f>
        <v>43714</v>
      </c>
      <c r="AC3" s="51" t="s">
        <v>31</v>
      </c>
      <c r="AD3" s="49"/>
      <c r="AE3" s="50" t="n">
        <f aca="false">AB3+31</f>
        <v>43745</v>
      </c>
      <c r="AF3" s="51" t="s">
        <v>31</v>
      </c>
      <c r="AG3" s="49"/>
      <c r="AH3" s="50" t="n">
        <f aca="false">AE3+31</f>
        <v>43776</v>
      </c>
      <c r="AI3" s="51" t="s">
        <v>31</v>
      </c>
      <c r="AJ3" s="49"/>
      <c r="AK3" s="50" t="n">
        <f aca="false">AH3+31</f>
        <v>43807</v>
      </c>
      <c r="AL3" s="51" t="s">
        <v>31</v>
      </c>
      <c r="AM3" s="49"/>
      <c r="AN3" s="52" t="s">
        <v>32</v>
      </c>
      <c r="AO3" s="53" t="s">
        <v>31</v>
      </c>
      <c r="AP3" s="49"/>
      <c r="AQ3" s="54" t="s">
        <v>33</v>
      </c>
      <c r="AR3" s="55" t="s">
        <v>31</v>
      </c>
      <c r="AS3" s="49"/>
      <c r="AT3" s="56" t="s">
        <v>34</v>
      </c>
    </row>
    <row r="4" s="57" customFormat="true" ht="18.75" hidden="false" customHeight="true" outlineLevel="0" collapsed="false">
      <c r="B4" s="48"/>
      <c r="C4" s="58"/>
      <c r="D4" s="59"/>
      <c r="E4" s="60"/>
      <c r="F4" s="58"/>
      <c r="G4" s="59"/>
      <c r="H4" s="60"/>
      <c r="I4" s="58"/>
      <c r="J4" s="59"/>
      <c r="K4" s="60"/>
      <c r="L4" s="58"/>
      <c r="M4" s="59"/>
      <c r="N4" s="60"/>
      <c r="O4" s="58"/>
      <c r="P4" s="59"/>
      <c r="Q4" s="60"/>
      <c r="R4" s="58"/>
      <c r="S4" s="59"/>
      <c r="T4" s="60"/>
      <c r="U4" s="58"/>
      <c r="V4" s="59"/>
      <c r="W4" s="60"/>
      <c r="X4" s="58"/>
      <c r="Y4" s="59"/>
      <c r="Z4" s="60"/>
      <c r="AA4" s="58"/>
      <c r="AB4" s="59"/>
      <c r="AC4" s="60"/>
      <c r="AD4" s="58"/>
      <c r="AE4" s="59"/>
      <c r="AF4" s="60"/>
      <c r="AG4" s="58"/>
      <c r="AH4" s="59"/>
      <c r="AI4" s="60"/>
      <c r="AJ4" s="58"/>
      <c r="AK4" s="59"/>
      <c r="AL4" s="60"/>
      <c r="AM4" s="58"/>
      <c r="AN4" s="59"/>
      <c r="AO4" s="60"/>
      <c r="AP4" s="58"/>
      <c r="AQ4" s="61"/>
      <c r="AR4" s="60"/>
      <c r="AS4" s="58"/>
      <c r="AT4" s="62"/>
    </row>
    <row r="5" s="63" customFormat="true" ht="17.35" hidden="false" customHeight="false" outlineLevel="0" collapsed="false">
      <c r="B5" s="64" t="s">
        <v>35</v>
      </c>
      <c r="C5" s="65"/>
      <c r="D5" s="66" t="n">
        <f aca="false">SUM(D6:D7)</f>
        <v>0</v>
      </c>
      <c r="E5" s="67" t="n">
        <f aca="false">IFERROR(D5/D$5,0)</f>
        <v>0</v>
      </c>
      <c r="F5" s="65"/>
      <c r="G5" s="66" t="n">
        <f aca="false">SUM(G6:G7)</f>
        <v>0</v>
      </c>
      <c r="H5" s="67" t="n">
        <f aca="false">IFERROR(G5/G$5,0)</f>
        <v>0</v>
      </c>
      <c r="I5" s="65"/>
      <c r="J5" s="66" t="n">
        <f aca="false">SUM(J6:J7)</f>
        <v>0</v>
      </c>
      <c r="K5" s="67" t="n">
        <f aca="false">IFERROR(J5/J$5,0)</f>
        <v>0</v>
      </c>
      <c r="L5" s="65"/>
      <c r="M5" s="66" t="n">
        <f aca="false">SUM(M6:M7)</f>
        <v>0</v>
      </c>
      <c r="N5" s="67" t="n">
        <f aca="false">IFERROR(M5/M$5,0)</f>
        <v>0</v>
      </c>
      <c r="O5" s="65"/>
      <c r="P5" s="66" t="n">
        <f aca="false">SUM(P6:P7)</f>
        <v>0</v>
      </c>
      <c r="Q5" s="67" t="n">
        <f aca="false">IFERROR(P5/P$5,0)</f>
        <v>0</v>
      </c>
      <c r="R5" s="65"/>
      <c r="S5" s="66" t="n">
        <f aca="false">SUM(S6:S7)</f>
        <v>0</v>
      </c>
      <c r="T5" s="67" t="n">
        <f aca="false">IFERROR(S5/S$5,0)</f>
        <v>0</v>
      </c>
      <c r="U5" s="65"/>
      <c r="V5" s="66" t="n">
        <f aca="false">SUM(V6:V7)</f>
        <v>0</v>
      </c>
      <c r="W5" s="67" t="n">
        <f aca="false">IFERROR(V5/V$5,0)</f>
        <v>0</v>
      </c>
      <c r="X5" s="65"/>
      <c r="Y5" s="66" t="n">
        <f aca="false">SUM(Y6:Y7)</f>
        <v>0</v>
      </c>
      <c r="Z5" s="67" t="n">
        <f aca="false">IFERROR(Y5/Y$5,0)</f>
        <v>0</v>
      </c>
      <c r="AA5" s="65"/>
      <c r="AB5" s="66" t="n">
        <f aca="false">SUM(AB6:AB7)</f>
        <v>0</v>
      </c>
      <c r="AC5" s="67" t="n">
        <f aca="false">IFERROR(AB5/AB$5,0)</f>
        <v>0</v>
      </c>
      <c r="AD5" s="65"/>
      <c r="AE5" s="66" t="n">
        <f aca="false">SUM(AE6:AE7)</f>
        <v>0</v>
      </c>
      <c r="AF5" s="67" t="n">
        <f aca="false">IFERROR(AE5/AE$5,0)</f>
        <v>0</v>
      </c>
      <c r="AG5" s="65"/>
      <c r="AH5" s="66" t="n">
        <f aca="false">SUM(AH6:AH7)</f>
        <v>0</v>
      </c>
      <c r="AI5" s="67" t="n">
        <f aca="false">IFERROR(AH5/AH$5,0)</f>
        <v>0</v>
      </c>
      <c r="AJ5" s="65"/>
      <c r="AK5" s="66" t="n">
        <f aca="false">SUM(AK6:AK7)</f>
        <v>0</v>
      </c>
      <c r="AL5" s="67" t="n">
        <f aca="false">IFERROR(AK5/AK$5,0)</f>
        <v>0</v>
      </c>
      <c r="AM5" s="65"/>
      <c r="AN5" s="68" t="n">
        <f aca="false">SUM(AN6:AN7)</f>
        <v>0</v>
      </c>
      <c r="AO5" s="69" t="n">
        <f aca="false">IFERROR(AN5/AN$5,0)</f>
        <v>0</v>
      </c>
      <c r="AP5" s="65"/>
      <c r="AQ5" s="70" t="n">
        <f aca="false">SUM(AQ6:AQ7)</f>
        <v>0</v>
      </c>
      <c r="AR5" s="71" t="n">
        <f aca="false">IFERROR(AQ5/AQ$5,0)</f>
        <v>0</v>
      </c>
      <c r="AS5" s="65"/>
      <c r="AT5" s="72" t="n">
        <v>1</v>
      </c>
    </row>
    <row r="6" s="63" customFormat="true" ht="14.25" hidden="false" customHeight="false" outlineLevel="0" collapsed="false">
      <c r="B6" s="73" t="s">
        <v>36</v>
      </c>
      <c r="C6" s="74"/>
      <c r="D6" s="75" t="n">
        <f aca="false">SUMIFS('Dados Mov Financeira'!$N:$N,'Dados Mov Financeira'!$O:$O,'DRE 2019'!$B6,'Dados Mov Financeira'!$A:$A,'DRE 2019'!D$1)</f>
        <v>0</v>
      </c>
      <c r="E6" s="76" t="n">
        <f aca="false">IFERROR(D6/D$5,0)</f>
        <v>0</v>
      </c>
      <c r="F6" s="74"/>
      <c r="G6" s="75" t="n">
        <f aca="false">SUMIFS('Dados Mov Financeira'!$N:$N,'Dados Mov Financeira'!$O:$O,'DRE 2019'!$B6,'Dados Mov Financeira'!$A:$A,'DRE 2019'!G$1)</f>
        <v>0</v>
      </c>
      <c r="H6" s="76" t="n">
        <f aca="false">IFERROR(G6/G$5,0)</f>
        <v>0</v>
      </c>
      <c r="I6" s="74"/>
      <c r="J6" s="75" t="n">
        <f aca="false">SUMIFS('Dados Mov Financeira'!$N:$N,'Dados Mov Financeira'!$O:$O,'DRE 2019'!$B6,'Dados Mov Financeira'!$A:$A,'DRE 2019'!J$1)</f>
        <v>0</v>
      </c>
      <c r="K6" s="76" t="n">
        <f aca="false">IFERROR(J6/J$5,0)</f>
        <v>0</v>
      </c>
      <c r="L6" s="74"/>
      <c r="M6" s="75" t="n">
        <f aca="false">SUMIFS('Dados Mov Financeira'!$N:$N,'Dados Mov Financeira'!$O:$O,'DRE 2019'!$B6,'Dados Mov Financeira'!$A:$A,'DRE 2019'!M$1)</f>
        <v>0</v>
      </c>
      <c r="N6" s="76" t="n">
        <f aca="false">IFERROR(M6/M$5,0)</f>
        <v>0</v>
      </c>
      <c r="O6" s="74"/>
      <c r="P6" s="75" t="n">
        <f aca="false">SUMIFS('Dados Mov Financeira'!$N:$N,'Dados Mov Financeira'!$O:$O,'DRE 2019'!$B6,'Dados Mov Financeira'!$A:$A,'DRE 2019'!P$1)</f>
        <v>0</v>
      </c>
      <c r="Q6" s="76" t="n">
        <f aca="false">IFERROR(P6/P$5,0)</f>
        <v>0</v>
      </c>
      <c r="R6" s="74"/>
      <c r="S6" s="75" t="n">
        <f aca="false">SUMIFS('Dados Mov Financeira'!$N:$N,'Dados Mov Financeira'!$O:$O,'DRE 2019'!$B6,'Dados Mov Financeira'!$A:$A,'DRE 2019'!S$1)</f>
        <v>0</v>
      </c>
      <c r="T6" s="76" t="n">
        <f aca="false">IFERROR(S6/S$5,0)</f>
        <v>0</v>
      </c>
      <c r="U6" s="74"/>
      <c r="V6" s="75" t="n">
        <f aca="false">SUMIFS('Dados Mov Financeira'!$N:$N,'Dados Mov Financeira'!$O:$O,'DRE 2019'!$B6,'Dados Mov Financeira'!$A:$A,'DRE 2019'!V$1)</f>
        <v>0</v>
      </c>
      <c r="W6" s="76" t="n">
        <f aca="false">IFERROR(V6/V$5,0)</f>
        <v>0</v>
      </c>
      <c r="X6" s="74"/>
      <c r="Y6" s="75" t="n">
        <f aca="false">SUMIFS('Dados Mov Financeira'!$N:$N,'Dados Mov Financeira'!$O:$O,'DRE 2019'!$B6,'Dados Mov Financeira'!$A:$A,'DRE 2019'!Y$1)</f>
        <v>0</v>
      </c>
      <c r="Z6" s="76" t="n">
        <f aca="false">IFERROR(Y6/Y$5,0)</f>
        <v>0</v>
      </c>
      <c r="AA6" s="74"/>
      <c r="AB6" s="75" t="n">
        <f aca="false">SUMIFS('Dados Mov Financeira'!$N:$N,'Dados Mov Financeira'!$O:$O,'DRE 2019'!$B6,'Dados Mov Financeira'!$A:$A,'DRE 2019'!AB$1)</f>
        <v>0</v>
      </c>
      <c r="AC6" s="76" t="n">
        <f aca="false">IFERROR(AB6/AB$5,0)</f>
        <v>0</v>
      </c>
      <c r="AD6" s="74"/>
      <c r="AE6" s="75" t="n">
        <f aca="false">SUMIFS('Dados Mov Financeira'!$N:$N,'Dados Mov Financeira'!$O:$O,'DRE 2019'!$B6,'Dados Mov Financeira'!$A:$A,'DRE 2019'!AE$1)</f>
        <v>0</v>
      </c>
      <c r="AF6" s="76" t="n">
        <f aca="false">IFERROR(AE6/AE$5,0)</f>
        <v>0</v>
      </c>
      <c r="AG6" s="74"/>
      <c r="AH6" s="75" t="n">
        <f aca="false">SUMIFS('Dados Mov Financeira'!$N:$N,'Dados Mov Financeira'!$O:$O,'DRE 2019'!$B6,'Dados Mov Financeira'!$A:$A,'DRE 2019'!AH$1)</f>
        <v>0</v>
      </c>
      <c r="AI6" s="76" t="n">
        <f aca="false">IFERROR(AH6/AH$5,0)</f>
        <v>0</v>
      </c>
      <c r="AJ6" s="74"/>
      <c r="AK6" s="75" t="n">
        <f aca="false">SUMIFS('Dados Mov Financeira'!$N:$N,'Dados Mov Financeira'!$O:$O,'DRE 2019'!$B6,'Dados Mov Financeira'!$A:$A,'DRE 2019'!AK$1)</f>
        <v>0</v>
      </c>
      <c r="AL6" s="76" t="n">
        <f aca="false">IFERROR(AK6/AK$5,0)</f>
        <v>0</v>
      </c>
      <c r="AM6" s="74"/>
      <c r="AN6" s="75" t="n">
        <f aca="false">SUM(D6,G6,J6,M6,P6,S6,V6,Y6,AB6,AE6,AH6,AK6)</f>
        <v>0</v>
      </c>
      <c r="AO6" s="76" t="n">
        <f aca="false">IFERROR(AN6/AN$5,0)</f>
        <v>0</v>
      </c>
      <c r="AP6" s="74"/>
      <c r="AQ6" s="77" t="n">
        <f aca="false">AN6/$AR$1</f>
        <v>0</v>
      </c>
      <c r="AR6" s="76" t="n">
        <f aca="false">IFERROR(AQ6/AQ$5,0)</f>
        <v>0</v>
      </c>
      <c r="AS6" s="74"/>
      <c r="AT6" s="78" t="n">
        <v>1</v>
      </c>
    </row>
    <row r="7" s="63" customFormat="true" ht="14.25" hidden="false" customHeight="false" outlineLevel="0" collapsed="false">
      <c r="B7" s="73" t="s">
        <v>37</v>
      </c>
      <c r="C7" s="74"/>
      <c r="D7" s="75" t="n">
        <f aca="false">SUMIFS('Dados Mov Financeira'!$N:$N,'Dados Mov Financeira'!$O:$O,'DRE 2019'!$B7,'Dados Mov Financeira'!$A:$A,'DRE 2019'!D$1)</f>
        <v>0</v>
      </c>
      <c r="E7" s="76" t="n">
        <f aca="false">IFERROR(D7/D$5,0)</f>
        <v>0</v>
      </c>
      <c r="F7" s="74"/>
      <c r="G7" s="75" t="n">
        <f aca="false">SUMIFS('Dados Mov Financeira'!$N:$N,'Dados Mov Financeira'!$O:$O,'DRE 2019'!$B7,'Dados Mov Financeira'!$A:$A,'DRE 2019'!G$1)</f>
        <v>0</v>
      </c>
      <c r="H7" s="76" t="n">
        <f aca="false">IFERROR(G7/G$5,0)</f>
        <v>0</v>
      </c>
      <c r="I7" s="74"/>
      <c r="J7" s="75" t="n">
        <f aca="false">SUMIFS('Dados Mov Financeira'!$N:$N,'Dados Mov Financeira'!$O:$O,'DRE 2019'!$B7,'Dados Mov Financeira'!$A:$A,'DRE 2019'!J$1)</f>
        <v>0</v>
      </c>
      <c r="K7" s="76" t="n">
        <f aca="false">IFERROR(J7/J$5,0)</f>
        <v>0</v>
      </c>
      <c r="L7" s="74"/>
      <c r="M7" s="75" t="n">
        <f aca="false">SUMIFS('Dados Mov Financeira'!$N:$N,'Dados Mov Financeira'!$O:$O,'DRE 2019'!$B7,'Dados Mov Financeira'!$A:$A,'DRE 2019'!M$1)</f>
        <v>0</v>
      </c>
      <c r="N7" s="76" t="n">
        <f aca="false">IFERROR(M7/M$5,0)</f>
        <v>0</v>
      </c>
      <c r="O7" s="74"/>
      <c r="P7" s="75" t="n">
        <f aca="false">SUMIFS('Dados Mov Financeira'!$N:$N,'Dados Mov Financeira'!$O:$O,'DRE 2019'!$B7,'Dados Mov Financeira'!$A:$A,'DRE 2019'!P$1)</f>
        <v>0</v>
      </c>
      <c r="Q7" s="76" t="n">
        <f aca="false">IFERROR(P7/P$5,0)</f>
        <v>0</v>
      </c>
      <c r="R7" s="74"/>
      <c r="S7" s="75" t="n">
        <f aca="false">SUMIFS('Dados Mov Financeira'!$N:$N,'Dados Mov Financeira'!$O:$O,'DRE 2019'!$B7,'Dados Mov Financeira'!$A:$A,'DRE 2019'!S$1)</f>
        <v>0</v>
      </c>
      <c r="T7" s="76" t="n">
        <f aca="false">IFERROR(S7/S$5,0)</f>
        <v>0</v>
      </c>
      <c r="U7" s="74"/>
      <c r="V7" s="75" t="n">
        <f aca="false">SUMIFS('Dados Mov Financeira'!$N:$N,'Dados Mov Financeira'!$O:$O,'DRE 2019'!$B7,'Dados Mov Financeira'!$A:$A,'DRE 2019'!V$1)</f>
        <v>0</v>
      </c>
      <c r="W7" s="76" t="n">
        <f aca="false">IFERROR(V7/V$5,0)</f>
        <v>0</v>
      </c>
      <c r="X7" s="74"/>
      <c r="Y7" s="75" t="n">
        <f aca="false">SUMIFS('Dados Mov Financeira'!$N:$N,'Dados Mov Financeira'!$O:$O,'DRE 2019'!$B7,'Dados Mov Financeira'!$A:$A,'DRE 2019'!Y$1)</f>
        <v>0</v>
      </c>
      <c r="Z7" s="76" t="n">
        <f aca="false">IFERROR(Y7/Y$5,0)</f>
        <v>0</v>
      </c>
      <c r="AA7" s="74"/>
      <c r="AB7" s="75" t="n">
        <f aca="false">SUMIFS('Dados Mov Financeira'!$N:$N,'Dados Mov Financeira'!$O:$O,'DRE 2019'!$B7,'Dados Mov Financeira'!$A:$A,'DRE 2019'!AB$1)</f>
        <v>0</v>
      </c>
      <c r="AC7" s="76" t="n">
        <f aca="false">IFERROR(AB7/AB$5,0)</f>
        <v>0</v>
      </c>
      <c r="AD7" s="74"/>
      <c r="AE7" s="75" t="n">
        <f aca="false">SUMIFS('Dados Mov Financeira'!$N:$N,'Dados Mov Financeira'!$O:$O,'DRE 2019'!$B7,'Dados Mov Financeira'!$A:$A,'DRE 2019'!AE$1)</f>
        <v>0</v>
      </c>
      <c r="AF7" s="76" t="n">
        <f aca="false">IFERROR(AE7/AE$5,0)</f>
        <v>0</v>
      </c>
      <c r="AG7" s="74"/>
      <c r="AH7" s="75" t="n">
        <f aca="false">SUMIFS('Dados Mov Financeira'!$N:$N,'Dados Mov Financeira'!$O:$O,'DRE 2019'!$B7,'Dados Mov Financeira'!$A:$A,'DRE 2019'!AH$1)</f>
        <v>0</v>
      </c>
      <c r="AI7" s="76" t="n">
        <f aca="false">IFERROR(AH7/AH$5,0)</f>
        <v>0</v>
      </c>
      <c r="AJ7" s="74"/>
      <c r="AK7" s="75" t="n">
        <f aca="false">SUMIFS('Dados Mov Financeira'!$N:$N,'Dados Mov Financeira'!$O:$O,'DRE 2019'!$B7,'Dados Mov Financeira'!$A:$A,'DRE 2019'!AK$1)</f>
        <v>0</v>
      </c>
      <c r="AL7" s="76" t="n">
        <f aca="false">IFERROR(AK7/AK$5,0)</f>
        <v>0</v>
      </c>
      <c r="AM7" s="74"/>
      <c r="AN7" s="75" t="n">
        <f aca="false">SUM(D7,G7,J7,M7,P7,S7,V7,Y7,AB7,AE7,AH7,AK7)</f>
        <v>0</v>
      </c>
      <c r="AO7" s="76" t="n">
        <f aca="false">IFERROR(AN7/AN$5,0)</f>
        <v>0</v>
      </c>
      <c r="AP7" s="74"/>
      <c r="AQ7" s="77" t="n">
        <f aca="false">AN7/$AR$1</f>
        <v>0</v>
      </c>
      <c r="AR7" s="76" t="n">
        <f aca="false">IFERROR(AQ7/AQ$5,0)</f>
        <v>0</v>
      </c>
      <c r="AS7" s="74"/>
      <c r="AT7" s="78" t="n">
        <v>1</v>
      </c>
    </row>
    <row r="8" s="57" customFormat="true" ht="7.5" hidden="false" customHeight="true" outlineLevel="0" collapsed="false">
      <c r="B8" s="48"/>
      <c r="C8" s="58"/>
      <c r="D8" s="59"/>
      <c r="E8" s="60"/>
      <c r="F8" s="58"/>
      <c r="G8" s="59"/>
      <c r="H8" s="60"/>
      <c r="I8" s="58"/>
      <c r="J8" s="59"/>
      <c r="K8" s="60"/>
      <c r="L8" s="58"/>
      <c r="M8" s="59"/>
      <c r="N8" s="60"/>
      <c r="O8" s="58"/>
      <c r="P8" s="59"/>
      <c r="Q8" s="60"/>
      <c r="R8" s="58"/>
      <c r="S8" s="59"/>
      <c r="T8" s="60"/>
      <c r="U8" s="58"/>
      <c r="V8" s="59"/>
      <c r="W8" s="60"/>
      <c r="X8" s="58"/>
      <c r="Y8" s="59"/>
      <c r="Z8" s="60"/>
      <c r="AA8" s="58"/>
      <c r="AB8" s="59"/>
      <c r="AC8" s="60"/>
      <c r="AD8" s="58"/>
      <c r="AE8" s="59"/>
      <c r="AF8" s="60"/>
      <c r="AG8" s="58"/>
      <c r="AH8" s="59"/>
      <c r="AI8" s="60"/>
      <c r="AJ8" s="58"/>
      <c r="AK8" s="59"/>
      <c r="AL8" s="60"/>
      <c r="AM8" s="58"/>
      <c r="AN8" s="59"/>
      <c r="AO8" s="60"/>
      <c r="AP8" s="58"/>
      <c r="AQ8" s="61"/>
      <c r="AR8" s="60"/>
      <c r="AS8" s="58"/>
      <c r="AT8" s="62"/>
    </row>
    <row r="9" s="63" customFormat="true" ht="17.35" hidden="false" customHeight="false" outlineLevel="0" collapsed="false">
      <c r="A9" s="36"/>
      <c r="B9" s="79" t="s">
        <v>38</v>
      </c>
      <c r="D9" s="80" t="n">
        <f aca="false">D10+D15</f>
        <v>0</v>
      </c>
      <c r="E9" s="81" t="n">
        <f aca="false">IFERROR(D9/D$5,0)</f>
        <v>0</v>
      </c>
      <c r="G9" s="80" t="n">
        <f aca="false">G10+G15</f>
        <v>0</v>
      </c>
      <c r="H9" s="81" t="n">
        <f aca="false">IFERROR(G9/G$5,0)</f>
        <v>0</v>
      </c>
      <c r="J9" s="80" t="n">
        <f aca="false">J10+J15</f>
        <v>0</v>
      </c>
      <c r="K9" s="81" t="n">
        <f aca="false">IFERROR(J9/J$5,0)</f>
        <v>0</v>
      </c>
      <c r="M9" s="80" t="n">
        <f aca="false">M10+M15</f>
        <v>0</v>
      </c>
      <c r="N9" s="81" t="n">
        <f aca="false">IFERROR(M9/M$5,0)</f>
        <v>0</v>
      </c>
      <c r="P9" s="80" t="n">
        <f aca="false">P10+P15</f>
        <v>0</v>
      </c>
      <c r="Q9" s="81" t="n">
        <f aca="false">IFERROR(P9/P$5,0)</f>
        <v>0</v>
      </c>
      <c r="S9" s="80" t="n">
        <f aca="false">S10+S15</f>
        <v>0</v>
      </c>
      <c r="T9" s="81" t="n">
        <f aca="false">IFERROR(S9/S$5,0)</f>
        <v>0</v>
      </c>
      <c r="V9" s="80" t="n">
        <f aca="false">V10+V15</f>
        <v>0</v>
      </c>
      <c r="W9" s="81" t="n">
        <f aca="false">IFERROR(V9/V$5,0)</f>
        <v>0</v>
      </c>
      <c r="Y9" s="80" t="n">
        <f aca="false">Y10+Y15</f>
        <v>0</v>
      </c>
      <c r="Z9" s="81" t="n">
        <f aca="false">IFERROR(Y9/Y$5,0)</f>
        <v>0</v>
      </c>
      <c r="AB9" s="80" t="n">
        <f aca="false">AB10+AB15</f>
        <v>0</v>
      </c>
      <c r="AC9" s="81" t="n">
        <f aca="false">IFERROR(AB9/AB$5,0)</f>
        <v>0</v>
      </c>
      <c r="AE9" s="80" t="n">
        <f aca="false">AE10+AE15</f>
        <v>0</v>
      </c>
      <c r="AF9" s="81" t="n">
        <f aca="false">IFERROR(AE9/AE$5,0)</f>
        <v>0</v>
      </c>
      <c r="AH9" s="80" t="n">
        <f aca="false">AH10+AH15</f>
        <v>0</v>
      </c>
      <c r="AI9" s="81" t="n">
        <f aca="false">IFERROR(AH9/AH$5,0)</f>
        <v>0</v>
      </c>
      <c r="AK9" s="80" t="n">
        <f aca="false">AK10+AK15</f>
        <v>0</v>
      </c>
      <c r="AL9" s="81" t="n">
        <f aca="false">IFERROR(AK9/AK$5,0)</f>
        <v>0</v>
      </c>
      <c r="AN9" s="80" t="n">
        <f aca="false">AN10+AN15</f>
        <v>0</v>
      </c>
      <c r="AO9" s="81" t="n">
        <f aca="false">IFERROR(AN9/AN$5,0)</f>
        <v>0</v>
      </c>
      <c r="AQ9" s="82" t="n">
        <f aca="false">AQ10+AQ15</f>
        <v>0</v>
      </c>
      <c r="AR9" s="83" t="n">
        <f aca="false">IFERROR(AQ9/AQ$5,0)</f>
        <v>0</v>
      </c>
      <c r="AT9" s="84" t="n">
        <f aca="false">SUM(AT10:AT15)</f>
        <v>-0.0665</v>
      </c>
    </row>
    <row r="10" s="63" customFormat="true" ht="14.25" hidden="false" customHeight="false" outlineLevel="0" collapsed="false">
      <c r="B10" s="85" t="s">
        <v>39</v>
      </c>
      <c r="C10" s="86"/>
      <c r="D10" s="87" t="n">
        <f aca="false">SUM(D11:D14)</f>
        <v>0</v>
      </c>
      <c r="E10" s="88" t="n">
        <f aca="false">IFERROR(D10/D$5,0)</f>
        <v>0</v>
      </c>
      <c r="F10" s="86"/>
      <c r="G10" s="87" t="n">
        <f aca="false">SUM(G11:G14)</f>
        <v>0</v>
      </c>
      <c r="H10" s="88" t="n">
        <f aca="false">IFERROR(G10/G$5,0)</f>
        <v>0</v>
      </c>
      <c r="I10" s="86"/>
      <c r="J10" s="87" t="n">
        <f aca="false">SUM(J11:J14)</f>
        <v>0</v>
      </c>
      <c r="K10" s="88" t="n">
        <f aca="false">IFERROR(J10/J$5,0)</f>
        <v>0</v>
      </c>
      <c r="L10" s="86"/>
      <c r="M10" s="87" t="n">
        <f aca="false">SUM(M11:M14)</f>
        <v>0</v>
      </c>
      <c r="N10" s="88" t="n">
        <f aca="false">IFERROR(M10/M$5,0)</f>
        <v>0</v>
      </c>
      <c r="O10" s="86"/>
      <c r="P10" s="87" t="n">
        <f aca="false">SUM(P11:P14)</f>
        <v>0</v>
      </c>
      <c r="Q10" s="88" t="n">
        <f aca="false">IFERROR(P10/P$5,0)</f>
        <v>0</v>
      </c>
      <c r="R10" s="86"/>
      <c r="S10" s="87" t="n">
        <f aca="false">SUM(S11:S14)</f>
        <v>0</v>
      </c>
      <c r="T10" s="88" t="n">
        <f aca="false">IFERROR(S10/S$5,0)</f>
        <v>0</v>
      </c>
      <c r="U10" s="86"/>
      <c r="V10" s="87" t="n">
        <f aca="false">SUM(V11:V14)</f>
        <v>0</v>
      </c>
      <c r="W10" s="88" t="n">
        <f aca="false">IFERROR(V10/V$5,0)</f>
        <v>0</v>
      </c>
      <c r="X10" s="86"/>
      <c r="Y10" s="87" t="n">
        <f aca="false">SUM(Y11:Y14)</f>
        <v>0</v>
      </c>
      <c r="Z10" s="88" t="n">
        <f aca="false">IFERROR(Y10/Y$5,0)</f>
        <v>0</v>
      </c>
      <c r="AA10" s="86"/>
      <c r="AB10" s="87" t="n">
        <f aca="false">SUM(AB11:AB14)</f>
        <v>0</v>
      </c>
      <c r="AC10" s="88" t="n">
        <f aca="false">IFERROR(AB10/AB$5,0)</f>
        <v>0</v>
      </c>
      <c r="AD10" s="86"/>
      <c r="AE10" s="87" t="n">
        <f aca="false">SUM(AE11:AE14)</f>
        <v>0</v>
      </c>
      <c r="AF10" s="88" t="n">
        <f aca="false">IFERROR(AE10/AE$5,0)</f>
        <v>0</v>
      </c>
      <c r="AG10" s="86"/>
      <c r="AH10" s="87" t="n">
        <f aca="false">SUM(AH11:AH14)</f>
        <v>0</v>
      </c>
      <c r="AI10" s="88" t="n">
        <f aca="false">IFERROR(AH10/AH$5,0)</f>
        <v>0</v>
      </c>
      <c r="AJ10" s="86"/>
      <c r="AK10" s="87" t="n">
        <f aca="false">SUM(AK11:AK14)</f>
        <v>0</v>
      </c>
      <c r="AL10" s="88" t="n">
        <f aca="false">IFERROR(AK10/AK$5,0)</f>
        <v>0</v>
      </c>
      <c r="AM10" s="86"/>
      <c r="AN10" s="75" t="n">
        <f aca="false">SUM(D10,G10,J10,M10,P10,S10,V10,Y10,AB10,AE10,AH10,AK10)</f>
        <v>0</v>
      </c>
      <c r="AO10" s="88" t="n">
        <f aca="false">IFERROR(AN10/AN$5,0)</f>
        <v>0</v>
      </c>
      <c r="AP10" s="86"/>
      <c r="AQ10" s="77" t="n">
        <f aca="false">AN10/$AR$1</f>
        <v>0</v>
      </c>
      <c r="AR10" s="76" t="n">
        <f aca="false">IFERROR(AQ10/AQ$5,0)</f>
        <v>0</v>
      </c>
      <c r="AS10" s="86"/>
      <c r="AT10" s="78" t="n">
        <v>0</v>
      </c>
    </row>
    <row r="11" customFormat="false" ht="14.25" hidden="true" customHeight="false" outlineLevel="1" collapsed="false">
      <c r="B11" s="89" t="s">
        <v>40</v>
      </c>
      <c r="C11" s="90"/>
      <c r="D11" s="75" t="n">
        <f aca="false">SUMIFS('Dados Mov Financeira'!$N:$N,'Dados Mov Financeira'!$O:$O,'DRE 2019'!$B11,'Dados Mov Financeira'!$A:$A,'DRE 2019'!D$1)</f>
        <v>0</v>
      </c>
      <c r="E11" s="91" t="n">
        <f aca="false">IFERROR(D11/D$5,0)</f>
        <v>0</v>
      </c>
      <c r="F11" s="90"/>
      <c r="G11" s="75" t="n">
        <f aca="false">SUMIFS('Dados Mov Financeira'!$N:$N,'Dados Mov Financeira'!$O:$O,'DRE 2019'!$B11,'Dados Mov Financeira'!$A:$A,'DRE 2019'!G$1)</f>
        <v>0</v>
      </c>
      <c r="H11" s="91" t="n">
        <f aca="false">IFERROR(G11/G$5,0)</f>
        <v>0</v>
      </c>
      <c r="I11" s="90"/>
      <c r="J11" s="75" t="n">
        <f aca="false">SUMIFS('Dados Mov Financeira'!$N:$N,'Dados Mov Financeira'!$O:$O,'DRE 2019'!$B11,'Dados Mov Financeira'!$A:$A,'DRE 2019'!J$1)</f>
        <v>0</v>
      </c>
      <c r="K11" s="91" t="n">
        <f aca="false">IFERROR(J11/J$5,0)</f>
        <v>0</v>
      </c>
      <c r="L11" s="90"/>
      <c r="M11" s="75" t="n">
        <f aca="false">SUMIFS('Dados Mov Financeira'!$N:$N,'Dados Mov Financeira'!$O:$O,'DRE 2019'!$B11,'Dados Mov Financeira'!$A:$A,'DRE 2019'!M$1)</f>
        <v>0</v>
      </c>
      <c r="N11" s="91" t="n">
        <f aca="false">IFERROR(M11/M$5,0)</f>
        <v>0</v>
      </c>
      <c r="O11" s="90"/>
      <c r="P11" s="75" t="n">
        <f aca="false">SUMIFS('Dados Mov Financeira'!$N:$N,'Dados Mov Financeira'!$O:$O,'DRE 2019'!$B11,'Dados Mov Financeira'!$A:$A,'DRE 2019'!P$1)</f>
        <v>0</v>
      </c>
      <c r="Q11" s="91" t="n">
        <f aca="false">IFERROR(P11/P$5,0)</f>
        <v>0</v>
      </c>
      <c r="R11" s="90"/>
      <c r="S11" s="75" t="n">
        <f aca="false">SUMIFS('Dados Mov Financeira'!$N:$N,'Dados Mov Financeira'!$O:$O,'DRE 2019'!$B11,'Dados Mov Financeira'!$A:$A,'DRE 2019'!S$1)</f>
        <v>0</v>
      </c>
      <c r="T11" s="91" t="n">
        <f aca="false">IFERROR(S11/S$5,0)</f>
        <v>0</v>
      </c>
      <c r="U11" s="90"/>
      <c r="V11" s="75" t="n">
        <f aca="false">SUMIFS('Dados Mov Financeira'!$N:$N,'Dados Mov Financeira'!$O:$O,'DRE 2019'!$B11,'Dados Mov Financeira'!$A:$A,'DRE 2019'!V$1)</f>
        <v>0</v>
      </c>
      <c r="W11" s="91" t="n">
        <f aca="false">IFERROR(V11/V$5,0)</f>
        <v>0</v>
      </c>
      <c r="X11" s="90"/>
      <c r="Y11" s="75" t="n">
        <f aca="false">SUMIFS('Dados Mov Financeira'!$N:$N,'Dados Mov Financeira'!$O:$O,'DRE 2019'!$B11,'Dados Mov Financeira'!$A:$A,'DRE 2019'!Y$1)</f>
        <v>0</v>
      </c>
      <c r="Z11" s="91" t="n">
        <f aca="false">IFERROR(Y11/Y$5,0)</f>
        <v>0</v>
      </c>
      <c r="AA11" s="90"/>
      <c r="AB11" s="75" t="n">
        <f aca="false">SUMIFS('Dados Mov Financeira'!$N:$N,'Dados Mov Financeira'!$O:$O,'DRE 2019'!$B11,'Dados Mov Financeira'!$A:$A,'DRE 2019'!AB$1)</f>
        <v>0</v>
      </c>
      <c r="AC11" s="91" t="n">
        <f aca="false">IFERROR(AB11/AB$5,0)</f>
        <v>0</v>
      </c>
      <c r="AD11" s="90"/>
      <c r="AE11" s="75" t="n">
        <f aca="false">SUMIFS('Dados Mov Financeira'!$N:$N,'Dados Mov Financeira'!$O:$O,'DRE 2019'!$B11,'Dados Mov Financeira'!$A:$A,'DRE 2019'!AE$1)</f>
        <v>0</v>
      </c>
      <c r="AF11" s="91" t="n">
        <f aca="false">IFERROR(AE11/AE$5,0)</f>
        <v>0</v>
      </c>
      <c r="AG11" s="90"/>
      <c r="AH11" s="75" t="n">
        <f aca="false">SUMIFS('Dados Mov Financeira'!$N:$N,'Dados Mov Financeira'!$O:$O,'DRE 2019'!$B11,'Dados Mov Financeira'!$A:$A,'DRE 2019'!AH$1)</f>
        <v>0</v>
      </c>
      <c r="AI11" s="91" t="n">
        <f aca="false">IFERROR(AH11/AH$5,0)</f>
        <v>0</v>
      </c>
      <c r="AJ11" s="90"/>
      <c r="AK11" s="75" t="n">
        <f aca="false">SUMIFS('Dados Mov Financeira'!$N:$N,'Dados Mov Financeira'!$O:$O,'DRE 2019'!$B11,'Dados Mov Financeira'!$A:$A,'DRE 2019'!AK$1)</f>
        <v>0</v>
      </c>
      <c r="AL11" s="91" t="n">
        <f aca="false">IFERROR(AK11/AK$5,0)</f>
        <v>0</v>
      </c>
      <c r="AM11" s="90"/>
      <c r="AN11" s="92" t="n">
        <f aca="false">SUM(D11,G11,J11,M11,P11,S11,V11,Y11,AB11,AE11,AH11,AK11)</f>
        <v>0</v>
      </c>
      <c r="AO11" s="91" t="n">
        <f aca="false">IFERROR(AN11/AN$5,0)</f>
        <v>0</v>
      </c>
      <c r="AP11" s="90"/>
      <c r="AQ11" s="93" t="n">
        <f aca="false">AN11/$AR$1</f>
        <v>0</v>
      </c>
      <c r="AR11" s="94" t="n">
        <f aca="false">IFERROR(AQ11/AQ$5,0)</f>
        <v>0</v>
      </c>
      <c r="AS11" s="90"/>
      <c r="AT11" s="78"/>
    </row>
    <row r="12" customFormat="false" ht="14.25" hidden="true" customHeight="false" outlineLevel="1" collapsed="false">
      <c r="B12" s="89" t="s">
        <v>41</v>
      </c>
      <c r="C12" s="90"/>
      <c r="D12" s="75" t="n">
        <f aca="false">SUMIFS('Dados Mov Financeira'!$N:$N,'Dados Mov Financeira'!$O:$O,'DRE 2019'!$B12,'Dados Mov Financeira'!$A:$A,'DRE 2019'!D$1)</f>
        <v>0</v>
      </c>
      <c r="E12" s="91" t="n">
        <f aca="false">IFERROR(D12/D$5,0)</f>
        <v>0</v>
      </c>
      <c r="F12" s="90"/>
      <c r="G12" s="75" t="n">
        <f aca="false">SUMIFS('Dados Mov Financeira'!$N:$N,'Dados Mov Financeira'!$O:$O,'DRE 2019'!$B12,'Dados Mov Financeira'!$A:$A,'DRE 2019'!G$1)</f>
        <v>0</v>
      </c>
      <c r="H12" s="91" t="n">
        <f aca="false">IFERROR(G12/G$5,0)</f>
        <v>0</v>
      </c>
      <c r="I12" s="90"/>
      <c r="J12" s="75" t="n">
        <f aca="false">SUMIFS('Dados Mov Financeira'!$N:$N,'Dados Mov Financeira'!$O:$O,'DRE 2019'!$B12,'Dados Mov Financeira'!$A:$A,'DRE 2019'!J$1)</f>
        <v>0</v>
      </c>
      <c r="K12" s="91" t="n">
        <f aca="false">IFERROR(J12/J$5,0)</f>
        <v>0</v>
      </c>
      <c r="L12" s="90"/>
      <c r="M12" s="75" t="n">
        <f aca="false">SUMIFS('Dados Mov Financeira'!$N:$N,'Dados Mov Financeira'!$O:$O,'DRE 2019'!$B12,'Dados Mov Financeira'!$A:$A,'DRE 2019'!M$1)</f>
        <v>0</v>
      </c>
      <c r="N12" s="91" t="n">
        <f aca="false">IFERROR(M12/M$5,0)</f>
        <v>0</v>
      </c>
      <c r="O12" s="90"/>
      <c r="P12" s="75" t="n">
        <f aca="false">SUMIFS('Dados Mov Financeira'!$N:$N,'Dados Mov Financeira'!$O:$O,'DRE 2019'!$B12,'Dados Mov Financeira'!$A:$A,'DRE 2019'!P$1)</f>
        <v>0</v>
      </c>
      <c r="Q12" s="91" t="n">
        <f aca="false">IFERROR(P12/P$5,0)</f>
        <v>0</v>
      </c>
      <c r="R12" s="90"/>
      <c r="S12" s="75" t="n">
        <f aca="false">SUMIFS('Dados Mov Financeira'!$N:$N,'Dados Mov Financeira'!$O:$O,'DRE 2019'!$B12,'Dados Mov Financeira'!$A:$A,'DRE 2019'!S$1)</f>
        <v>0</v>
      </c>
      <c r="T12" s="91" t="n">
        <f aca="false">IFERROR(S12/S$5,0)</f>
        <v>0</v>
      </c>
      <c r="U12" s="90"/>
      <c r="V12" s="75" t="n">
        <f aca="false">SUMIFS('Dados Mov Financeira'!$N:$N,'Dados Mov Financeira'!$O:$O,'DRE 2019'!$B12,'Dados Mov Financeira'!$A:$A,'DRE 2019'!V$1)</f>
        <v>0</v>
      </c>
      <c r="W12" s="91" t="n">
        <f aca="false">IFERROR(V12/V$5,0)</f>
        <v>0</v>
      </c>
      <c r="X12" s="90"/>
      <c r="Y12" s="75" t="n">
        <f aca="false">SUMIFS('Dados Mov Financeira'!$N:$N,'Dados Mov Financeira'!$O:$O,'DRE 2019'!$B12,'Dados Mov Financeira'!$A:$A,'DRE 2019'!Y$1)</f>
        <v>0</v>
      </c>
      <c r="Z12" s="91" t="n">
        <f aca="false">IFERROR(Y12/Y$5,0)</f>
        <v>0</v>
      </c>
      <c r="AA12" s="90"/>
      <c r="AB12" s="75" t="n">
        <f aca="false">SUMIFS('Dados Mov Financeira'!$N:$N,'Dados Mov Financeira'!$O:$O,'DRE 2019'!$B12,'Dados Mov Financeira'!$A:$A,'DRE 2019'!AB$1)</f>
        <v>0</v>
      </c>
      <c r="AC12" s="91" t="n">
        <f aca="false">IFERROR(AB12/AB$5,0)</f>
        <v>0</v>
      </c>
      <c r="AD12" s="90"/>
      <c r="AE12" s="75" t="n">
        <f aca="false">SUMIFS('Dados Mov Financeira'!$N:$N,'Dados Mov Financeira'!$O:$O,'DRE 2019'!$B12,'Dados Mov Financeira'!$A:$A,'DRE 2019'!AE$1)</f>
        <v>0</v>
      </c>
      <c r="AF12" s="91" t="n">
        <f aca="false">IFERROR(AE12/AE$5,0)</f>
        <v>0</v>
      </c>
      <c r="AG12" s="90"/>
      <c r="AH12" s="75" t="n">
        <f aca="false">SUMIFS('Dados Mov Financeira'!$N:$N,'Dados Mov Financeira'!$O:$O,'DRE 2019'!$B12,'Dados Mov Financeira'!$A:$A,'DRE 2019'!AH$1)</f>
        <v>0</v>
      </c>
      <c r="AI12" s="91" t="n">
        <f aca="false">IFERROR(AH12/AH$5,0)</f>
        <v>0</v>
      </c>
      <c r="AJ12" s="90"/>
      <c r="AK12" s="75" t="n">
        <f aca="false">SUMIFS('Dados Mov Financeira'!$N:$N,'Dados Mov Financeira'!$O:$O,'DRE 2019'!$B12,'Dados Mov Financeira'!$A:$A,'DRE 2019'!AK$1)</f>
        <v>0</v>
      </c>
      <c r="AL12" s="91" t="n">
        <f aca="false">IFERROR(AK12/AK$5,0)</f>
        <v>0</v>
      </c>
      <c r="AM12" s="90"/>
      <c r="AN12" s="92" t="n">
        <f aca="false">SUM(D12,G12,J12,M12,P12,S12,V12,Y12,AB12,AE12,AH12,AK12)</f>
        <v>0</v>
      </c>
      <c r="AO12" s="91" t="n">
        <f aca="false">IFERROR(AN12/AN$5,0)</f>
        <v>0</v>
      </c>
      <c r="AP12" s="90"/>
      <c r="AQ12" s="93" t="n">
        <f aca="false">AN12/$AR$1</f>
        <v>0</v>
      </c>
      <c r="AR12" s="94" t="n">
        <f aca="false">IFERROR(AQ12/AQ$5,0)</f>
        <v>0</v>
      </c>
      <c r="AS12" s="90"/>
      <c r="AT12" s="78"/>
    </row>
    <row r="13" customFormat="false" ht="14.25" hidden="true" customHeight="false" outlineLevel="1" collapsed="false">
      <c r="B13" s="89" t="s">
        <v>42</v>
      </c>
      <c r="C13" s="90"/>
      <c r="D13" s="75" t="n">
        <f aca="false">SUMIFS('Dados Mov Financeira'!$N:$N,'Dados Mov Financeira'!$O:$O,'DRE 2019'!$B13,'Dados Mov Financeira'!$A:$A,'DRE 2019'!D$1)</f>
        <v>0</v>
      </c>
      <c r="E13" s="91" t="n">
        <f aca="false">IFERROR(D13/D$5,0)</f>
        <v>0</v>
      </c>
      <c r="F13" s="90"/>
      <c r="G13" s="75" t="n">
        <f aca="false">SUMIFS('Dados Mov Financeira'!$N:$N,'Dados Mov Financeira'!$O:$O,'DRE 2019'!$B13,'Dados Mov Financeira'!$A:$A,'DRE 2019'!G$1)</f>
        <v>0</v>
      </c>
      <c r="H13" s="91" t="n">
        <f aca="false">IFERROR(G13/G$5,0)</f>
        <v>0</v>
      </c>
      <c r="I13" s="90"/>
      <c r="J13" s="75" t="n">
        <f aca="false">SUMIFS('Dados Mov Financeira'!$N:$N,'Dados Mov Financeira'!$O:$O,'DRE 2019'!$B13,'Dados Mov Financeira'!$A:$A,'DRE 2019'!J$1)</f>
        <v>0</v>
      </c>
      <c r="K13" s="91" t="n">
        <f aca="false">IFERROR(J13/J$5,0)</f>
        <v>0</v>
      </c>
      <c r="L13" s="90"/>
      <c r="M13" s="75" t="n">
        <f aca="false">SUMIFS('Dados Mov Financeira'!$N:$N,'Dados Mov Financeira'!$O:$O,'DRE 2019'!$B13,'Dados Mov Financeira'!$A:$A,'DRE 2019'!M$1)</f>
        <v>0</v>
      </c>
      <c r="N13" s="91" t="n">
        <f aca="false">IFERROR(M13/M$5,0)</f>
        <v>0</v>
      </c>
      <c r="O13" s="90"/>
      <c r="P13" s="75" t="n">
        <f aca="false">SUMIFS('Dados Mov Financeira'!$N:$N,'Dados Mov Financeira'!$O:$O,'DRE 2019'!$B13,'Dados Mov Financeira'!$A:$A,'DRE 2019'!P$1)</f>
        <v>0</v>
      </c>
      <c r="Q13" s="91" t="n">
        <f aca="false">IFERROR(P13/P$5,0)</f>
        <v>0</v>
      </c>
      <c r="R13" s="90"/>
      <c r="S13" s="75" t="n">
        <f aca="false">SUMIFS('Dados Mov Financeira'!$N:$N,'Dados Mov Financeira'!$O:$O,'DRE 2019'!$B13,'Dados Mov Financeira'!$A:$A,'DRE 2019'!S$1)</f>
        <v>0</v>
      </c>
      <c r="T13" s="91" t="n">
        <f aca="false">IFERROR(S13/S$5,0)</f>
        <v>0</v>
      </c>
      <c r="U13" s="90"/>
      <c r="V13" s="75" t="n">
        <f aca="false">SUMIFS('Dados Mov Financeira'!$N:$N,'Dados Mov Financeira'!$O:$O,'DRE 2019'!$B13,'Dados Mov Financeira'!$A:$A,'DRE 2019'!V$1)</f>
        <v>0</v>
      </c>
      <c r="W13" s="91" t="n">
        <f aca="false">IFERROR(V13/V$5,0)</f>
        <v>0</v>
      </c>
      <c r="X13" s="90"/>
      <c r="Y13" s="75" t="n">
        <f aca="false">SUMIFS('Dados Mov Financeira'!$N:$N,'Dados Mov Financeira'!$O:$O,'DRE 2019'!$B13,'Dados Mov Financeira'!$A:$A,'DRE 2019'!Y$1)</f>
        <v>0</v>
      </c>
      <c r="Z13" s="91" t="n">
        <f aca="false">IFERROR(Y13/Y$5,0)</f>
        <v>0</v>
      </c>
      <c r="AA13" s="90"/>
      <c r="AB13" s="75" t="n">
        <f aca="false">SUMIFS('Dados Mov Financeira'!$N:$N,'Dados Mov Financeira'!$O:$O,'DRE 2019'!$B13,'Dados Mov Financeira'!$A:$A,'DRE 2019'!AB$1)</f>
        <v>0</v>
      </c>
      <c r="AC13" s="91" t="n">
        <f aca="false">IFERROR(AB13/AB$5,0)</f>
        <v>0</v>
      </c>
      <c r="AD13" s="90"/>
      <c r="AE13" s="75" t="n">
        <f aca="false">SUMIFS('Dados Mov Financeira'!$N:$N,'Dados Mov Financeira'!$O:$O,'DRE 2019'!$B13,'Dados Mov Financeira'!$A:$A,'DRE 2019'!AE$1)</f>
        <v>0</v>
      </c>
      <c r="AF13" s="91" t="n">
        <f aca="false">IFERROR(AE13/AE$5,0)</f>
        <v>0</v>
      </c>
      <c r="AG13" s="90"/>
      <c r="AH13" s="75" t="n">
        <f aca="false">SUMIFS('Dados Mov Financeira'!$N:$N,'Dados Mov Financeira'!$O:$O,'DRE 2019'!$B13,'Dados Mov Financeira'!$A:$A,'DRE 2019'!AH$1)</f>
        <v>0</v>
      </c>
      <c r="AI13" s="91" t="n">
        <f aca="false">IFERROR(AH13/AH$5,0)</f>
        <v>0</v>
      </c>
      <c r="AJ13" s="90"/>
      <c r="AK13" s="75" t="n">
        <f aca="false">SUMIFS('Dados Mov Financeira'!$N:$N,'Dados Mov Financeira'!$O:$O,'DRE 2019'!$B13,'Dados Mov Financeira'!$A:$A,'DRE 2019'!AK$1)</f>
        <v>0</v>
      </c>
      <c r="AL13" s="91" t="n">
        <f aca="false">IFERROR(AK13/AK$5,0)</f>
        <v>0</v>
      </c>
      <c r="AM13" s="90"/>
      <c r="AN13" s="92" t="n">
        <f aca="false">SUM(D13,G13,J13,M13,P13,S13,V13,Y13,AB13,AE13,AH13,AK13)</f>
        <v>0</v>
      </c>
      <c r="AO13" s="91" t="n">
        <f aca="false">IFERROR(AN13/AN$5,0)</f>
        <v>0</v>
      </c>
      <c r="AP13" s="90"/>
      <c r="AQ13" s="93" t="n">
        <f aca="false">AN13/$AR$1</f>
        <v>0</v>
      </c>
      <c r="AR13" s="94" t="n">
        <f aca="false">IFERROR(AQ13/AQ$5,0)</f>
        <v>0</v>
      </c>
      <c r="AS13" s="90"/>
      <c r="AT13" s="78"/>
    </row>
    <row r="14" customFormat="false" ht="14.25" hidden="true" customHeight="false" outlineLevel="1" collapsed="false">
      <c r="B14" s="89" t="s">
        <v>43</v>
      </c>
      <c r="C14" s="90"/>
      <c r="D14" s="75" t="n">
        <f aca="false">SUMIFS('Dados Mov Financeira'!$N:$N,'Dados Mov Financeira'!$O:$O,'DRE 2019'!$B14,'Dados Mov Financeira'!$A:$A,'DRE 2019'!D$1)</f>
        <v>0</v>
      </c>
      <c r="E14" s="91" t="n">
        <f aca="false">IFERROR(D14/D$5,0)</f>
        <v>0</v>
      </c>
      <c r="F14" s="90"/>
      <c r="G14" s="75" t="n">
        <f aca="false">SUMIFS('Dados Mov Financeira'!$N:$N,'Dados Mov Financeira'!$O:$O,'DRE 2019'!$B14,'Dados Mov Financeira'!$A:$A,'DRE 2019'!G$1)</f>
        <v>0</v>
      </c>
      <c r="H14" s="91" t="n">
        <f aca="false">IFERROR(G14/G$5,0)</f>
        <v>0</v>
      </c>
      <c r="I14" s="90"/>
      <c r="J14" s="75" t="n">
        <f aca="false">SUMIFS('Dados Mov Financeira'!$N:$N,'Dados Mov Financeira'!$O:$O,'DRE 2019'!$B14,'Dados Mov Financeira'!$A:$A,'DRE 2019'!J$1)</f>
        <v>0</v>
      </c>
      <c r="K14" s="91" t="n">
        <f aca="false">IFERROR(J14/J$5,0)</f>
        <v>0</v>
      </c>
      <c r="L14" s="90"/>
      <c r="M14" s="75" t="n">
        <f aca="false">SUMIFS('Dados Mov Financeira'!$N:$N,'Dados Mov Financeira'!$O:$O,'DRE 2019'!$B14,'Dados Mov Financeira'!$A:$A,'DRE 2019'!M$1)</f>
        <v>0</v>
      </c>
      <c r="N14" s="91" t="n">
        <f aca="false">IFERROR(M14/M$5,0)</f>
        <v>0</v>
      </c>
      <c r="O14" s="90"/>
      <c r="P14" s="75" t="n">
        <f aca="false">SUMIFS('Dados Mov Financeira'!$N:$N,'Dados Mov Financeira'!$O:$O,'DRE 2019'!$B14,'Dados Mov Financeira'!$A:$A,'DRE 2019'!P$1)</f>
        <v>0</v>
      </c>
      <c r="Q14" s="91" t="n">
        <f aca="false">IFERROR(P14/P$5,0)</f>
        <v>0</v>
      </c>
      <c r="R14" s="90"/>
      <c r="S14" s="75" t="n">
        <f aca="false">SUMIFS('Dados Mov Financeira'!$N:$N,'Dados Mov Financeira'!$O:$O,'DRE 2019'!$B14,'Dados Mov Financeira'!$A:$A,'DRE 2019'!S$1)</f>
        <v>0</v>
      </c>
      <c r="T14" s="91" t="n">
        <f aca="false">IFERROR(S14/S$5,0)</f>
        <v>0</v>
      </c>
      <c r="U14" s="90"/>
      <c r="V14" s="75" t="n">
        <f aca="false">SUMIFS('Dados Mov Financeira'!$N:$N,'Dados Mov Financeira'!$O:$O,'DRE 2019'!$B14,'Dados Mov Financeira'!$A:$A,'DRE 2019'!V$1)</f>
        <v>0</v>
      </c>
      <c r="W14" s="91" t="n">
        <f aca="false">IFERROR(V14/V$5,0)</f>
        <v>0</v>
      </c>
      <c r="X14" s="90"/>
      <c r="Y14" s="75" t="n">
        <f aca="false">SUMIFS('Dados Mov Financeira'!$N:$N,'Dados Mov Financeira'!$O:$O,'DRE 2019'!$B14,'Dados Mov Financeira'!$A:$A,'DRE 2019'!Y$1)</f>
        <v>0</v>
      </c>
      <c r="Z14" s="91" t="n">
        <f aca="false">IFERROR(Y14/Y$5,0)</f>
        <v>0</v>
      </c>
      <c r="AA14" s="90"/>
      <c r="AB14" s="75" t="n">
        <f aca="false">SUMIFS('Dados Mov Financeira'!$N:$N,'Dados Mov Financeira'!$O:$O,'DRE 2019'!$B14,'Dados Mov Financeira'!$A:$A,'DRE 2019'!AB$1)</f>
        <v>0</v>
      </c>
      <c r="AC14" s="91" t="n">
        <f aca="false">IFERROR(AB14/AB$5,0)</f>
        <v>0</v>
      </c>
      <c r="AD14" s="90"/>
      <c r="AE14" s="75" t="n">
        <f aca="false">SUMIFS('Dados Mov Financeira'!$N:$N,'Dados Mov Financeira'!$O:$O,'DRE 2019'!$B14,'Dados Mov Financeira'!$A:$A,'DRE 2019'!AE$1)</f>
        <v>0</v>
      </c>
      <c r="AF14" s="91" t="n">
        <f aca="false">IFERROR(AE14/AE$5,0)</f>
        <v>0</v>
      </c>
      <c r="AG14" s="90"/>
      <c r="AH14" s="75" t="n">
        <f aca="false">SUMIFS('Dados Mov Financeira'!$N:$N,'Dados Mov Financeira'!$O:$O,'DRE 2019'!$B14,'Dados Mov Financeira'!$A:$A,'DRE 2019'!AH$1)</f>
        <v>0</v>
      </c>
      <c r="AI14" s="91" t="n">
        <f aca="false">IFERROR(AH14/AH$5,0)</f>
        <v>0</v>
      </c>
      <c r="AJ14" s="90"/>
      <c r="AK14" s="75" t="n">
        <f aca="false">SUMIFS('Dados Mov Financeira'!$N:$N,'Dados Mov Financeira'!$O:$O,'DRE 2019'!$B14,'Dados Mov Financeira'!$A:$A,'DRE 2019'!AK$1)</f>
        <v>0</v>
      </c>
      <c r="AL14" s="91" t="n">
        <f aca="false">IFERROR(AK14/AK$5,0)</f>
        <v>0</v>
      </c>
      <c r="AM14" s="90"/>
      <c r="AN14" s="92" t="n">
        <f aca="false">SUM(D14,G14,J14,M14,P14,S14,V14,Y14,AB14,AE14,AH14,AK14)</f>
        <v>0</v>
      </c>
      <c r="AO14" s="91" t="n">
        <f aca="false">IFERROR(AN14/AN$5,0)</f>
        <v>0</v>
      </c>
      <c r="AP14" s="90"/>
      <c r="AQ14" s="93" t="n">
        <f aca="false">AN14/$AR$1</f>
        <v>0</v>
      </c>
      <c r="AR14" s="94" t="n">
        <f aca="false">IFERROR(AQ14/AQ$5,0)</f>
        <v>0</v>
      </c>
      <c r="AS14" s="90"/>
      <c r="AT14" s="78"/>
    </row>
    <row r="15" s="63" customFormat="true" ht="14.25" hidden="false" customHeight="false" outlineLevel="0" collapsed="false">
      <c r="B15" s="85" t="s">
        <v>44</v>
      </c>
      <c r="C15" s="86"/>
      <c r="D15" s="75" t="n">
        <f aca="false">SUM(D16:D19)</f>
        <v>0</v>
      </c>
      <c r="E15" s="95" t="n">
        <f aca="false">IFERROR(D15/D$5,0)</f>
        <v>0</v>
      </c>
      <c r="F15" s="86"/>
      <c r="G15" s="75" t="n">
        <f aca="false">SUM(G16:G19)</f>
        <v>0</v>
      </c>
      <c r="H15" s="95" t="n">
        <f aca="false">IFERROR(G15/G$5,0)</f>
        <v>0</v>
      </c>
      <c r="I15" s="86"/>
      <c r="J15" s="75" t="n">
        <f aca="false">SUM(J16:J19)</f>
        <v>0</v>
      </c>
      <c r="K15" s="95" t="n">
        <f aca="false">IFERROR(J15/J$5,0)</f>
        <v>0</v>
      </c>
      <c r="L15" s="86"/>
      <c r="M15" s="75" t="n">
        <f aca="false">SUM(M16:M19)</f>
        <v>0</v>
      </c>
      <c r="N15" s="95" t="n">
        <f aca="false">IFERROR(M15/M$5,0)</f>
        <v>0</v>
      </c>
      <c r="O15" s="86"/>
      <c r="P15" s="75" t="n">
        <f aca="false">SUM(P16:P19)</f>
        <v>0</v>
      </c>
      <c r="Q15" s="95" t="n">
        <f aca="false">IFERROR(P15/P$5,0)</f>
        <v>0</v>
      </c>
      <c r="R15" s="86"/>
      <c r="S15" s="75" t="n">
        <f aca="false">SUM(S16:S19)</f>
        <v>0</v>
      </c>
      <c r="T15" s="95" t="n">
        <f aca="false">IFERROR(S15/S$5,0)</f>
        <v>0</v>
      </c>
      <c r="U15" s="86"/>
      <c r="V15" s="75" t="n">
        <f aca="false">SUM(V16:V19)</f>
        <v>0</v>
      </c>
      <c r="W15" s="95" t="n">
        <f aca="false">IFERROR(V15/V$5,0)</f>
        <v>0</v>
      </c>
      <c r="X15" s="86"/>
      <c r="Y15" s="75" t="n">
        <f aca="false">SUM(Y16:Y19)</f>
        <v>0</v>
      </c>
      <c r="Z15" s="95" t="n">
        <f aca="false">IFERROR(Y15/Y$5,0)</f>
        <v>0</v>
      </c>
      <c r="AA15" s="86"/>
      <c r="AB15" s="75" t="n">
        <f aca="false">SUM(AB16:AB19)</f>
        <v>0</v>
      </c>
      <c r="AC15" s="95" t="n">
        <f aca="false">IFERROR(AB15/AB$5,0)</f>
        <v>0</v>
      </c>
      <c r="AD15" s="86"/>
      <c r="AE15" s="75" t="n">
        <f aca="false">SUM(AE16:AE19)</f>
        <v>0</v>
      </c>
      <c r="AF15" s="95" t="n">
        <f aca="false">IFERROR(AE15/AE$5,0)</f>
        <v>0</v>
      </c>
      <c r="AG15" s="86"/>
      <c r="AH15" s="75" t="n">
        <f aca="false">SUM(AH16:AH19)</f>
        <v>0</v>
      </c>
      <c r="AI15" s="95" t="n">
        <f aca="false">IFERROR(AH15/AH$5,0)</f>
        <v>0</v>
      </c>
      <c r="AJ15" s="86"/>
      <c r="AK15" s="75" t="n">
        <f aca="false">SUM(AK16:AK19)</f>
        <v>0</v>
      </c>
      <c r="AL15" s="95" t="n">
        <f aca="false">IFERROR(AK15/AK$5,0)</f>
        <v>0</v>
      </c>
      <c r="AM15" s="86"/>
      <c r="AN15" s="75" t="n">
        <f aca="false">SUM(D15,G15,J15,M15,P15,S15,V15,Y15,AB15,AE15,AH15,AK15)</f>
        <v>0</v>
      </c>
      <c r="AO15" s="88" t="n">
        <f aca="false">IFERROR(AN15/AN$5,0)</f>
        <v>0</v>
      </c>
      <c r="AP15" s="86"/>
      <c r="AQ15" s="77" t="n">
        <f aca="false">AN15/$AR$1</f>
        <v>0</v>
      </c>
      <c r="AR15" s="76" t="n">
        <f aca="false">IFERROR(AQ15/AQ$5,0)</f>
        <v>0</v>
      </c>
      <c r="AS15" s="86"/>
      <c r="AT15" s="78" t="n">
        <v>-0.0665</v>
      </c>
    </row>
    <row r="16" customFormat="false" ht="14.25" hidden="true" customHeight="false" outlineLevel="1" collapsed="false">
      <c r="B16" s="89" t="s">
        <v>45</v>
      </c>
      <c r="D16" s="75" t="n">
        <f aca="false">SUMIFS('Dados Mov Financeira'!$N:$N,'Dados Mov Financeira'!$O:$O,'DRE 2019'!$B16,'Dados Mov Financeira'!$A:$A,'DRE 2019'!D$1)</f>
        <v>0</v>
      </c>
      <c r="E16" s="91" t="n">
        <f aca="false">IFERROR(D16/D$5,0)</f>
        <v>0</v>
      </c>
      <c r="G16" s="75" t="n">
        <f aca="false">SUMIFS('Dados Mov Financeira'!$N:$N,'Dados Mov Financeira'!$O:$O,'DRE 2019'!$B16,'Dados Mov Financeira'!$A:$A,'DRE 2019'!G$1)</f>
        <v>0</v>
      </c>
      <c r="H16" s="91" t="n">
        <f aca="false">IFERROR(G16/G$5,0)</f>
        <v>0</v>
      </c>
      <c r="J16" s="75" t="n">
        <f aca="false">SUMIFS('Dados Mov Financeira'!$N:$N,'Dados Mov Financeira'!$O:$O,'DRE 2019'!$B16,'Dados Mov Financeira'!$A:$A,'DRE 2019'!J$1)</f>
        <v>0</v>
      </c>
      <c r="K16" s="91" t="n">
        <f aca="false">IFERROR(J16/J$5,0)</f>
        <v>0</v>
      </c>
      <c r="M16" s="75" t="n">
        <f aca="false">SUMIFS('Dados Mov Financeira'!$N:$N,'Dados Mov Financeira'!$O:$O,'DRE 2019'!$B16,'Dados Mov Financeira'!$A:$A,'DRE 2019'!M$1)</f>
        <v>0</v>
      </c>
      <c r="N16" s="91" t="n">
        <f aca="false">IFERROR(M16/M$5,0)</f>
        <v>0</v>
      </c>
      <c r="P16" s="75" t="n">
        <f aca="false">SUMIFS('Dados Mov Financeira'!$N:$N,'Dados Mov Financeira'!$O:$O,'DRE 2019'!$B16,'Dados Mov Financeira'!$A:$A,'DRE 2019'!P$1)</f>
        <v>0</v>
      </c>
      <c r="Q16" s="91" t="n">
        <f aca="false">IFERROR(P16/P$5,0)</f>
        <v>0</v>
      </c>
      <c r="S16" s="75" t="n">
        <f aca="false">SUMIFS('Dados Mov Financeira'!$N:$N,'Dados Mov Financeira'!$O:$O,'DRE 2019'!$B16,'Dados Mov Financeira'!$A:$A,'DRE 2019'!S$1)</f>
        <v>0</v>
      </c>
      <c r="T16" s="91" t="n">
        <f aca="false">IFERROR(S16/S$5,0)</f>
        <v>0</v>
      </c>
      <c r="V16" s="75" t="n">
        <f aca="false">SUMIFS('Dados Mov Financeira'!$N:$N,'Dados Mov Financeira'!$O:$O,'DRE 2019'!$B16,'Dados Mov Financeira'!$A:$A,'DRE 2019'!V$1)</f>
        <v>0</v>
      </c>
      <c r="W16" s="91" t="n">
        <f aca="false">IFERROR(V16/V$5,0)</f>
        <v>0</v>
      </c>
      <c r="Y16" s="75" t="n">
        <f aca="false">SUMIFS('Dados Mov Financeira'!$N:$N,'Dados Mov Financeira'!$O:$O,'DRE 2019'!$B16,'Dados Mov Financeira'!$A:$A,'DRE 2019'!Y$1)</f>
        <v>0</v>
      </c>
      <c r="Z16" s="91" t="n">
        <f aca="false">IFERROR(Y16/Y$5,0)</f>
        <v>0</v>
      </c>
      <c r="AB16" s="75" t="n">
        <f aca="false">SUMIFS('Dados Mov Financeira'!$N:$N,'Dados Mov Financeira'!$O:$O,'DRE 2019'!$B16,'Dados Mov Financeira'!$A:$A,'DRE 2019'!AB$1)</f>
        <v>0</v>
      </c>
      <c r="AC16" s="91" t="n">
        <f aca="false">IFERROR(AB16/AB$5,0)</f>
        <v>0</v>
      </c>
      <c r="AE16" s="75" t="n">
        <f aca="false">SUMIFS('Dados Mov Financeira'!$N:$N,'Dados Mov Financeira'!$O:$O,'DRE 2019'!$B16,'Dados Mov Financeira'!$A:$A,'DRE 2019'!AE$1)</f>
        <v>0</v>
      </c>
      <c r="AF16" s="91" t="n">
        <f aca="false">IFERROR(AE16/AE$5,0)</f>
        <v>0</v>
      </c>
      <c r="AH16" s="75" t="n">
        <f aca="false">SUMIFS('Dados Mov Financeira'!$N:$N,'Dados Mov Financeira'!$O:$O,'DRE 2019'!$B16,'Dados Mov Financeira'!$A:$A,'DRE 2019'!AH$1)</f>
        <v>0</v>
      </c>
      <c r="AI16" s="91" t="n">
        <f aca="false">IFERROR(AH16/AH$5,0)</f>
        <v>0</v>
      </c>
      <c r="AK16" s="75" t="n">
        <f aca="false">SUMIFS('Dados Mov Financeira'!$N:$N,'Dados Mov Financeira'!$O:$O,'DRE 2019'!$B16,'Dados Mov Financeira'!$A:$A,'DRE 2019'!AK$1)</f>
        <v>0</v>
      </c>
      <c r="AL16" s="91" t="n">
        <f aca="false">IFERROR(AK16/AK$5,0)</f>
        <v>0</v>
      </c>
      <c r="AN16" s="92" t="n">
        <f aca="false">SUM(D16,G16,J16,M16,P16,S16,V16,Y16,AB16,AE16,AH16,AK16)</f>
        <v>0</v>
      </c>
      <c r="AO16" s="91" t="n">
        <f aca="false">IFERROR(AN16/AN$5,0)</f>
        <v>0</v>
      </c>
      <c r="AQ16" s="93" t="n">
        <f aca="false">AN16/$AR$1</f>
        <v>0</v>
      </c>
      <c r="AR16" s="94" t="n">
        <f aca="false">IFERROR(AQ16/AQ$5,0)</f>
        <v>0</v>
      </c>
      <c r="AT16" s="78"/>
    </row>
    <row r="17" customFormat="false" ht="14.25" hidden="true" customHeight="false" outlineLevel="1" collapsed="false">
      <c r="B17" s="89" t="s">
        <v>46</v>
      </c>
      <c r="C17" s="92"/>
      <c r="D17" s="75" t="n">
        <f aca="false">SUMIFS('Dados Mov Financeira'!$N:$N,'Dados Mov Financeira'!$O:$O,'DRE 2019'!$B17,'Dados Mov Financeira'!$A:$A,'DRE 2019'!D$1)</f>
        <v>0</v>
      </c>
      <c r="E17" s="91" t="n">
        <f aca="false">IFERROR(D17/D$5,0)</f>
        <v>0</v>
      </c>
      <c r="F17" s="96"/>
      <c r="G17" s="75" t="n">
        <f aca="false">SUMIFS('Dados Mov Financeira'!$N:$N,'Dados Mov Financeira'!$O:$O,'DRE 2019'!$B17,'Dados Mov Financeira'!$A:$A,'DRE 2019'!G$1)</f>
        <v>0</v>
      </c>
      <c r="H17" s="91" t="n">
        <f aca="false">IFERROR(G17/G$5,0)</f>
        <v>0</v>
      </c>
      <c r="I17" s="96"/>
      <c r="J17" s="75" t="n">
        <f aca="false">SUMIFS('Dados Mov Financeira'!$N:$N,'Dados Mov Financeira'!$O:$O,'DRE 2019'!$B17,'Dados Mov Financeira'!$A:$A,'DRE 2019'!J$1)</f>
        <v>0</v>
      </c>
      <c r="K17" s="91" t="n">
        <f aca="false">IFERROR(J17/J$5,0)</f>
        <v>0</v>
      </c>
      <c r="L17" s="96"/>
      <c r="M17" s="75" t="n">
        <f aca="false">SUMIFS('Dados Mov Financeira'!$N:$N,'Dados Mov Financeira'!$O:$O,'DRE 2019'!$B17,'Dados Mov Financeira'!$A:$A,'DRE 2019'!M$1)</f>
        <v>0</v>
      </c>
      <c r="N17" s="91" t="n">
        <f aca="false">IFERROR(M17/M$5,0)</f>
        <v>0</v>
      </c>
      <c r="O17" s="96"/>
      <c r="P17" s="75" t="n">
        <f aca="false">SUMIFS('Dados Mov Financeira'!$N:$N,'Dados Mov Financeira'!$O:$O,'DRE 2019'!$B17,'Dados Mov Financeira'!$A:$A,'DRE 2019'!P$1)</f>
        <v>0</v>
      </c>
      <c r="Q17" s="91" t="n">
        <f aca="false">IFERROR(P17/P$5,0)</f>
        <v>0</v>
      </c>
      <c r="R17" s="96"/>
      <c r="S17" s="75" t="n">
        <f aca="false">SUMIFS('Dados Mov Financeira'!$N:$N,'Dados Mov Financeira'!$O:$O,'DRE 2019'!$B17,'Dados Mov Financeira'!$A:$A,'DRE 2019'!S$1)</f>
        <v>0</v>
      </c>
      <c r="T17" s="91" t="n">
        <f aca="false">IFERROR(S17/S$5,0)</f>
        <v>0</v>
      </c>
      <c r="U17" s="96"/>
      <c r="V17" s="75" t="n">
        <f aca="false">SUMIFS('Dados Mov Financeira'!$N:$N,'Dados Mov Financeira'!$O:$O,'DRE 2019'!$B17,'Dados Mov Financeira'!$A:$A,'DRE 2019'!V$1)</f>
        <v>0</v>
      </c>
      <c r="W17" s="91" t="n">
        <f aca="false">IFERROR(V17/V$5,0)</f>
        <v>0</v>
      </c>
      <c r="X17" s="96"/>
      <c r="Y17" s="75" t="n">
        <f aca="false">SUMIFS('Dados Mov Financeira'!$N:$N,'Dados Mov Financeira'!$O:$O,'DRE 2019'!$B17,'Dados Mov Financeira'!$A:$A,'DRE 2019'!Y$1)</f>
        <v>0</v>
      </c>
      <c r="Z17" s="91" t="n">
        <f aca="false">IFERROR(Y17/Y$5,0)</f>
        <v>0</v>
      </c>
      <c r="AA17" s="96"/>
      <c r="AB17" s="75" t="n">
        <f aca="false">SUMIFS('Dados Mov Financeira'!$N:$N,'Dados Mov Financeira'!$O:$O,'DRE 2019'!$B17,'Dados Mov Financeira'!$A:$A,'DRE 2019'!AB$1)</f>
        <v>0</v>
      </c>
      <c r="AC17" s="91" t="n">
        <f aca="false">IFERROR(AB17/AB$5,0)</f>
        <v>0</v>
      </c>
      <c r="AD17" s="96"/>
      <c r="AE17" s="75" t="n">
        <f aca="false">SUMIFS('Dados Mov Financeira'!$N:$N,'Dados Mov Financeira'!$O:$O,'DRE 2019'!$B17,'Dados Mov Financeira'!$A:$A,'DRE 2019'!AE$1)</f>
        <v>0</v>
      </c>
      <c r="AF17" s="91" t="n">
        <f aca="false">IFERROR(AE17/AE$5,0)</f>
        <v>0</v>
      </c>
      <c r="AG17" s="96"/>
      <c r="AH17" s="75" t="n">
        <f aca="false">SUMIFS('Dados Mov Financeira'!$N:$N,'Dados Mov Financeira'!$O:$O,'DRE 2019'!$B17,'Dados Mov Financeira'!$A:$A,'DRE 2019'!AH$1)</f>
        <v>0</v>
      </c>
      <c r="AI17" s="91" t="n">
        <f aca="false">IFERROR(AH17/AH$5,0)</f>
        <v>0</v>
      </c>
      <c r="AJ17" s="96"/>
      <c r="AK17" s="75" t="n">
        <f aca="false">SUMIFS('Dados Mov Financeira'!$N:$N,'Dados Mov Financeira'!$O:$O,'DRE 2019'!$B17,'Dados Mov Financeira'!$A:$A,'DRE 2019'!AK$1)</f>
        <v>0</v>
      </c>
      <c r="AL17" s="91" t="n">
        <f aca="false">IFERROR(AK17/AK$5,0)</f>
        <v>0</v>
      </c>
      <c r="AM17" s="96"/>
      <c r="AN17" s="92" t="n">
        <f aca="false">SUM(D17,G17,J17,M17,P17,S17,V17,Y17,AB17,AE17,AH17,AK17)</f>
        <v>0</v>
      </c>
      <c r="AO17" s="91" t="n">
        <f aca="false">IFERROR(AN17/AN$5,0)</f>
        <v>0</v>
      </c>
      <c r="AP17" s="96"/>
      <c r="AQ17" s="93" t="n">
        <f aca="false">AN17/$AR$1</f>
        <v>0</v>
      </c>
      <c r="AR17" s="94" t="n">
        <f aca="false">IFERROR(AQ17/AQ$5,0)</f>
        <v>0</v>
      </c>
      <c r="AS17" s="96"/>
      <c r="AT17" s="78"/>
      <c r="AU17" s="97"/>
    </row>
    <row r="18" customFormat="false" ht="14.25" hidden="true" customHeight="false" outlineLevel="1" collapsed="false">
      <c r="B18" s="89" t="s">
        <v>47</v>
      </c>
      <c r="C18" s="92"/>
      <c r="D18" s="75" t="n">
        <f aca="false">SUMIFS('Dados Mov Financeira'!$N:$N,'Dados Mov Financeira'!$O:$O,'DRE 2019'!$B18,'Dados Mov Financeira'!$A:$A,'DRE 2019'!D$1)</f>
        <v>0</v>
      </c>
      <c r="E18" s="91" t="n">
        <f aca="false">IFERROR(D18/D$5,0)</f>
        <v>0</v>
      </c>
      <c r="F18" s="96"/>
      <c r="G18" s="75" t="n">
        <f aca="false">SUMIFS('Dados Mov Financeira'!$N:$N,'Dados Mov Financeira'!$O:$O,'DRE 2019'!$B18,'Dados Mov Financeira'!$A:$A,'DRE 2019'!G$1)</f>
        <v>0</v>
      </c>
      <c r="H18" s="91" t="n">
        <f aca="false">IFERROR(G18/G$5,0)</f>
        <v>0</v>
      </c>
      <c r="I18" s="96"/>
      <c r="J18" s="75" t="n">
        <f aca="false">SUMIFS('Dados Mov Financeira'!$N:$N,'Dados Mov Financeira'!$O:$O,'DRE 2019'!$B18,'Dados Mov Financeira'!$A:$A,'DRE 2019'!J$1)</f>
        <v>0</v>
      </c>
      <c r="K18" s="91" t="n">
        <f aca="false">IFERROR(J18/J$5,0)</f>
        <v>0</v>
      </c>
      <c r="L18" s="96"/>
      <c r="M18" s="75" t="n">
        <f aca="false">SUMIFS('Dados Mov Financeira'!$N:$N,'Dados Mov Financeira'!$O:$O,'DRE 2019'!$B18,'Dados Mov Financeira'!$A:$A,'DRE 2019'!M$1)</f>
        <v>0</v>
      </c>
      <c r="N18" s="91" t="n">
        <f aca="false">IFERROR(M18/M$5,0)</f>
        <v>0</v>
      </c>
      <c r="O18" s="96"/>
      <c r="P18" s="75" t="n">
        <f aca="false">SUMIFS('Dados Mov Financeira'!$N:$N,'Dados Mov Financeira'!$O:$O,'DRE 2019'!$B18,'Dados Mov Financeira'!$A:$A,'DRE 2019'!P$1)</f>
        <v>0</v>
      </c>
      <c r="Q18" s="91" t="n">
        <f aca="false">IFERROR(P18/P$5,0)</f>
        <v>0</v>
      </c>
      <c r="R18" s="96"/>
      <c r="S18" s="75" t="n">
        <f aca="false">SUMIFS('Dados Mov Financeira'!$N:$N,'Dados Mov Financeira'!$O:$O,'DRE 2019'!$B18,'Dados Mov Financeira'!$A:$A,'DRE 2019'!S$1)</f>
        <v>0</v>
      </c>
      <c r="T18" s="91" t="n">
        <f aca="false">IFERROR(S18/S$5,0)</f>
        <v>0</v>
      </c>
      <c r="U18" s="96"/>
      <c r="V18" s="75" t="n">
        <f aca="false">SUMIFS('Dados Mov Financeira'!$N:$N,'Dados Mov Financeira'!$O:$O,'DRE 2019'!$B18,'Dados Mov Financeira'!$A:$A,'DRE 2019'!V$1)</f>
        <v>0</v>
      </c>
      <c r="W18" s="91" t="n">
        <f aca="false">IFERROR(V18/V$5,0)</f>
        <v>0</v>
      </c>
      <c r="X18" s="96"/>
      <c r="Y18" s="75" t="n">
        <f aca="false">SUMIFS('Dados Mov Financeira'!$N:$N,'Dados Mov Financeira'!$O:$O,'DRE 2019'!$B18,'Dados Mov Financeira'!$A:$A,'DRE 2019'!Y$1)</f>
        <v>0</v>
      </c>
      <c r="Z18" s="91" t="n">
        <f aca="false">IFERROR(Y18/Y$5,0)</f>
        <v>0</v>
      </c>
      <c r="AA18" s="96"/>
      <c r="AB18" s="75" t="n">
        <f aca="false">SUMIFS('Dados Mov Financeira'!$N:$N,'Dados Mov Financeira'!$O:$O,'DRE 2019'!$B18,'Dados Mov Financeira'!$A:$A,'DRE 2019'!AB$1)</f>
        <v>0</v>
      </c>
      <c r="AC18" s="91" t="n">
        <f aca="false">IFERROR(AB18/AB$5,0)</f>
        <v>0</v>
      </c>
      <c r="AD18" s="96"/>
      <c r="AE18" s="75" t="n">
        <f aca="false">SUMIFS('Dados Mov Financeira'!$N:$N,'Dados Mov Financeira'!$O:$O,'DRE 2019'!$B18,'Dados Mov Financeira'!$A:$A,'DRE 2019'!AE$1)</f>
        <v>0</v>
      </c>
      <c r="AF18" s="91" t="n">
        <f aca="false">IFERROR(AE18/AE$5,0)</f>
        <v>0</v>
      </c>
      <c r="AG18" s="96"/>
      <c r="AH18" s="75" t="n">
        <f aca="false">SUMIFS('Dados Mov Financeira'!$N:$N,'Dados Mov Financeira'!$O:$O,'DRE 2019'!$B18,'Dados Mov Financeira'!$A:$A,'DRE 2019'!AH$1)</f>
        <v>0</v>
      </c>
      <c r="AI18" s="91" t="n">
        <f aca="false">IFERROR(AH18/AH$5,0)</f>
        <v>0</v>
      </c>
      <c r="AJ18" s="96"/>
      <c r="AK18" s="75" t="n">
        <f aca="false">SUMIFS('Dados Mov Financeira'!$N:$N,'Dados Mov Financeira'!$O:$O,'DRE 2019'!$B18,'Dados Mov Financeira'!$A:$A,'DRE 2019'!AK$1)</f>
        <v>0</v>
      </c>
      <c r="AL18" s="91" t="n">
        <f aca="false">IFERROR(AK18/AK$5,0)</f>
        <v>0</v>
      </c>
      <c r="AM18" s="96"/>
      <c r="AN18" s="92" t="n">
        <f aca="false">SUM(D18,G18,J18,M18,P18,S18,V18,Y18,AB18,AE18,AH18,AK18)</f>
        <v>0</v>
      </c>
      <c r="AO18" s="91" t="n">
        <f aca="false">IFERROR(AN18/AN$5,0)</f>
        <v>0</v>
      </c>
      <c r="AP18" s="96"/>
      <c r="AQ18" s="93" t="n">
        <f aca="false">AN18/$AR$1</f>
        <v>0</v>
      </c>
      <c r="AR18" s="94" t="n">
        <f aca="false">IFERROR(AQ18/AQ$5,0)</f>
        <v>0</v>
      </c>
      <c r="AS18" s="96"/>
      <c r="AT18" s="78"/>
    </row>
    <row r="19" customFormat="false" ht="14.25" hidden="true" customHeight="false" outlineLevel="1" collapsed="false">
      <c r="B19" s="89" t="s">
        <v>48</v>
      </c>
      <c r="C19" s="92"/>
      <c r="D19" s="75" t="n">
        <f aca="false">SUMIFS('Dados Mov Financeira'!$N:$N,'Dados Mov Financeira'!$O:$O,'DRE 2019'!$B19,'Dados Mov Financeira'!$A:$A,'DRE 2019'!D$1)</f>
        <v>0</v>
      </c>
      <c r="E19" s="91" t="n">
        <f aca="false">IFERROR(D19/D$5,0)</f>
        <v>0</v>
      </c>
      <c r="F19" s="96"/>
      <c r="G19" s="75" t="n">
        <f aca="false">SUMIFS('Dados Mov Financeira'!$N:$N,'Dados Mov Financeira'!$O:$O,'DRE 2019'!$B19,'Dados Mov Financeira'!$A:$A,'DRE 2019'!G$1)</f>
        <v>0</v>
      </c>
      <c r="H19" s="91" t="n">
        <f aca="false">IFERROR(G19/G$5,0)</f>
        <v>0</v>
      </c>
      <c r="I19" s="96"/>
      <c r="J19" s="75" t="n">
        <f aca="false">SUMIFS('Dados Mov Financeira'!$N:$N,'Dados Mov Financeira'!$O:$O,'DRE 2019'!$B19,'Dados Mov Financeira'!$A:$A,'DRE 2019'!J$1)</f>
        <v>0</v>
      </c>
      <c r="K19" s="91" t="n">
        <f aca="false">IFERROR(J19/J$5,0)</f>
        <v>0</v>
      </c>
      <c r="L19" s="96"/>
      <c r="M19" s="75" t="n">
        <f aca="false">SUMIFS('Dados Mov Financeira'!$N:$N,'Dados Mov Financeira'!$O:$O,'DRE 2019'!$B19,'Dados Mov Financeira'!$A:$A,'DRE 2019'!M$1)</f>
        <v>0</v>
      </c>
      <c r="N19" s="91" t="n">
        <f aca="false">IFERROR(M19/M$5,0)</f>
        <v>0</v>
      </c>
      <c r="O19" s="96"/>
      <c r="P19" s="75" t="n">
        <f aca="false">SUMIFS('Dados Mov Financeira'!$N:$N,'Dados Mov Financeira'!$O:$O,'DRE 2019'!$B19,'Dados Mov Financeira'!$A:$A,'DRE 2019'!P$1)</f>
        <v>0</v>
      </c>
      <c r="Q19" s="91" t="n">
        <f aca="false">IFERROR(P19/P$5,0)</f>
        <v>0</v>
      </c>
      <c r="R19" s="96"/>
      <c r="S19" s="75" t="n">
        <f aca="false">SUMIFS('Dados Mov Financeira'!$N:$N,'Dados Mov Financeira'!$O:$O,'DRE 2019'!$B19,'Dados Mov Financeira'!$A:$A,'DRE 2019'!S$1)</f>
        <v>0</v>
      </c>
      <c r="T19" s="91" t="n">
        <f aca="false">IFERROR(S19/S$5,0)</f>
        <v>0</v>
      </c>
      <c r="U19" s="96"/>
      <c r="V19" s="75" t="n">
        <f aca="false">SUMIFS('Dados Mov Financeira'!$N:$N,'Dados Mov Financeira'!$O:$O,'DRE 2019'!$B19,'Dados Mov Financeira'!$A:$A,'DRE 2019'!V$1)</f>
        <v>0</v>
      </c>
      <c r="W19" s="91" t="n">
        <f aca="false">IFERROR(V19/V$5,0)</f>
        <v>0</v>
      </c>
      <c r="X19" s="96"/>
      <c r="Y19" s="75" t="n">
        <f aca="false">SUMIFS('Dados Mov Financeira'!$N:$N,'Dados Mov Financeira'!$O:$O,'DRE 2019'!$B19,'Dados Mov Financeira'!$A:$A,'DRE 2019'!Y$1)</f>
        <v>0</v>
      </c>
      <c r="Z19" s="91" t="n">
        <f aca="false">IFERROR(Y19/Y$5,0)</f>
        <v>0</v>
      </c>
      <c r="AA19" s="96"/>
      <c r="AB19" s="75" t="n">
        <f aca="false">SUMIFS('Dados Mov Financeira'!$N:$N,'Dados Mov Financeira'!$O:$O,'DRE 2019'!$B19,'Dados Mov Financeira'!$A:$A,'DRE 2019'!AB$1)</f>
        <v>0</v>
      </c>
      <c r="AC19" s="91" t="n">
        <f aca="false">IFERROR(AB19/AB$5,0)</f>
        <v>0</v>
      </c>
      <c r="AD19" s="96"/>
      <c r="AE19" s="75" t="n">
        <f aca="false">SUMIFS('Dados Mov Financeira'!$N:$N,'Dados Mov Financeira'!$O:$O,'DRE 2019'!$B19,'Dados Mov Financeira'!$A:$A,'DRE 2019'!AE$1)</f>
        <v>0</v>
      </c>
      <c r="AF19" s="91" t="n">
        <f aca="false">IFERROR(AE19/AE$5,0)</f>
        <v>0</v>
      </c>
      <c r="AG19" s="96"/>
      <c r="AH19" s="75" t="n">
        <f aca="false">SUMIFS('Dados Mov Financeira'!$N:$N,'Dados Mov Financeira'!$O:$O,'DRE 2019'!$B19,'Dados Mov Financeira'!$A:$A,'DRE 2019'!AH$1)</f>
        <v>0</v>
      </c>
      <c r="AI19" s="91" t="n">
        <f aca="false">IFERROR(AH19/AH$5,0)</f>
        <v>0</v>
      </c>
      <c r="AJ19" s="96"/>
      <c r="AK19" s="75" t="n">
        <f aca="false">SUMIFS('Dados Mov Financeira'!$N:$N,'Dados Mov Financeira'!$O:$O,'DRE 2019'!$B19,'Dados Mov Financeira'!$A:$A,'DRE 2019'!AK$1)</f>
        <v>0</v>
      </c>
      <c r="AL19" s="91" t="n">
        <f aca="false">IFERROR(AK19/AK$5,0)</f>
        <v>0</v>
      </c>
      <c r="AM19" s="96"/>
      <c r="AN19" s="92" t="n">
        <f aca="false">SUM(D19,G19,J19,M19,P19,S19,V19,Y19,AB19,AE19,AH19,AK19)</f>
        <v>0</v>
      </c>
      <c r="AO19" s="91" t="n">
        <f aca="false">IFERROR(AN19/AN$5,0)</f>
        <v>0</v>
      </c>
      <c r="AP19" s="96"/>
      <c r="AQ19" s="93" t="n">
        <f aca="false">AN19/$AR$1</f>
        <v>0</v>
      </c>
      <c r="AR19" s="94" t="n">
        <f aca="false">IFERROR(AQ19/AQ$5,0)</f>
        <v>0</v>
      </c>
      <c r="AS19" s="96"/>
      <c r="AT19" s="78"/>
    </row>
    <row r="20" s="57" customFormat="true" ht="10.5" hidden="false" customHeight="true" outlineLevel="0" collapsed="false">
      <c r="B20" s="48"/>
      <c r="C20" s="58"/>
      <c r="D20" s="59"/>
      <c r="E20" s="60"/>
      <c r="F20" s="58"/>
      <c r="G20" s="59"/>
      <c r="H20" s="60"/>
      <c r="I20" s="58"/>
      <c r="J20" s="59"/>
      <c r="K20" s="60"/>
      <c r="L20" s="58"/>
      <c r="M20" s="59"/>
      <c r="N20" s="60"/>
      <c r="O20" s="58"/>
      <c r="P20" s="59"/>
      <c r="Q20" s="60"/>
      <c r="R20" s="58"/>
      <c r="S20" s="59"/>
      <c r="T20" s="60"/>
      <c r="U20" s="58"/>
      <c r="V20" s="59"/>
      <c r="W20" s="60"/>
      <c r="X20" s="58"/>
      <c r="Y20" s="59"/>
      <c r="Z20" s="60"/>
      <c r="AA20" s="58"/>
      <c r="AB20" s="59"/>
      <c r="AC20" s="60"/>
      <c r="AD20" s="58"/>
      <c r="AE20" s="59"/>
      <c r="AF20" s="60"/>
      <c r="AG20" s="58"/>
      <c r="AH20" s="59"/>
      <c r="AI20" s="60"/>
      <c r="AJ20" s="58"/>
      <c r="AK20" s="59"/>
      <c r="AL20" s="60"/>
      <c r="AM20" s="58"/>
      <c r="AN20" s="59"/>
      <c r="AO20" s="60"/>
      <c r="AP20" s="58"/>
      <c r="AQ20" s="61"/>
      <c r="AR20" s="60"/>
      <c r="AS20" s="58"/>
      <c r="AT20" s="62"/>
    </row>
    <row r="21" s="63" customFormat="true" ht="17.35" hidden="false" customHeight="false" outlineLevel="0" collapsed="false">
      <c r="A21" s="36"/>
      <c r="B21" s="98" t="s">
        <v>49</v>
      </c>
      <c r="D21" s="80" t="n">
        <f aca="false">D5+D9</f>
        <v>0</v>
      </c>
      <c r="E21" s="81" t="n">
        <f aca="false">IFERROR(D21/D$5,0)</f>
        <v>0</v>
      </c>
      <c r="G21" s="80" t="n">
        <f aca="false">G5+G9</f>
        <v>0</v>
      </c>
      <c r="H21" s="81" t="n">
        <f aca="false">IFERROR(G21/G$5,0)</f>
        <v>0</v>
      </c>
      <c r="J21" s="80" t="n">
        <f aca="false">J5+J9</f>
        <v>0</v>
      </c>
      <c r="K21" s="81" t="n">
        <f aca="false">IFERROR(J21/J$5,0)</f>
        <v>0</v>
      </c>
      <c r="M21" s="80" t="n">
        <f aca="false">M5+M9</f>
        <v>0</v>
      </c>
      <c r="N21" s="81" t="n">
        <f aca="false">IFERROR(M21/M$5,0)</f>
        <v>0</v>
      </c>
      <c r="P21" s="80" t="n">
        <f aca="false">P5+P9</f>
        <v>0</v>
      </c>
      <c r="Q21" s="81" t="n">
        <f aca="false">IFERROR(P21/P$5,0)</f>
        <v>0</v>
      </c>
      <c r="S21" s="80" t="n">
        <f aca="false">S5+S9</f>
        <v>0</v>
      </c>
      <c r="T21" s="81" t="n">
        <f aca="false">IFERROR(S21/S$5,0)</f>
        <v>0</v>
      </c>
      <c r="V21" s="80" t="n">
        <f aca="false">V5+V9</f>
        <v>0</v>
      </c>
      <c r="W21" s="81" t="n">
        <f aca="false">IFERROR(V21/V$5,0)</f>
        <v>0</v>
      </c>
      <c r="Y21" s="80" t="n">
        <f aca="false">Y5+Y9</f>
        <v>0</v>
      </c>
      <c r="Z21" s="81" t="n">
        <f aca="false">IFERROR(Y21/Y$5,0)</f>
        <v>0</v>
      </c>
      <c r="AB21" s="80" t="n">
        <f aca="false">AB5+AB9</f>
        <v>0</v>
      </c>
      <c r="AC21" s="81" t="n">
        <f aca="false">IFERROR(AB21/AB$5,0)</f>
        <v>0</v>
      </c>
      <c r="AE21" s="80" t="n">
        <f aca="false">AE5+AE9</f>
        <v>0</v>
      </c>
      <c r="AF21" s="81" t="n">
        <f aca="false">IFERROR(AE21/AE$5,0)</f>
        <v>0</v>
      </c>
      <c r="AH21" s="80" t="n">
        <f aca="false">AH5+AH9</f>
        <v>0</v>
      </c>
      <c r="AI21" s="81" t="n">
        <f aca="false">IFERROR(AH21/AH$5,0)</f>
        <v>0</v>
      </c>
      <c r="AK21" s="80" t="n">
        <f aca="false">AK5+AK9</f>
        <v>0</v>
      </c>
      <c r="AL21" s="81" t="n">
        <f aca="false">IFERROR(AK21/AK$5,0)</f>
        <v>0</v>
      </c>
      <c r="AN21" s="80" t="n">
        <f aca="false">AN5+AN9</f>
        <v>0</v>
      </c>
      <c r="AO21" s="81" t="n">
        <f aca="false">IFERROR(AN21/AN$5,0)</f>
        <v>0</v>
      </c>
      <c r="AQ21" s="82" t="n">
        <f aca="false">AQ5+AQ9</f>
        <v>0</v>
      </c>
      <c r="AR21" s="83" t="n">
        <f aca="false">IFERROR(AQ21/AQ$5,0)</f>
        <v>0</v>
      </c>
      <c r="AT21" s="84" t="n">
        <f aca="false">AT5+AT9</f>
        <v>0.9335</v>
      </c>
    </row>
    <row r="22" s="57" customFormat="true" ht="7.5" hidden="false" customHeight="true" outlineLevel="0" collapsed="false">
      <c r="B22" s="48"/>
      <c r="C22" s="58"/>
      <c r="D22" s="59"/>
      <c r="E22" s="60"/>
      <c r="F22" s="58"/>
      <c r="G22" s="59"/>
      <c r="H22" s="60"/>
      <c r="I22" s="58"/>
      <c r="J22" s="59"/>
      <c r="K22" s="60"/>
      <c r="L22" s="58"/>
      <c r="M22" s="59"/>
      <c r="N22" s="60"/>
      <c r="O22" s="58"/>
      <c r="P22" s="59"/>
      <c r="Q22" s="60"/>
      <c r="R22" s="58"/>
      <c r="S22" s="59"/>
      <c r="T22" s="60"/>
      <c r="U22" s="58"/>
      <c r="V22" s="59"/>
      <c r="W22" s="60"/>
      <c r="X22" s="58"/>
      <c r="Y22" s="59"/>
      <c r="Z22" s="60"/>
      <c r="AA22" s="58"/>
      <c r="AB22" s="59"/>
      <c r="AC22" s="60"/>
      <c r="AD22" s="58"/>
      <c r="AE22" s="59"/>
      <c r="AF22" s="60"/>
      <c r="AG22" s="58"/>
      <c r="AH22" s="59"/>
      <c r="AI22" s="60"/>
      <c r="AJ22" s="58"/>
      <c r="AK22" s="59"/>
      <c r="AL22" s="60"/>
      <c r="AM22" s="58"/>
      <c r="AN22" s="59"/>
      <c r="AO22" s="60"/>
      <c r="AP22" s="58"/>
      <c r="AQ22" s="61"/>
      <c r="AR22" s="60"/>
      <c r="AS22" s="58"/>
      <c r="AT22" s="62"/>
    </row>
    <row r="23" s="63" customFormat="true" ht="17.35" hidden="false" customHeight="false" outlineLevel="0" collapsed="false">
      <c r="A23" s="36"/>
      <c r="B23" s="79" t="s">
        <v>50</v>
      </c>
      <c r="D23" s="80" t="n">
        <f aca="false">SUM(D24,D28)</f>
        <v>0</v>
      </c>
      <c r="E23" s="81" t="n">
        <f aca="false">IFERROR(D23/D$5,0)</f>
        <v>0</v>
      </c>
      <c r="G23" s="80" t="n">
        <f aca="false">SUM(G24,G28)</f>
        <v>0</v>
      </c>
      <c r="H23" s="81" t="n">
        <f aca="false">IFERROR(G23/G$5,0)</f>
        <v>0</v>
      </c>
      <c r="J23" s="80" t="n">
        <f aca="false">SUM(J24,J28)</f>
        <v>0</v>
      </c>
      <c r="K23" s="81" t="n">
        <f aca="false">IFERROR(J23/J$5,0)</f>
        <v>0</v>
      </c>
      <c r="M23" s="80" t="n">
        <f aca="false">SUM(M24,M28)</f>
        <v>0</v>
      </c>
      <c r="N23" s="81" t="n">
        <f aca="false">IFERROR(M23/M$5,0)</f>
        <v>0</v>
      </c>
      <c r="P23" s="80" t="n">
        <f aca="false">SUM(P24,P28)</f>
        <v>0</v>
      </c>
      <c r="Q23" s="81" t="n">
        <f aca="false">IFERROR(P23/P$5,0)</f>
        <v>0</v>
      </c>
      <c r="S23" s="80" t="n">
        <f aca="false">SUM(S24,S28)</f>
        <v>0</v>
      </c>
      <c r="T23" s="81" t="n">
        <f aca="false">IFERROR(S23/S$5,0)</f>
        <v>0</v>
      </c>
      <c r="V23" s="80" t="n">
        <f aca="false">SUM(V24,V28)</f>
        <v>0</v>
      </c>
      <c r="W23" s="81" t="n">
        <f aca="false">IFERROR(V23/V$5,0)</f>
        <v>0</v>
      </c>
      <c r="Y23" s="80" t="n">
        <f aca="false">SUM(Y24,Y28)</f>
        <v>0</v>
      </c>
      <c r="Z23" s="81" t="n">
        <f aca="false">IFERROR(Y23/Y$5,0)</f>
        <v>0</v>
      </c>
      <c r="AB23" s="80" t="n">
        <f aca="false">SUM(AB24,AB28)</f>
        <v>0</v>
      </c>
      <c r="AC23" s="81" t="n">
        <f aca="false">IFERROR(AB23/AB$5,0)</f>
        <v>0</v>
      </c>
      <c r="AE23" s="80" t="n">
        <f aca="false">SUM(AE24,AE28)</f>
        <v>0</v>
      </c>
      <c r="AF23" s="81" t="n">
        <f aca="false">IFERROR(AE23/AE$5,0)</f>
        <v>0</v>
      </c>
      <c r="AH23" s="80" t="n">
        <f aca="false">SUM(AH24,AH28)</f>
        <v>0</v>
      </c>
      <c r="AI23" s="81" t="n">
        <f aca="false">IFERROR(AH23/AH$5,0)</f>
        <v>0</v>
      </c>
      <c r="AK23" s="80" t="n">
        <f aca="false">SUM(AK24,AK28)</f>
        <v>0</v>
      </c>
      <c r="AL23" s="81" t="n">
        <f aca="false">IFERROR(AK23/AK$5,0)</f>
        <v>0</v>
      </c>
      <c r="AN23" s="80" t="n">
        <f aca="false">SUM(AN24,AN28)</f>
        <v>0</v>
      </c>
      <c r="AO23" s="81" t="n">
        <f aca="false">IFERROR(AN23/AN$5,0)</f>
        <v>0</v>
      </c>
      <c r="AQ23" s="82" t="n">
        <f aca="false">SUM(AQ24,AQ28)</f>
        <v>0</v>
      </c>
      <c r="AR23" s="83" t="n">
        <f aca="false">IFERROR(AQ23/AQ$5,0)</f>
        <v>0</v>
      </c>
      <c r="AT23" s="84" t="n">
        <f aca="false">SUM(AT24,AT28)</f>
        <v>-0.29</v>
      </c>
    </row>
    <row r="24" s="63" customFormat="true" ht="14.25" hidden="false" customHeight="false" outlineLevel="0" collapsed="false">
      <c r="B24" s="85" t="s">
        <v>51</v>
      </c>
      <c r="D24" s="99" t="n">
        <f aca="false">SUM(D25:D27)</f>
        <v>0</v>
      </c>
      <c r="E24" s="95" t="n">
        <f aca="false">IFERROR(D24/D$5,0)</f>
        <v>0</v>
      </c>
      <c r="G24" s="99" t="n">
        <f aca="false">SUM(G25:G27)</f>
        <v>0</v>
      </c>
      <c r="H24" s="95" t="n">
        <f aca="false">IFERROR(G24/G$5,0)</f>
        <v>0</v>
      </c>
      <c r="J24" s="99" t="n">
        <f aca="false">SUM(J25:J27)</f>
        <v>0</v>
      </c>
      <c r="K24" s="95" t="n">
        <f aca="false">IFERROR(J24/J$5,0)</f>
        <v>0</v>
      </c>
      <c r="M24" s="99" t="n">
        <f aca="false">SUM(M25:M27)</f>
        <v>0</v>
      </c>
      <c r="N24" s="95" t="n">
        <f aca="false">IFERROR(M24/M$5,0)</f>
        <v>0</v>
      </c>
      <c r="P24" s="99" t="n">
        <f aca="false">SUM(P25:P27)</f>
        <v>0</v>
      </c>
      <c r="Q24" s="95" t="n">
        <f aca="false">IFERROR(P24/P$5,0)</f>
        <v>0</v>
      </c>
      <c r="S24" s="99" t="n">
        <f aca="false">SUM(S25:S27)</f>
        <v>0</v>
      </c>
      <c r="T24" s="95" t="n">
        <f aca="false">IFERROR(S24/S$5,0)</f>
        <v>0</v>
      </c>
      <c r="V24" s="99" t="n">
        <f aca="false">SUM(V25:V27)</f>
        <v>0</v>
      </c>
      <c r="W24" s="95" t="n">
        <f aca="false">IFERROR(V24/V$5,0)</f>
        <v>0</v>
      </c>
      <c r="Y24" s="99" t="n">
        <f aca="false">SUM(Y25:Y27)</f>
        <v>0</v>
      </c>
      <c r="Z24" s="95" t="n">
        <f aca="false">IFERROR(Y24/Y$5,0)</f>
        <v>0</v>
      </c>
      <c r="AB24" s="99" t="n">
        <f aca="false">SUM(AB25:AB27)</f>
        <v>0</v>
      </c>
      <c r="AC24" s="95" t="n">
        <f aca="false">IFERROR(AB24/AB$5,0)</f>
        <v>0</v>
      </c>
      <c r="AE24" s="99" t="n">
        <f aca="false">SUM(AE25:AE27)</f>
        <v>0</v>
      </c>
      <c r="AF24" s="95" t="n">
        <f aca="false">IFERROR(AE24/AE$5,0)</f>
        <v>0</v>
      </c>
      <c r="AH24" s="99" t="n">
        <f aca="false">SUM(AH25:AH27)</f>
        <v>0</v>
      </c>
      <c r="AI24" s="95" t="n">
        <f aca="false">IFERROR(AH24/AH$5,0)</f>
        <v>0</v>
      </c>
      <c r="AK24" s="99" t="n">
        <f aca="false">SUM(AK25:AK27)</f>
        <v>0</v>
      </c>
      <c r="AL24" s="95" t="n">
        <f aca="false">IFERROR(AK24/AK$5,0)</f>
        <v>0</v>
      </c>
      <c r="AN24" s="75" t="n">
        <f aca="false">SUM(D24,G24,J24,M24,P24,S24,V24,Y24,AB24,AE24,AH24,AK24)</f>
        <v>0</v>
      </c>
      <c r="AO24" s="88" t="n">
        <f aca="false">IFERROR(AN24/AN$5,0)</f>
        <v>0</v>
      </c>
      <c r="AQ24" s="77" t="n">
        <f aca="false">AN24/$AR$1</f>
        <v>0</v>
      </c>
      <c r="AR24" s="76" t="n">
        <f aca="false">IFERROR(AQ24/AQ$5,0)</f>
        <v>0</v>
      </c>
      <c r="AT24" s="78" t="n">
        <v>-0.09</v>
      </c>
    </row>
    <row r="25" customFormat="false" ht="14.25" hidden="true" customHeight="false" outlineLevel="1" collapsed="false">
      <c r="B25" s="89" t="s">
        <v>52</v>
      </c>
      <c r="C25" s="96"/>
      <c r="D25" s="75" t="n">
        <f aca="false">SUMIFS('Dados Mov Financeira'!$N:$N,'Dados Mov Financeira'!$O:$O,'DRE 2019'!$B25,'Dados Mov Financeira'!$A:$A,'DRE 2019'!D$1)</f>
        <v>0</v>
      </c>
      <c r="E25" s="91" t="n">
        <f aca="false">IFERROR(D25/D$5,0)</f>
        <v>0</v>
      </c>
      <c r="F25" s="96"/>
      <c r="G25" s="75" t="n">
        <f aca="false">SUMIFS('Dados Mov Financeira'!$N:$N,'Dados Mov Financeira'!$O:$O,'DRE 2019'!$B25,'Dados Mov Financeira'!$A:$A,'DRE 2019'!G$1)</f>
        <v>0</v>
      </c>
      <c r="H25" s="91" t="n">
        <f aca="false">IFERROR(G25/G$5,0)</f>
        <v>0</v>
      </c>
      <c r="I25" s="96"/>
      <c r="J25" s="75" t="n">
        <f aca="false">SUMIFS('Dados Mov Financeira'!$N:$N,'Dados Mov Financeira'!$O:$O,'DRE 2019'!$B25,'Dados Mov Financeira'!$A:$A,'DRE 2019'!J$1)</f>
        <v>0</v>
      </c>
      <c r="K25" s="91" t="n">
        <f aca="false">IFERROR(J25/J$5,0)</f>
        <v>0</v>
      </c>
      <c r="L25" s="96"/>
      <c r="M25" s="75" t="n">
        <f aca="false">SUMIFS('Dados Mov Financeira'!$N:$N,'Dados Mov Financeira'!$O:$O,'DRE 2019'!$B25,'Dados Mov Financeira'!$A:$A,'DRE 2019'!M$1)</f>
        <v>0</v>
      </c>
      <c r="N25" s="91" t="n">
        <f aca="false">IFERROR(M25/M$5,0)</f>
        <v>0</v>
      </c>
      <c r="O25" s="96"/>
      <c r="P25" s="75" t="n">
        <f aca="false">SUMIFS('Dados Mov Financeira'!$N:$N,'Dados Mov Financeira'!$O:$O,'DRE 2019'!$B25,'Dados Mov Financeira'!$A:$A,'DRE 2019'!P$1)</f>
        <v>0</v>
      </c>
      <c r="Q25" s="91" t="n">
        <f aca="false">IFERROR(P25/P$5,0)</f>
        <v>0</v>
      </c>
      <c r="R25" s="96"/>
      <c r="S25" s="75" t="n">
        <f aca="false">SUMIFS('Dados Mov Financeira'!$N:$N,'Dados Mov Financeira'!$O:$O,'DRE 2019'!$B25,'Dados Mov Financeira'!$A:$A,'DRE 2019'!S$1)</f>
        <v>0</v>
      </c>
      <c r="T25" s="91" t="n">
        <f aca="false">IFERROR(S25/S$5,0)</f>
        <v>0</v>
      </c>
      <c r="U25" s="96"/>
      <c r="V25" s="75" t="n">
        <f aca="false">SUMIFS('Dados Mov Financeira'!$N:$N,'Dados Mov Financeira'!$O:$O,'DRE 2019'!$B25,'Dados Mov Financeira'!$A:$A,'DRE 2019'!V$1)</f>
        <v>0</v>
      </c>
      <c r="W25" s="91" t="n">
        <f aca="false">IFERROR(V25/V$5,0)</f>
        <v>0</v>
      </c>
      <c r="X25" s="96"/>
      <c r="Y25" s="75" t="n">
        <f aca="false">SUMIFS('Dados Mov Financeira'!$N:$N,'Dados Mov Financeira'!$O:$O,'DRE 2019'!$B25,'Dados Mov Financeira'!$A:$A,'DRE 2019'!Y$1)</f>
        <v>0</v>
      </c>
      <c r="Z25" s="91" t="n">
        <f aca="false">IFERROR(Y25/Y$5,0)</f>
        <v>0</v>
      </c>
      <c r="AA25" s="96"/>
      <c r="AB25" s="75" t="n">
        <f aca="false">SUMIFS('Dados Mov Financeira'!$N:$N,'Dados Mov Financeira'!$O:$O,'DRE 2019'!$B25,'Dados Mov Financeira'!$A:$A,'DRE 2019'!AB$1)</f>
        <v>0</v>
      </c>
      <c r="AC25" s="91" t="n">
        <f aca="false">IFERROR(AB25/AB$5,0)</f>
        <v>0</v>
      </c>
      <c r="AD25" s="96"/>
      <c r="AE25" s="75" t="n">
        <f aca="false">SUMIFS('Dados Mov Financeira'!$N:$N,'Dados Mov Financeira'!$O:$O,'DRE 2019'!$B25,'Dados Mov Financeira'!$A:$A,'DRE 2019'!AE$1)</f>
        <v>0</v>
      </c>
      <c r="AF25" s="91" t="n">
        <f aca="false">IFERROR(AE25/AE$5,0)</f>
        <v>0</v>
      </c>
      <c r="AG25" s="96"/>
      <c r="AH25" s="75" t="n">
        <f aca="false">SUMIFS('Dados Mov Financeira'!$N:$N,'Dados Mov Financeira'!$O:$O,'DRE 2019'!$B25,'Dados Mov Financeira'!$A:$A,'DRE 2019'!AH$1)</f>
        <v>0</v>
      </c>
      <c r="AI25" s="91" t="n">
        <f aca="false">IFERROR(AH25/AH$5,0)</f>
        <v>0</v>
      </c>
      <c r="AJ25" s="96"/>
      <c r="AK25" s="75" t="n">
        <f aca="false">SUMIFS('Dados Mov Financeira'!$N:$N,'Dados Mov Financeira'!$O:$O,'DRE 2019'!$B25,'Dados Mov Financeira'!$A:$A,'DRE 2019'!AK$1)</f>
        <v>0</v>
      </c>
      <c r="AL25" s="91" t="n">
        <f aca="false">IFERROR(AK25/AK$5,0)</f>
        <v>0</v>
      </c>
      <c r="AM25" s="96"/>
      <c r="AN25" s="92" t="n">
        <f aca="false">SUM(D25,G25,J25,M25,P25,S25,V25,Y25,AB25,AE25,AH25,AK25)</f>
        <v>0</v>
      </c>
      <c r="AO25" s="91" t="n">
        <f aca="false">IFERROR(AN25/AN$5,0)</f>
        <v>0</v>
      </c>
      <c r="AP25" s="96"/>
      <c r="AQ25" s="93" t="n">
        <f aca="false">AN25/$AR$1</f>
        <v>0</v>
      </c>
      <c r="AR25" s="94" t="n">
        <f aca="false">IFERROR(AQ25/AQ$5,0)</f>
        <v>0</v>
      </c>
      <c r="AS25" s="96"/>
      <c r="AT25" s="78"/>
    </row>
    <row r="26" customFormat="false" ht="14.25" hidden="true" customHeight="false" outlineLevel="1" collapsed="false">
      <c r="B26" s="89" t="s">
        <v>53</v>
      </c>
      <c r="D26" s="75" t="n">
        <f aca="false">SUMIFS('Dados Mov Financeira'!$N:$N,'Dados Mov Financeira'!$O:$O,'DRE 2019'!$B26,'Dados Mov Financeira'!$A:$A,'DRE 2019'!D$1)</f>
        <v>0</v>
      </c>
      <c r="E26" s="91" t="n">
        <f aca="false">IFERROR(D26/D$5,0)</f>
        <v>0</v>
      </c>
      <c r="G26" s="75" t="n">
        <f aca="false">SUMIFS('Dados Mov Financeira'!$N:$N,'Dados Mov Financeira'!$O:$O,'DRE 2019'!$B26,'Dados Mov Financeira'!$A:$A,'DRE 2019'!G$1)</f>
        <v>0</v>
      </c>
      <c r="H26" s="91" t="n">
        <f aca="false">IFERROR(G26/G$5,0)</f>
        <v>0</v>
      </c>
      <c r="J26" s="75" t="n">
        <f aca="false">SUMIFS('Dados Mov Financeira'!$N:$N,'Dados Mov Financeira'!$O:$O,'DRE 2019'!$B26,'Dados Mov Financeira'!$A:$A,'DRE 2019'!J$1)</f>
        <v>0</v>
      </c>
      <c r="K26" s="91" t="n">
        <f aca="false">IFERROR(J26/J$5,0)</f>
        <v>0</v>
      </c>
      <c r="M26" s="75" t="n">
        <f aca="false">SUMIFS('Dados Mov Financeira'!$N:$N,'Dados Mov Financeira'!$O:$O,'DRE 2019'!$B26,'Dados Mov Financeira'!$A:$A,'DRE 2019'!M$1)</f>
        <v>0</v>
      </c>
      <c r="N26" s="91" t="n">
        <f aca="false">IFERROR(M26/M$5,0)</f>
        <v>0</v>
      </c>
      <c r="P26" s="75" t="n">
        <f aca="false">SUMIFS('Dados Mov Financeira'!$N:$N,'Dados Mov Financeira'!$O:$O,'DRE 2019'!$B26,'Dados Mov Financeira'!$A:$A,'DRE 2019'!P$1)</f>
        <v>0</v>
      </c>
      <c r="Q26" s="91" t="n">
        <f aca="false">IFERROR(P26/P$5,0)</f>
        <v>0</v>
      </c>
      <c r="S26" s="75" t="n">
        <f aca="false">SUMIFS('Dados Mov Financeira'!$N:$N,'Dados Mov Financeira'!$O:$O,'DRE 2019'!$B26,'Dados Mov Financeira'!$A:$A,'DRE 2019'!S$1)</f>
        <v>0</v>
      </c>
      <c r="T26" s="91" t="n">
        <f aca="false">IFERROR(S26/S$5,0)</f>
        <v>0</v>
      </c>
      <c r="V26" s="75" t="n">
        <f aca="false">SUMIFS('Dados Mov Financeira'!$N:$N,'Dados Mov Financeira'!$O:$O,'DRE 2019'!$B26,'Dados Mov Financeira'!$A:$A,'DRE 2019'!V$1)</f>
        <v>0</v>
      </c>
      <c r="W26" s="91" t="n">
        <f aca="false">IFERROR(V26/V$5,0)</f>
        <v>0</v>
      </c>
      <c r="Y26" s="75" t="n">
        <f aca="false">SUMIFS('Dados Mov Financeira'!$N:$N,'Dados Mov Financeira'!$O:$O,'DRE 2019'!$B26,'Dados Mov Financeira'!$A:$A,'DRE 2019'!Y$1)</f>
        <v>0</v>
      </c>
      <c r="Z26" s="91" t="n">
        <f aca="false">IFERROR(Y26/Y$5,0)</f>
        <v>0</v>
      </c>
      <c r="AB26" s="75" t="n">
        <f aca="false">SUMIFS('Dados Mov Financeira'!$N:$N,'Dados Mov Financeira'!$O:$O,'DRE 2019'!$B26,'Dados Mov Financeira'!$A:$A,'DRE 2019'!AB$1)</f>
        <v>0</v>
      </c>
      <c r="AC26" s="91" t="n">
        <f aca="false">IFERROR(AB26/AB$5,0)</f>
        <v>0</v>
      </c>
      <c r="AE26" s="75" t="n">
        <f aca="false">SUMIFS('Dados Mov Financeira'!$N:$N,'Dados Mov Financeira'!$O:$O,'DRE 2019'!$B26,'Dados Mov Financeira'!$A:$A,'DRE 2019'!AE$1)</f>
        <v>0</v>
      </c>
      <c r="AF26" s="91" t="n">
        <f aca="false">IFERROR(AE26/AE$5,0)</f>
        <v>0</v>
      </c>
      <c r="AH26" s="75" t="n">
        <f aca="false">SUMIFS('Dados Mov Financeira'!$N:$N,'Dados Mov Financeira'!$O:$O,'DRE 2019'!$B26,'Dados Mov Financeira'!$A:$A,'DRE 2019'!AH$1)</f>
        <v>0</v>
      </c>
      <c r="AI26" s="91" t="n">
        <f aca="false">IFERROR(AH26/AH$5,0)</f>
        <v>0</v>
      </c>
      <c r="AK26" s="75" t="n">
        <f aca="false">SUMIFS('Dados Mov Financeira'!$N:$N,'Dados Mov Financeira'!$O:$O,'DRE 2019'!$B26,'Dados Mov Financeira'!$A:$A,'DRE 2019'!AK$1)</f>
        <v>0</v>
      </c>
      <c r="AL26" s="91" t="n">
        <f aca="false">IFERROR(AK26/AK$5,0)</f>
        <v>0</v>
      </c>
      <c r="AN26" s="92" t="n">
        <f aca="false">SUM(D26,G26,J26,M26,P26,S26,V26,Y26,AB26,AE26,AH26,AK26)</f>
        <v>0</v>
      </c>
      <c r="AO26" s="91" t="n">
        <f aca="false">IFERROR(AN26/AN$5,0)</f>
        <v>0</v>
      </c>
      <c r="AQ26" s="93" t="n">
        <f aca="false">AN26/$AR$1</f>
        <v>0</v>
      </c>
      <c r="AR26" s="94" t="n">
        <f aca="false">IFERROR(AQ26/AQ$5,0)</f>
        <v>0</v>
      </c>
      <c r="AT26" s="78"/>
    </row>
    <row r="27" customFormat="false" ht="14.25" hidden="true" customHeight="false" outlineLevel="1" collapsed="false">
      <c r="B27" s="89" t="s">
        <v>54</v>
      </c>
      <c r="D27" s="75" t="n">
        <f aca="false">SUMIFS('Dados Mov Financeira'!$N:$N,'Dados Mov Financeira'!$O:$O,'DRE 2019'!$B27,'Dados Mov Financeira'!$A:$A,'DRE 2019'!D$1)</f>
        <v>0</v>
      </c>
      <c r="E27" s="91" t="n">
        <f aca="false">IFERROR(D27/D$5,0)</f>
        <v>0</v>
      </c>
      <c r="G27" s="75" t="n">
        <f aca="false">SUMIFS('Dados Mov Financeira'!$N:$N,'Dados Mov Financeira'!$O:$O,'DRE 2019'!$B27,'Dados Mov Financeira'!$A:$A,'DRE 2019'!G$1)</f>
        <v>0</v>
      </c>
      <c r="H27" s="91" t="n">
        <f aca="false">IFERROR(G27/G$5,0)</f>
        <v>0</v>
      </c>
      <c r="J27" s="75" t="n">
        <f aca="false">SUMIFS('Dados Mov Financeira'!$N:$N,'Dados Mov Financeira'!$O:$O,'DRE 2019'!$B27,'Dados Mov Financeira'!$A:$A,'DRE 2019'!J$1)</f>
        <v>0</v>
      </c>
      <c r="K27" s="91" t="n">
        <f aca="false">IFERROR(J27/J$5,0)</f>
        <v>0</v>
      </c>
      <c r="M27" s="75" t="n">
        <f aca="false">SUMIFS('Dados Mov Financeira'!$N:$N,'Dados Mov Financeira'!$O:$O,'DRE 2019'!$B27,'Dados Mov Financeira'!$A:$A,'DRE 2019'!M$1)</f>
        <v>0</v>
      </c>
      <c r="N27" s="91" t="n">
        <f aca="false">IFERROR(M27/M$5,0)</f>
        <v>0</v>
      </c>
      <c r="P27" s="75" t="n">
        <f aca="false">SUMIFS('Dados Mov Financeira'!$N:$N,'Dados Mov Financeira'!$O:$O,'DRE 2019'!$B27,'Dados Mov Financeira'!$A:$A,'DRE 2019'!P$1)</f>
        <v>0</v>
      </c>
      <c r="Q27" s="91" t="n">
        <f aca="false">IFERROR(P27/P$5,0)</f>
        <v>0</v>
      </c>
      <c r="S27" s="75" t="n">
        <f aca="false">SUMIFS('Dados Mov Financeira'!$N:$N,'Dados Mov Financeira'!$O:$O,'DRE 2019'!$B27,'Dados Mov Financeira'!$A:$A,'DRE 2019'!S$1)</f>
        <v>0</v>
      </c>
      <c r="T27" s="91" t="n">
        <f aca="false">IFERROR(S27/S$5,0)</f>
        <v>0</v>
      </c>
      <c r="V27" s="75" t="n">
        <f aca="false">SUMIFS('Dados Mov Financeira'!$N:$N,'Dados Mov Financeira'!$O:$O,'DRE 2019'!$B27,'Dados Mov Financeira'!$A:$A,'DRE 2019'!V$1)</f>
        <v>0</v>
      </c>
      <c r="W27" s="91" t="n">
        <f aca="false">IFERROR(V27/V$5,0)</f>
        <v>0</v>
      </c>
      <c r="Y27" s="75" t="n">
        <f aca="false">SUMIFS('Dados Mov Financeira'!$N:$N,'Dados Mov Financeira'!$O:$O,'DRE 2019'!$B27,'Dados Mov Financeira'!$A:$A,'DRE 2019'!Y$1)</f>
        <v>0</v>
      </c>
      <c r="Z27" s="91" t="n">
        <f aca="false">IFERROR(Y27/Y$5,0)</f>
        <v>0</v>
      </c>
      <c r="AB27" s="75" t="n">
        <f aca="false">SUMIFS('Dados Mov Financeira'!$N:$N,'Dados Mov Financeira'!$O:$O,'DRE 2019'!$B27,'Dados Mov Financeira'!$A:$A,'DRE 2019'!AB$1)</f>
        <v>0</v>
      </c>
      <c r="AC27" s="91" t="n">
        <f aca="false">IFERROR(AB27/AB$5,0)</f>
        <v>0</v>
      </c>
      <c r="AE27" s="75" t="n">
        <f aca="false">SUMIFS('Dados Mov Financeira'!$N:$N,'Dados Mov Financeira'!$O:$O,'DRE 2019'!$B27,'Dados Mov Financeira'!$A:$A,'DRE 2019'!AE$1)</f>
        <v>0</v>
      </c>
      <c r="AF27" s="91" t="n">
        <f aca="false">IFERROR(AE27/AE$5,0)</f>
        <v>0</v>
      </c>
      <c r="AH27" s="75" t="n">
        <f aca="false">SUMIFS('Dados Mov Financeira'!$N:$N,'Dados Mov Financeira'!$O:$O,'DRE 2019'!$B27,'Dados Mov Financeira'!$A:$A,'DRE 2019'!AH$1)</f>
        <v>0</v>
      </c>
      <c r="AI27" s="91" t="n">
        <f aca="false">IFERROR(AH27/AH$5,0)</f>
        <v>0</v>
      </c>
      <c r="AK27" s="75" t="n">
        <f aca="false">SUMIFS('Dados Mov Financeira'!$N:$N,'Dados Mov Financeira'!$O:$O,'DRE 2019'!$B27,'Dados Mov Financeira'!$A:$A,'DRE 2019'!AK$1)</f>
        <v>0</v>
      </c>
      <c r="AL27" s="91" t="n">
        <f aca="false">IFERROR(AK27/AK$5,0)</f>
        <v>0</v>
      </c>
      <c r="AN27" s="92" t="n">
        <f aca="false">SUM(D27,G27,J27,M27,P27,S27,V27,Y27,AB27,AE27,AH27,AK27)</f>
        <v>0</v>
      </c>
      <c r="AO27" s="91" t="n">
        <f aca="false">IFERROR(AN27/AN$5,0)</f>
        <v>0</v>
      </c>
      <c r="AQ27" s="93" t="n">
        <f aca="false">AN27/$AR$1</f>
        <v>0</v>
      </c>
      <c r="AR27" s="94" t="n">
        <f aca="false">IFERROR(AQ27/AQ$5,0)</f>
        <v>0</v>
      </c>
      <c r="AT27" s="78"/>
    </row>
    <row r="28" s="63" customFormat="true" ht="14.25" hidden="false" customHeight="false" outlineLevel="0" collapsed="false">
      <c r="B28" s="85" t="s">
        <v>55</v>
      </c>
      <c r="C28" s="100"/>
      <c r="D28" s="75" t="n">
        <f aca="false">SUM(D29:D30)</f>
        <v>0</v>
      </c>
      <c r="E28" s="88" t="n">
        <f aca="false">IFERROR(D28/D$5,0)</f>
        <v>0</v>
      </c>
      <c r="F28" s="100"/>
      <c r="G28" s="75" t="n">
        <f aca="false">SUM(G29:G30)</f>
        <v>0</v>
      </c>
      <c r="H28" s="88" t="n">
        <f aca="false">IFERROR(G28/G$5,0)</f>
        <v>0</v>
      </c>
      <c r="I28" s="100"/>
      <c r="J28" s="75" t="n">
        <f aca="false">SUM(J29:J30)</f>
        <v>0</v>
      </c>
      <c r="K28" s="88" t="n">
        <f aca="false">IFERROR(J28/J$5,0)</f>
        <v>0</v>
      </c>
      <c r="L28" s="100"/>
      <c r="M28" s="75" t="n">
        <f aca="false">SUM(M29:M30)</f>
        <v>0</v>
      </c>
      <c r="N28" s="88" t="n">
        <f aca="false">IFERROR(M28/M$5,0)</f>
        <v>0</v>
      </c>
      <c r="O28" s="100"/>
      <c r="P28" s="75" t="n">
        <f aca="false">SUM(P29:P30)</f>
        <v>0</v>
      </c>
      <c r="Q28" s="88" t="n">
        <f aca="false">IFERROR(P28/P$5,0)</f>
        <v>0</v>
      </c>
      <c r="R28" s="100"/>
      <c r="S28" s="75" t="n">
        <f aca="false">SUM(S29:S30)</f>
        <v>0</v>
      </c>
      <c r="T28" s="88" t="n">
        <f aca="false">IFERROR(S28/S$5,0)</f>
        <v>0</v>
      </c>
      <c r="U28" s="100"/>
      <c r="V28" s="75" t="n">
        <f aca="false">SUM(V29:V30)</f>
        <v>0</v>
      </c>
      <c r="W28" s="88" t="n">
        <f aca="false">IFERROR(V28/V$5,0)</f>
        <v>0</v>
      </c>
      <c r="X28" s="100"/>
      <c r="Y28" s="75" t="n">
        <f aca="false">SUM(Y29:Y30)</f>
        <v>0</v>
      </c>
      <c r="Z28" s="88" t="n">
        <f aca="false">IFERROR(Y28/Y$5,0)</f>
        <v>0</v>
      </c>
      <c r="AA28" s="100"/>
      <c r="AB28" s="75" t="n">
        <f aca="false">SUM(AB29:AB30)</f>
        <v>0</v>
      </c>
      <c r="AC28" s="88" t="n">
        <f aca="false">IFERROR(AB28/AB$5,0)</f>
        <v>0</v>
      </c>
      <c r="AD28" s="100"/>
      <c r="AE28" s="75" t="n">
        <f aca="false">SUM(AE29:AE30)</f>
        <v>0</v>
      </c>
      <c r="AF28" s="88" t="n">
        <f aca="false">IFERROR(AE28/AE$5,0)</f>
        <v>0</v>
      </c>
      <c r="AG28" s="100"/>
      <c r="AH28" s="75" t="n">
        <f aca="false">SUM(AH29:AH30)</f>
        <v>0</v>
      </c>
      <c r="AI28" s="88" t="n">
        <f aca="false">IFERROR(AH28/AH$5,0)</f>
        <v>0</v>
      </c>
      <c r="AJ28" s="100"/>
      <c r="AK28" s="75" t="n">
        <f aca="false">SUM(AK29:AK30)</f>
        <v>0</v>
      </c>
      <c r="AL28" s="88" t="n">
        <f aca="false">IFERROR(AK28/AK$5,0)</f>
        <v>0</v>
      </c>
      <c r="AM28" s="100"/>
      <c r="AN28" s="75" t="n">
        <f aca="false">SUM(AN29:AN30)</f>
        <v>0</v>
      </c>
      <c r="AO28" s="88" t="n">
        <f aca="false">IFERROR(AN28/AN$5,0)</f>
        <v>0</v>
      </c>
      <c r="AP28" s="100"/>
      <c r="AQ28" s="75" t="n">
        <f aca="false">SUM(AQ29:AQ30)</f>
        <v>0</v>
      </c>
      <c r="AR28" s="76" t="n">
        <f aca="false">IFERROR(AQ28/AQ$5,0)</f>
        <v>0</v>
      </c>
      <c r="AS28" s="100"/>
      <c r="AT28" s="78" t="n">
        <v>-0.2</v>
      </c>
    </row>
    <row r="29" customFormat="false" ht="14.25" hidden="true" customHeight="false" outlineLevel="1" collapsed="false">
      <c r="B29" s="89" t="s">
        <v>56</v>
      </c>
      <c r="C29" s="96"/>
      <c r="D29" s="75" t="n">
        <f aca="false">SUMIFS('Dados Mov Financeira'!$N:$N,'Dados Mov Financeira'!$O:$O,'DRE 2019'!$B29,'Dados Mov Financeira'!$A:$A,'DRE 2019'!D$1)</f>
        <v>0</v>
      </c>
      <c r="E29" s="91" t="n">
        <f aca="false">IFERROR(D29/D$5,0)</f>
        <v>0</v>
      </c>
      <c r="F29" s="96"/>
      <c r="G29" s="75" t="n">
        <f aca="false">SUMIFS('Dados Mov Financeira'!$N:$N,'Dados Mov Financeira'!$O:$O,'DRE 2019'!$B29,'Dados Mov Financeira'!$A:$A,'DRE 2019'!G$1)</f>
        <v>0</v>
      </c>
      <c r="H29" s="91" t="n">
        <f aca="false">IFERROR(G29/G$5,0)</f>
        <v>0</v>
      </c>
      <c r="I29" s="96"/>
      <c r="J29" s="75" t="n">
        <f aca="false">SUMIFS('Dados Mov Financeira'!$N:$N,'Dados Mov Financeira'!$O:$O,'DRE 2019'!$B29,'Dados Mov Financeira'!$A:$A,'DRE 2019'!J$1)</f>
        <v>0</v>
      </c>
      <c r="K29" s="91" t="n">
        <f aca="false">IFERROR(J29/J$5,0)</f>
        <v>0</v>
      </c>
      <c r="L29" s="96"/>
      <c r="M29" s="75" t="n">
        <f aca="false">SUMIFS('Dados Mov Financeira'!$N:$N,'Dados Mov Financeira'!$O:$O,'DRE 2019'!$B29,'Dados Mov Financeira'!$A:$A,'DRE 2019'!M$1)</f>
        <v>0</v>
      </c>
      <c r="N29" s="91" t="n">
        <f aca="false">IFERROR(M29/M$5,0)</f>
        <v>0</v>
      </c>
      <c r="O29" s="96"/>
      <c r="P29" s="75" t="n">
        <f aca="false">SUMIFS('Dados Mov Financeira'!$N:$N,'Dados Mov Financeira'!$O:$O,'DRE 2019'!$B29,'Dados Mov Financeira'!$A:$A,'DRE 2019'!P$1)</f>
        <v>0</v>
      </c>
      <c r="Q29" s="91" t="n">
        <f aca="false">IFERROR(P29/P$5,0)</f>
        <v>0</v>
      </c>
      <c r="R29" s="96"/>
      <c r="S29" s="75" t="n">
        <f aca="false">SUMIFS('Dados Mov Financeira'!$N:$N,'Dados Mov Financeira'!$O:$O,'DRE 2019'!$B29,'Dados Mov Financeira'!$A:$A,'DRE 2019'!S$1)</f>
        <v>0</v>
      </c>
      <c r="T29" s="91" t="n">
        <f aca="false">IFERROR(S29/S$5,0)</f>
        <v>0</v>
      </c>
      <c r="U29" s="96"/>
      <c r="V29" s="75" t="n">
        <f aca="false">SUMIFS('Dados Mov Financeira'!$N:$N,'Dados Mov Financeira'!$O:$O,'DRE 2019'!$B29,'Dados Mov Financeira'!$A:$A,'DRE 2019'!V$1)</f>
        <v>0</v>
      </c>
      <c r="W29" s="91" t="n">
        <f aca="false">IFERROR(V29/V$5,0)</f>
        <v>0</v>
      </c>
      <c r="X29" s="96"/>
      <c r="Y29" s="75" t="n">
        <f aca="false">SUMIFS('Dados Mov Financeira'!$N:$N,'Dados Mov Financeira'!$O:$O,'DRE 2019'!$B29,'Dados Mov Financeira'!$A:$A,'DRE 2019'!Y$1)</f>
        <v>0</v>
      </c>
      <c r="Z29" s="91" t="n">
        <f aca="false">IFERROR(Y29/Y$5,0)</f>
        <v>0</v>
      </c>
      <c r="AA29" s="96"/>
      <c r="AB29" s="75" t="n">
        <f aca="false">SUMIFS('Dados Mov Financeira'!$N:$N,'Dados Mov Financeira'!$O:$O,'DRE 2019'!$B29,'Dados Mov Financeira'!$A:$A,'DRE 2019'!AB$1)</f>
        <v>0</v>
      </c>
      <c r="AC29" s="91" t="n">
        <f aca="false">IFERROR(AB29/AB$5,0)</f>
        <v>0</v>
      </c>
      <c r="AD29" s="96"/>
      <c r="AE29" s="75" t="n">
        <f aca="false">SUMIFS('Dados Mov Financeira'!$N:$N,'Dados Mov Financeira'!$O:$O,'DRE 2019'!$B29,'Dados Mov Financeira'!$A:$A,'DRE 2019'!AE$1)</f>
        <v>0</v>
      </c>
      <c r="AF29" s="91" t="n">
        <f aca="false">IFERROR(AE29/AE$5,0)</f>
        <v>0</v>
      </c>
      <c r="AG29" s="96"/>
      <c r="AH29" s="75" t="n">
        <f aca="false">SUMIFS('Dados Mov Financeira'!$N:$N,'Dados Mov Financeira'!$O:$O,'DRE 2019'!$B29,'Dados Mov Financeira'!$A:$A,'DRE 2019'!AH$1)</f>
        <v>0</v>
      </c>
      <c r="AI29" s="91" t="n">
        <f aca="false">IFERROR(AH29/AH$5,0)</f>
        <v>0</v>
      </c>
      <c r="AJ29" s="96"/>
      <c r="AK29" s="75" t="n">
        <f aca="false">SUMIFS('Dados Mov Financeira'!$N:$N,'Dados Mov Financeira'!$O:$O,'DRE 2019'!$B29,'Dados Mov Financeira'!$A:$A,'DRE 2019'!AK$1)</f>
        <v>0</v>
      </c>
      <c r="AL29" s="91" t="n">
        <f aca="false">IFERROR(AK29/AK$5,0)</f>
        <v>0</v>
      </c>
      <c r="AM29" s="96"/>
      <c r="AN29" s="92" t="n">
        <f aca="false">SUM(D29,G29,J29,M29,P29,S29,V29,Y29,AB29,AE29,AH29,AK29)</f>
        <v>0</v>
      </c>
      <c r="AO29" s="91" t="n">
        <f aca="false">IFERROR(AN29/AN$5,0)</f>
        <v>0</v>
      </c>
      <c r="AP29" s="96"/>
      <c r="AQ29" s="93" t="n">
        <f aca="false">AN29/$AR$1</f>
        <v>0</v>
      </c>
      <c r="AR29" s="94" t="n">
        <f aca="false">IFERROR(AQ29/AQ$5,0)</f>
        <v>0</v>
      </c>
      <c r="AS29" s="96"/>
      <c r="AT29" s="78"/>
    </row>
    <row r="30" customFormat="false" ht="14.25" hidden="true" customHeight="false" outlineLevel="1" collapsed="false">
      <c r="B30" s="89" t="s">
        <v>57</v>
      </c>
      <c r="C30" s="96"/>
      <c r="D30" s="75" t="n">
        <f aca="false">SUMIFS('Dados Mov Financeira'!$N:$N,'Dados Mov Financeira'!$O:$O,'DRE 2019'!$B30,'Dados Mov Financeira'!$A:$A,'DRE 2019'!D$1)</f>
        <v>0</v>
      </c>
      <c r="E30" s="91" t="n">
        <f aca="false">IFERROR(D30/D$5,0)</f>
        <v>0</v>
      </c>
      <c r="F30" s="96"/>
      <c r="G30" s="75" t="n">
        <f aca="false">SUMIFS('Dados Mov Financeira'!$N:$N,'Dados Mov Financeira'!$O:$O,'DRE 2019'!$B30,'Dados Mov Financeira'!$A:$A,'DRE 2019'!G$1)</f>
        <v>0</v>
      </c>
      <c r="H30" s="91" t="n">
        <f aca="false">IFERROR(G30/G$5,0)</f>
        <v>0</v>
      </c>
      <c r="I30" s="96"/>
      <c r="J30" s="75" t="n">
        <f aca="false">SUMIFS('Dados Mov Financeira'!$N:$N,'Dados Mov Financeira'!$O:$O,'DRE 2019'!$B30,'Dados Mov Financeira'!$A:$A,'DRE 2019'!J$1)</f>
        <v>0</v>
      </c>
      <c r="K30" s="91" t="n">
        <f aca="false">IFERROR(J30/J$5,0)</f>
        <v>0</v>
      </c>
      <c r="L30" s="96"/>
      <c r="M30" s="75" t="n">
        <f aca="false">SUMIFS('Dados Mov Financeira'!$N:$N,'Dados Mov Financeira'!$O:$O,'DRE 2019'!$B30,'Dados Mov Financeira'!$A:$A,'DRE 2019'!M$1)</f>
        <v>0</v>
      </c>
      <c r="N30" s="91" t="n">
        <f aca="false">IFERROR(M30/M$5,0)</f>
        <v>0</v>
      </c>
      <c r="O30" s="96"/>
      <c r="P30" s="75" t="n">
        <f aca="false">SUMIFS('Dados Mov Financeira'!$N:$N,'Dados Mov Financeira'!$O:$O,'DRE 2019'!$B30,'Dados Mov Financeira'!$A:$A,'DRE 2019'!P$1)</f>
        <v>0</v>
      </c>
      <c r="Q30" s="91" t="n">
        <f aca="false">IFERROR(P30/P$5,0)</f>
        <v>0</v>
      </c>
      <c r="R30" s="96"/>
      <c r="S30" s="75" t="n">
        <f aca="false">SUMIFS('Dados Mov Financeira'!$N:$N,'Dados Mov Financeira'!$O:$O,'DRE 2019'!$B30,'Dados Mov Financeira'!$A:$A,'DRE 2019'!S$1)</f>
        <v>0</v>
      </c>
      <c r="T30" s="91" t="n">
        <f aca="false">IFERROR(S30/S$5,0)</f>
        <v>0</v>
      </c>
      <c r="U30" s="96"/>
      <c r="V30" s="75" t="n">
        <f aca="false">SUMIFS('Dados Mov Financeira'!$N:$N,'Dados Mov Financeira'!$O:$O,'DRE 2019'!$B30,'Dados Mov Financeira'!$A:$A,'DRE 2019'!V$1)</f>
        <v>0</v>
      </c>
      <c r="W30" s="91" t="n">
        <f aca="false">IFERROR(V30/V$5,0)</f>
        <v>0</v>
      </c>
      <c r="X30" s="96"/>
      <c r="Y30" s="75" t="n">
        <f aca="false">SUMIFS('Dados Mov Financeira'!$N:$N,'Dados Mov Financeira'!$O:$O,'DRE 2019'!$B30,'Dados Mov Financeira'!$A:$A,'DRE 2019'!Y$1)</f>
        <v>0</v>
      </c>
      <c r="Z30" s="91" t="n">
        <f aca="false">IFERROR(Y30/Y$5,0)</f>
        <v>0</v>
      </c>
      <c r="AA30" s="96"/>
      <c r="AB30" s="75" t="n">
        <f aca="false">SUMIFS('Dados Mov Financeira'!$N:$N,'Dados Mov Financeira'!$O:$O,'DRE 2019'!$B30,'Dados Mov Financeira'!$A:$A,'DRE 2019'!AB$1)</f>
        <v>0</v>
      </c>
      <c r="AC30" s="91" t="n">
        <f aca="false">IFERROR(AB30/AB$5,0)</f>
        <v>0</v>
      </c>
      <c r="AD30" s="96"/>
      <c r="AE30" s="75" t="n">
        <f aca="false">SUMIFS('Dados Mov Financeira'!$N:$N,'Dados Mov Financeira'!$O:$O,'DRE 2019'!$B30,'Dados Mov Financeira'!$A:$A,'DRE 2019'!AE$1)</f>
        <v>0</v>
      </c>
      <c r="AF30" s="91" t="n">
        <f aca="false">IFERROR(AE30/AE$5,0)</f>
        <v>0</v>
      </c>
      <c r="AG30" s="96"/>
      <c r="AH30" s="75" t="n">
        <f aca="false">SUMIFS('Dados Mov Financeira'!$N:$N,'Dados Mov Financeira'!$O:$O,'DRE 2019'!$B30,'Dados Mov Financeira'!$A:$A,'DRE 2019'!AH$1)</f>
        <v>0</v>
      </c>
      <c r="AI30" s="91" t="n">
        <f aca="false">IFERROR(AH30/AH$5,0)</f>
        <v>0</v>
      </c>
      <c r="AJ30" s="96"/>
      <c r="AK30" s="75" t="n">
        <f aca="false">SUMIFS('Dados Mov Financeira'!$N:$N,'Dados Mov Financeira'!$O:$O,'DRE 2019'!$B30,'Dados Mov Financeira'!$A:$A,'DRE 2019'!AK$1)</f>
        <v>0</v>
      </c>
      <c r="AL30" s="91" t="n">
        <f aca="false">IFERROR(AK30/AK$5,0)</f>
        <v>0</v>
      </c>
      <c r="AM30" s="96"/>
      <c r="AN30" s="92" t="n">
        <f aca="false">SUM(D30,G30,J30,M30,P30,S30,V30,Y30,AB30,AE30,AH30,AK30)</f>
        <v>0</v>
      </c>
      <c r="AO30" s="91" t="n">
        <f aca="false">IFERROR(AN30/AN$5,0)</f>
        <v>0</v>
      </c>
      <c r="AP30" s="96"/>
      <c r="AQ30" s="93" t="n">
        <f aca="false">AN30/$AR$1</f>
        <v>0</v>
      </c>
      <c r="AR30" s="94" t="n">
        <f aca="false">IFERROR(AQ30/AQ$5,0)</f>
        <v>0</v>
      </c>
      <c r="AS30" s="96"/>
      <c r="AT30" s="78"/>
    </row>
    <row r="31" customFormat="false" ht="14.25" hidden="false" customHeight="false" outlineLevel="0" collapsed="false">
      <c r="B31" s="89"/>
      <c r="D31" s="101"/>
      <c r="E31" s="91"/>
      <c r="G31" s="101"/>
      <c r="H31" s="91"/>
      <c r="J31" s="101"/>
      <c r="K31" s="91"/>
      <c r="M31" s="101"/>
      <c r="N31" s="91"/>
      <c r="P31" s="101"/>
      <c r="Q31" s="91"/>
      <c r="S31" s="101"/>
      <c r="T31" s="91"/>
      <c r="V31" s="101"/>
      <c r="W31" s="91"/>
      <c r="Y31" s="101"/>
      <c r="Z31" s="91"/>
      <c r="AB31" s="101"/>
      <c r="AC31" s="91"/>
      <c r="AE31" s="101"/>
      <c r="AF31" s="91"/>
      <c r="AH31" s="101"/>
      <c r="AI31" s="91"/>
      <c r="AK31" s="101"/>
      <c r="AL31" s="91"/>
      <c r="AN31" s="92"/>
      <c r="AO31" s="91"/>
      <c r="AQ31" s="93"/>
      <c r="AR31" s="94"/>
      <c r="AT31" s="78"/>
    </row>
    <row r="32" s="57" customFormat="true" ht="7.5" hidden="false" customHeight="true" outlineLevel="0" collapsed="false">
      <c r="B32" s="48"/>
      <c r="C32" s="58"/>
      <c r="D32" s="59"/>
      <c r="E32" s="60"/>
      <c r="F32" s="58"/>
      <c r="G32" s="59"/>
      <c r="H32" s="60"/>
      <c r="I32" s="58"/>
      <c r="J32" s="59"/>
      <c r="K32" s="60"/>
      <c r="L32" s="58"/>
      <c r="M32" s="59"/>
      <c r="N32" s="60"/>
      <c r="O32" s="58"/>
      <c r="P32" s="59"/>
      <c r="Q32" s="60"/>
      <c r="R32" s="58"/>
      <c r="S32" s="59"/>
      <c r="T32" s="60"/>
      <c r="U32" s="58"/>
      <c r="V32" s="59"/>
      <c r="W32" s="60"/>
      <c r="X32" s="58"/>
      <c r="Y32" s="59"/>
      <c r="Z32" s="60"/>
      <c r="AA32" s="58"/>
      <c r="AB32" s="59"/>
      <c r="AC32" s="60"/>
      <c r="AD32" s="58"/>
      <c r="AE32" s="59"/>
      <c r="AF32" s="60"/>
      <c r="AG32" s="58"/>
      <c r="AH32" s="59"/>
      <c r="AI32" s="60"/>
      <c r="AJ32" s="58"/>
      <c r="AK32" s="59"/>
      <c r="AL32" s="60"/>
      <c r="AM32" s="58"/>
      <c r="AN32" s="59"/>
      <c r="AO32" s="60"/>
      <c r="AP32" s="58"/>
      <c r="AQ32" s="61"/>
      <c r="AR32" s="60"/>
      <c r="AS32" s="58"/>
      <c r="AT32" s="62"/>
    </row>
    <row r="33" s="63" customFormat="true" ht="20.85" hidden="false" customHeight="false" outlineLevel="0" collapsed="false">
      <c r="A33" s="36"/>
      <c r="B33" s="102" t="s">
        <v>58</v>
      </c>
      <c r="D33" s="103" t="n">
        <f aca="false">SUM(D21,D23)</f>
        <v>0</v>
      </c>
      <c r="E33" s="104" t="n">
        <f aca="false">IFERROR(D33/D$5,0)</f>
        <v>0</v>
      </c>
      <c r="G33" s="103" t="n">
        <f aca="false">SUM(G21,G23)</f>
        <v>0</v>
      </c>
      <c r="H33" s="104" t="n">
        <f aca="false">IFERROR(G33/G$5,0)</f>
        <v>0</v>
      </c>
      <c r="J33" s="103" t="n">
        <f aca="false">SUM(J21,J23)</f>
        <v>0</v>
      </c>
      <c r="K33" s="104" t="n">
        <f aca="false">IFERROR(J33/J$5,0)</f>
        <v>0</v>
      </c>
      <c r="M33" s="103" t="n">
        <f aca="false">SUM(M21,M23)</f>
        <v>0</v>
      </c>
      <c r="N33" s="104" t="n">
        <f aca="false">IFERROR(M33/M$5,0)</f>
        <v>0</v>
      </c>
      <c r="P33" s="103" t="n">
        <f aca="false">SUM(P21,P23)</f>
        <v>0</v>
      </c>
      <c r="Q33" s="104" t="n">
        <f aca="false">IFERROR(P33/P$5,0)</f>
        <v>0</v>
      </c>
      <c r="S33" s="103" t="n">
        <f aca="false">SUM(S21,S23)</f>
        <v>0</v>
      </c>
      <c r="T33" s="104" t="n">
        <f aca="false">IFERROR(S33/S$5,0)</f>
        <v>0</v>
      </c>
      <c r="V33" s="103" t="n">
        <f aca="false">SUM(V21,V23)</f>
        <v>0</v>
      </c>
      <c r="W33" s="104" t="n">
        <f aca="false">IFERROR(V33/V$5,0)</f>
        <v>0</v>
      </c>
      <c r="Y33" s="103" t="n">
        <f aca="false">SUM(Y21,Y23)</f>
        <v>0</v>
      </c>
      <c r="Z33" s="104" t="n">
        <f aca="false">IFERROR(Y33/Y$5,0)</f>
        <v>0</v>
      </c>
      <c r="AB33" s="103" t="n">
        <f aca="false">SUM(AB21,AB23)</f>
        <v>0</v>
      </c>
      <c r="AC33" s="104" t="n">
        <f aca="false">IFERROR(AB33/AB$5,0)</f>
        <v>0</v>
      </c>
      <c r="AE33" s="103" t="n">
        <f aca="false">SUM(AE21,AE23)</f>
        <v>0</v>
      </c>
      <c r="AF33" s="104" t="n">
        <f aca="false">IFERROR(AE33/AE$5,0)</f>
        <v>0</v>
      </c>
      <c r="AH33" s="103" t="n">
        <f aca="false">SUM(AH21,AH23)</f>
        <v>0</v>
      </c>
      <c r="AI33" s="104" t="n">
        <f aca="false">IFERROR(AH33/AH$5,0)</f>
        <v>0</v>
      </c>
      <c r="AK33" s="103" t="n">
        <f aca="false">SUM(AK21,AK23)</f>
        <v>0</v>
      </c>
      <c r="AL33" s="104" t="n">
        <f aca="false">IFERROR(AK33/AK$5,0)</f>
        <v>0</v>
      </c>
      <c r="AN33" s="103" t="n">
        <f aca="false">SUM(AN21,AN23)</f>
        <v>0</v>
      </c>
      <c r="AO33" s="104" t="n">
        <f aca="false">IFERROR(AN33/AN$5,0)</f>
        <v>0</v>
      </c>
      <c r="AQ33" s="103" t="n">
        <f aca="false">SUM(AQ21,AQ23)</f>
        <v>0</v>
      </c>
      <c r="AR33" s="104" t="n">
        <f aca="false">IFERROR(AQ33/AQ$5,0)</f>
        <v>0</v>
      </c>
      <c r="AT33" s="105"/>
    </row>
    <row r="34" s="57" customFormat="true" ht="7.5" hidden="false" customHeight="true" outlineLevel="0" collapsed="false">
      <c r="B34" s="48"/>
      <c r="C34" s="58"/>
      <c r="D34" s="59"/>
      <c r="E34" s="60"/>
      <c r="F34" s="58"/>
      <c r="G34" s="59"/>
      <c r="H34" s="60"/>
      <c r="I34" s="58"/>
      <c r="J34" s="59"/>
      <c r="K34" s="60"/>
      <c r="L34" s="58"/>
      <c r="M34" s="59"/>
      <c r="N34" s="60"/>
      <c r="O34" s="58"/>
      <c r="P34" s="59"/>
      <c r="Q34" s="60"/>
      <c r="R34" s="58"/>
      <c r="S34" s="59"/>
      <c r="T34" s="60"/>
      <c r="U34" s="58"/>
      <c r="V34" s="59"/>
      <c r="W34" s="60"/>
      <c r="X34" s="58"/>
      <c r="Y34" s="59"/>
      <c r="Z34" s="60"/>
      <c r="AA34" s="58"/>
      <c r="AB34" s="59"/>
      <c r="AC34" s="60"/>
      <c r="AD34" s="58"/>
      <c r="AE34" s="59"/>
      <c r="AF34" s="60"/>
      <c r="AG34" s="58"/>
      <c r="AH34" s="59"/>
      <c r="AI34" s="60"/>
      <c r="AJ34" s="58"/>
      <c r="AK34" s="59"/>
      <c r="AL34" s="60"/>
      <c r="AM34" s="58"/>
      <c r="AN34" s="59"/>
      <c r="AO34" s="60"/>
      <c r="AP34" s="58"/>
      <c r="AQ34" s="61"/>
      <c r="AR34" s="60"/>
      <c r="AS34" s="58"/>
      <c r="AT34" s="62"/>
    </row>
    <row r="35" s="63" customFormat="true" ht="17.35" hidden="false" customHeight="false" outlineLevel="0" collapsed="false">
      <c r="A35" s="36"/>
      <c r="B35" s="79" t="s">
        <v>59</v>
      </c>
      <c r="D35" s="80" t="n">
        <f aca="false">SUM(D36)</f>
        <v>0</v>
      </c>
      <c r="E35" s="81" t="n">
        <f aca="false">IFERROR(D35/D$5,0)</f>
        <v>0</v>
      </c>
      <c r="G35" s="80" t="n">
        <f aca="false">SUM(G36)</f>
        <v>0</v>
      </c>
      <c r="H35" s="81" t="n">
        <f aca="false">IFERROR(G35/G$5,0)</f>
        <v>0</v>
      </c>
      <c r="J35" s="80" t="n">
        <f aca="false">SUM(J36)</f>
        <v>0</v>
      </c>
      <c r="K35" s="81" t="n">
        <f aca="false">IFERROR(J35/J$5,0)</f>
        <v>0</v>
      </c>
      <c r="M35" s="80" t="n">
        <f aca="false">SUM(M36)</f>
        <v>0</v>
      </c>
      <c r="N35" s="81" t="n">
        <f aca="false">IFERROR(M35/M$5,0)</f>
        <v>0</v>
      </c>
      <c r="P35" s="80" t="n">
        <f aca="false">SUM(P36)</f>
        <v>0</v>
      </c>
      <c r="Q35" s="81" t="n">
        <f aca="false">IFERROR(P35/P$5,0)</f>
        <v>0</v>
      </c>
      <c r="S35" s="80" t="n">
        <f aca="false">SUM(S36)</f>
        <v>0</v>
      </c>
      <c r="T35" s="81" t="n">
        <f aca="false">IFERROR(S35/S$5,0)</f>
        <v>0</v>
      </c>
      <c r="V35" s="80" t="n">
        <f aca="false">SUM(V36)</f>
        <v>0</v>
      </c>
      <c r="W35" s="81" t="n">
        <f aca="false">IFERROR(V35/V$5,0)</f>
        <v>0</v>
      </c>
      <c r="Y35" s="80" t="n">
        <f aca="false">SUM(Y36)</f>
        <v>0</v>
      </c>
      <c r="Z35" s="81" t="n">
        <f aca="false">IFERROR(Y35/Y$5,0)</f>
        <v>0</v>
      </c>
      <c r="AB35" s="80" t="n">
        <f aca="false">SUM(AB36)</f>
        <v>0</v>
      </c>
      <c r="AC35" s="81" t="n">
        <f aca="false">IFERROR(AB35/AB$5,0)</f>
        <v>0</v>
      </c>
      <c r="AE35" s="80" t="n">
        <f aca="false">SUM(AE36)</f>
        <v>0</v>
      </c>
      <c r="AF35" s="81" t="n">
        <f aca="false">IFERROR(AE35/AE$5,0)</f>
        <v>0</v>
      </c>
      <c r="AH35" s="80" t="n">
        <f aca="false">SUM(AH36)</f>
        <v>0</v>
      </c>
      <c r="AI35" s="81" t="n">
        <f aca="false">IFERROR(AH35/AH$5,0)</f>
        <v>0</v>
      </c>
      <c r="AK35" s="80" t="n">
        <f aca="false">SUM(AK36)</f>
        <v>0</v>
      </c>
      <c r="AL35" s="81" t="n">
        <f aca="false">IFERROR(AK35/AK$5,0)</f>
        <v>0</v>
      </c>
      <c r="AN35" s="80" t="n">
        <f aca="false">SUM(AN36)</f>
        <v>0</v>
      </c>
      <c r="AO35" s="81" t="n">
        <f aca="false">IFERROR(AN35/AN$5,0)</f>
        <v>0</v>
      </c>
      <c r="AQ35" s="82" t="n">
        <f aca="false">SUM(AQ36)</f>
        <v>0</v>
      </c>
      <c r="AR35" s="83" t="n">
        <f aca="false">IFERROR(AQ35/AQ$5,0)</f>
        <v>0</v>
      </c>
      <c r="AT35" s="84" t="n">
        <f aca="false">SUM(AT36:AT39)</f>
        <v>0</v>
      </c>
    </row>
    <row r="36" s="63" customFormat="true" ht="14.25" hidden="false" customHeight="false" outlineLevel="0" collapsed="false">
      <c r="B36" s="106" t="s">
        <v>60</v>
      </c>
      <c r="D36" s="75" t="n">
        <f aca="false">SUM(D37:D38)</f>
        <v>0</v>
      </c>
      <c r="E36" s="88" t="n">
        <f aca="false">IFERROR(D36/D$5,0)</f>
        <v>0</v>
      </c>
      <c r="G36" s="75" t="n">
        <f aca="false">SUM(G37:G38)</f>
        <v>0</v>
      </c>
      <c r="H36" s="88" t="n">
        <f aca="false">IFERROR(G36/G$5,0)</f>
        <v>0</v>
      </c>
      <c r="J36" s="75" t="n">
        <f aca="false">SUM(J37:J38)</f>
        <v>0</v>
      </c>
      <c r="K36" s="88" t="n">
        <f aca="false">IFERROR(J36/J$5,0)</f>
        <v>0</v>
      </c>
      <c r="M36" s="75" t="n">
        <f aca="false">SUM(M37:M38)</f>
        <v>0</v>
      </c>
      <c r="N36" s="88" t="n">
        <f aca="false">IFERROR(M36/M$5,0)</f>
        <v>0</v>
      </c>
      <c r="P36" s="75" t="n">
        <f aca="false">SUM(P37:P38)</f>
        <v>0</v>
      </c>
      <c r="Q36" s="88" t="n">
        <f aca="false">IFERROR(P36/P$5,0)</f>
        <v>0</v>
      </c>
      <c r="S36" s="75" t="n">
        <f aca="false">SUM(S37:S38)</f>
        <v>0</v>
      </c>
      <c r="T36" s="88" t="n">
        <f aca="false">IFERROR(S36/S$5,0)</f>
        <v>0</v>
      </c>
      <c r="V36" s="75" t="n">
        <f aca="false">SUM(V37:V38)</f>
        <v>0</v>
      </c>
      <c r="W36" s="88" t="n">
        <f aca="false">IFERROR(V36/V$5,0)</f>
        <v>0</v>
      </c>
      <c r="Y36" s="75" t="n">
        <f aca="false">SUM(Y37:Y38)</f>
        <v>0</v>
      </c>
      <c r="Z36" s="88" t="n">
        <f aca="false">IFERROR(Y36/Y$5,0)</f>
        <v>0</v>
      </c>
      <c r="AB36" s="75" t="n">
        <f aca="false">SUM(AB37:AB38)</f>
        <v>0</v>
      </c>
      <c r="AC36" s="88" t="n">
        <f aca="false">IFERROR(AB36/AB$5,0)</f>
        <v>0</v>
      </c>
      <c r="AE36" s="75" t="n">
        <f aca="false">SUM(AE37:AE38)</f>
        <v>0</v>
      </c>
      <c r="AF36" s="88" t="n">
        <f aca="false">IFERROR(AE36/AE$5,0)</f>
        <v>0</v>
      </c>
      <c r="AH36" s="75" t="n">
        <f aca="false">SUM(AH37:AH38)</f>
        <v>0</v>
      </c>
      <c r="AI36" s="88" t="n">
        <f aca="false">IFERROR(AH36/AH$5,0)</f>
        <v>0</v>
      </c>
      <c r="AK36" s="75" t="n">
        <f aca="false">SUM(AK37:AK38)</f>
        <v>0</v>
      </c>
      <c r="AL36" s="88" t="n">
        <f aca="false">IFERROR(AK36/AK$5,0)</f>
        <v>0</v>
      </c>
      <c r="AN36" s="75" t="n">
        <f aca="false">SUM(AN37:AN38)</f>
        <v>0</v>
      </c>
      <c r="AO36" s="88" t="n">
        <f aca="false">IFERROR(AN36/AN$5,0)</f>
        <v>0</v>
      </c>
      <c r="AQ36" s="75" t="n">
        <f aca="false">SUM(AQ37:AQ38)</f>
        <v>0</v>
      </c>
      <c r="AR36" s="76" t="n">
        <f aca="false">IFERROR(AQ36/AQ$5,0)</f>
        <v>0</v>
      </c>
      <c r="AT36" s="78"/>
    </row>
    <row r="37" customFormat="false" ht="14.25" hidden="true" customHeight="false" outlineLevel="1" collapsed="false">
      <c r="B37" s="89" t="s">
        <v>61</v>
      </c>
      <c r="D37" s="75" t="n">
        <f aca="false">SUMIFS('Dados Mov Financeira'!$N:$N,'Dados Mov Financeira'!$O:$O,'DRE 2019'!$B37,'Dados Mov Financeira'!$A:$A,'DRE 2019'!D$1)</f>
        <v>0</v>
      </c>
      <c r="E37" s="91" t="n">
        <f aca="false">IFERROR(D37/D$5,0)</f>
        <v>0</v>
      </c>
      <c r="G37" s="75" t="n">
        <f aca="false">SUMIFS('Dados Mov Financeira'!$N:$N,'Dados Mov Financeira'!$O:$O,'DRE 2019'!$B37,'Dados Mov Financeira'!$A:$A,'DRE 2019'!G$1)</f>
        <v>0</v>
      </c>
      <c r="H37" s="91" t="n">
        <f aca="false">IFERROR(G37/G$5,0)</f>
        <v>0</v>
      </c>
      <c r="J37" s="75" t="n">
        <f aca="false">SUMIFS('Dados Mov Financeira'!$N:$N,'Dados Mov Financeira'!$O:$O,'DRE 2019'!$B37,'Dados Mov Financeira'!$A:$A,'DRE 2019'!J$1)</f>
        <v>0</v>
      </c>
      <c r="K37" s="91" t="n">
        <f aca="false">IFERROR(J37/J$5,0)</f>
        <v>0</v>
      </c>
      <c r="M37" s="75" t="n">
        <f aca="false">SUMIFS('Dados Mov Financeira'!$N:$N,'Dados Mov Financeira'!$O:$O,'DRE 2019'!$B37,'Dados Mov Financeira'!$A:$A,'DRE 2019'!M$1)</f>
        <v>0</v>
      </c>
      <c r="N37" s="91" t="n">
        <f aca="false">IFERROR(M37/M$5,0)</f>
        <v>0</v>
      </c>
      <c r="P37" s="75" t="n">
        <f aca="false">SUMIFS('Dados Mov Financeira'!$N:$N,'Dados Mov Financeira'!$O:$O,'DRE 2019'!$B37,'Dados Mov Financeira'!$A:$A,'DRE 2019'!P$1)</f>
        <v>0</v>
      </c>
      <c r="Q37" s="91" t="n">
        <f aca="false">IFERROR(P37/P$5,0)</f>
        <v>0</v>
      </c>
      <c r="S37" s="75" t="n">
        <f aca="false">SUMIFS('Dados Mov Financeira'!$N:$N,'Dados Mov Financeira'!$O:$O,'DRE 2019'!$B37,'Dados Mov Financeira'!$A:$A,'DRE 2019'!S$1)</f>
        <v>0</v>
      </c>
      <c r="T37" s="91" t="n">
        <f aca="false">IFERROR(S37/S$5,0)</f>
        <v>0</v>
      </c>
      <c r="V37" s="75" t="n">
        <f aca="false">SUMIFS('Dados Mov Financeira'!$N:$N,'Dados Mov Financeira'!$O:$O,'DRE 2019'!$B37,'Dados Mov Financeira'!$A:$A,'DRE 2019'!V$1)</f>
        <v>0</v>
      </c>
      <c r="W37" s="91" t="n">
        <f aca="false">IFERROR(V37/V$5,0)</f>
        <v>0</v>
      </c>
      <c r="Y37" s="75" t="n">
        <f aca="false">SUMIFS('Dados Mov Financeira'!$N:$N,'Dados Mov Financeira'!$O:$O,'DRE 2019'!$B37,'Dados Mov Financeira'!$A:$A,'DRE 2019'!Y$1)</f>
        <v>0</v>
      </c>
      <c r="Z37" s="91" t="n">
        <f aca="false">IFERROR(Y37/Y$5,0)</f>
        <v>0</v>
      </c>
      <c r="AB37" s="75" t="n">
        <f aca="false">SUMIFS('Dados Mov Financeira'!$N:$N,'Dados Mov Financeira'!$O:$O,'DRE 2019'!$B37,'Dados Mov Financeira'!$A:$A,'DRE 2019'!AB$1)</f>
        <v>0</v>
      </c>
      <c r="AC37" s="91" t="n">
        <f aca="false">IFERROR(AB37/AB$5,0)</f>
        <v>0</v>
      </c>
      <c r="AE37" s="75" t="n">
        <f aca="false">SUMIFS('Dados Mov Financeira'!$N:$N,'Dados Mov Financeira'!$O:$O,'DRE 2019'!$B37,'Dados Mov Financeira'!$A:$A,'DRE 2019'!AE$1)</f>
        <v>0</v>
      </c>
      <c r="AF37" s="91" t="n">
        <f aca="false">IFERROR(AE37/AE$5,0)</f>
        <v>0</v>
      </c>
      <c r="AH37" s="75" t="n">
        <f aca="false">SUMIFS('Dados Mov Financeira'!$N:$N,'Dados Mov Financeira'!$O:$O,'DRE 2019'!$B37,'Dados Mov Financeira'!$A:$A,'DRE 2019'!AH$1)</f>
        <v>0</v>
      </c>
      <c r="AI37" s="91" t="n">
        <f aca="false">IFERROR(AH37/AH$5,0)</f>
        <v>0</v>
      </c>
      <c r="AK37" s="75" t="n">
        <f aca="false">SUMIFS('Dados Mov Financeira'!$N:$N,'Dados Mov Financeira'!$O:$O,'DRE 2019'!$B37,'Dados Mov Financeira'!$A:$A,'DRE 2019'!AK$1)</f>
        <v>0</v>
      </c>
      <c r="AL37" s="91" t="n">
        <f aca="false">IFERROR(AK37/AK$5,0)</f>
        <v>0</v>
      </c>
      <c r="AN37" s="92" t="n">
        <f aca="false">SUM(D37,G37,J37,M37,P37,S37,V37,Y37,AB37,AE37,AH37,AK37)</f>
        <v>0</v>
      </c>
      <c r="AO37" s="91" t="n">
        <f aca="false">IFERROR(AN37/AN$5,0)</f>
        <v>0</v>
      </c>
      <c r="AQ37" s="93" t="n">
        <f aca="false">AN37/$AR$1</f>
        <v>0</v>
      </c>
      <c r="AR37" s="94" t="n">
        <f aca="false">IFERROR(AQ37/AQ$5,0)</f>
        <v>0</v>
      </c>
      <c r="AT37" s="78"/>
    </row>
    <row r="38" customFormat="false" ht="14.25" hidden="true" customHeight="false" outlineLevel="1" collapsed="false">
      <c r="B38" s="89" t="s">
        <v>62</v>
      </c>
      <c r="D38" s="75" t="n">
        <f aca="false">SUMIFS('Dados Mov Financeira'!$N:$N,'Dados Mov Financeira'!$O:$O,'DRE 2019'!$B38,'Dados Mov Financeira'!$A:$A,'DRE 2019'!D$1)</f>
        <v>0</v>
      </c>
      <c r="E38" s="91" t="n">
        <f aca="false">IFERROR(D38/D$5,0)</f>
        <v>0</v>
      </c>
      <c r="G38" s="75" t="n">
        <f aca="false">SUMIFS('Dados Mov Financeira'!$N:$N,'Dados Mov Financeira'!$O:$O,'DRE 2019'!$B38,'Dados Mov Financeira'!$A:$A,'DRE 2019'!G$1)</f>
        <v>0</v>
      </c>
      <c r="H38" s="91" t="n">
        <f aca="false">IFERROR(G38/G$5,0)</f>
        <v>0</v>
      </c>
      <c r="J38" s="75" t="n">
        <f aca="false">SUMIFS('Dados Mov Financeira'!$N:$N,'Dados Mov Financeira'!$O:$O,'DRE 2019'!$B38,'Dados Mov Financeira'!$A:$A,'DRE 2019'!J$1)</f>
        <v>0</v>
      </c>
      <c r="K38" s="91" t="n">
        <f aca="false">IFERROR(J38/J$5,0)</f>
        <v>0</v>
      </c>
      <c r="M38" s="75" t="n">
        <f aca="false">SUMIFS('Dados Mov Financeira'!$N:$N,'Dados Mov Financeira'!$O:$O,'DRE 2019'!$B38,'Dados Mov Financeira'!$A:$A,'DRE 2019'!M$1)</f>
        <v>0</v>
      </c>
      <c r="N38" s="91" t="n">
        <f aca="false">IFERROR(M38/M$5,0)</f>
        <v>0</v>
      </c>
      <c r="P38" s="75" t="n">
        <f aca="false">SUMIFS('Dados Mov Financeira'!$N:$N,'Dados Mov Financeira'!$O:$O,'DRE 2019'!$B38,'Dados Mov Financeira'!$A:$A,'DRE 2019'!P$1)</f>
        <v>0</v>
      </c>
      <c r="Q38" s="91" t="n">
        <f aca="false">IFERROR(P38/P$5,0)</f>
        <v>0</v>
      </c>
      <c r="S38" s="75" t="n">
        <f aca="false">SUMIFS('Dados Mov Financeira'!$N:$N,'Dados Mov Financeira'!$O:$O,'DRE 2019'!$B38,'Dados Mov Financeira'!$A:$A,'DRE 2019'!S$1)</f>
        <v>0</v>
      </c>
      <c r="T38" s="91" t="n">
        <f aca="false">IFERROR(S38/S$5,0)</f>
        <v>0</v>
      </c>
      <c r="V38" s="75" t="n">
        <f aca="false">SUMIFS('Dados Mov Financeira'!$N:$N,'Dados Mov Financeira'!$O:$O,'DRE 2019'!$B38,'Dados Mov Financeira'!$A:$A,'DRE 2019'!V$1)</f>
        <v>0</v>
      </c>
      <c r="W38" s="91" t="n">
        <f aca="false">IFERROR(V38/V$5,0)</f>
        <v>0</v>
      </c>
      <c r="Y38" s="75" t="n">
        <f aca="false">SUMIFS('Dados Mov Financeira'!$N:$N,'Dados Mov Financeira'!$O:$O,'DRE 2019'!$B38,'Dados Mov Financeira'!$A:$A,'DRE 2019'!Y$1)</f>
        <v>0</v>
      </c>
      <c r="Z38" s="91" t="n">
        <f aca="false">IFERROR(Y38/Y$5,0)</f>
        <v>0</v>
      </c>
      <c r="AB38" s="75" t="n">
        <f aca="false">SUMIFS('Dados Mov Financeira'!$N:$N,'Dados Mov Financeira'!$O:$O,'DRE 2019'!$B38,'Dados Mov Financeira'!$A:$A,'DRE 2019'!AB$1)</f>
        <v>0</v>
      </c>
      <c r="AC38" s="91" t="n">
        <f aca="false">IFERROR(AB38/AB$5,0)</f>
        <v>0</v>
      </c>
      <c r="AE38" s="75" t="n">
        <f aca="false">SUMIFS('Dados Mov Financeira'!$N:$N,'Dados Mov Financeira'!$O:$O,'DRE 2019'!$B38,'Dados Mov Financeira'!$A:$A,'DRE 2019'!AE$1)</f>
        <v>0</v>
      </c>
      <c r="AF38" s="91" t="n">
        <f aca="false">IFERROR(AE38/AE$5,0)</f>
        <v>0</v>
      </c>
      <c r="AH38" s="75" t="n">
        <f aca="false">SUMIFS('Dados Mov Financeira'!$N:$N,'Dados Mov Financeira'!$O:$O,'DRE 2019'!$B38,'Dados Mov Financeira'!$A:$A,'DRE 2019'!AH$1)</f>
        <v>0</v>
      </c>
      <c r="AI38" s="91" t="n">
        <f aca="false">IFERROR(AH38/AH$5,0)</f>
        <v>0</v>
      </c>
      <c r="AK38" s="75" t="n">
        <f aca="false">SUMIFS('Dados Mov Financeira'!$N:$N,'Dados Mov Financeira'!$O:$O,'DRE 2019'!$B38,'Dados Mov Financeira'!$A:$A,'DRE 2019'!AK$1)</f>
        <v>0</v>
      </c>
      <c r="AL38" s="91" t="n">
        <f aca="false">IFERROR(AK38/AK$5,0)</f>
        <v>0</v>
      </c>
      <c r="AN38" s="92" t="n">
        <f aca="false">SUM(D38,G38,J38,M38,P38,S38,V38,Y38,AB38,AE38,AH38,AK38)</f>
        <v>0</v>
      </c>
      <c r="AO38" s="91" t="n">
        <f aca="false">IFERROR(AN38/AN$5,0)</f>
        <v>0</v>
      </c>
      <c r="AQ38" s="93" t="n">
        <f aca="false">AN38/$AR$1</f>
        <v>0</v>
      </c>
      <c r="AR38" s="94" t="n">
        <f aca="false">IFERROR(AQ38/AQ$5,0)</f>
        <v>0</v>
      </c>
      <c r="AT38" s="78"/>
    </row>
    <row r="39" customFormat="false" ht="14.25" hidden="false" customHeight="false" outlineLevel="0" collapsed="false">
      <c r="B39" s="89"/>
      <c r="C39" s="107"/>
      <c r="D39" s="92"/>
      <c r="E39" s="108"/>
      <c r="F39" s="107"/>
      <c r="G39" s="92"/>
      <c r="H39" s="108"/>
      <c r="I39" s="107"/>
      <c r="J39" s="92"/>
      <c r="K39" s="108"/>
      <c r="L39" s="107"/>
      <c r="M39" s="92"/>
      <c r="N39" s="108"/>
      <c r="O39" s="107"/>
      <c r="P39" s="92"/>
      <c r="Q39" s="108"/>
      <c r="R39" s="107"/>
      <c r="S39" s="92"/>
      <c r="T39" s="108"/>
      <c r="U39" s="107"/>
      <c r="V39" s="92"/>
      <c r="W39" s="108"/>
      <c r="X39" s="107"/>
      <c r="Y39" s="92"/>
      <c r="Z39" s="108"/>
      <c r="AA39" s="107"/>
      <c r="AB39" s="92"/>
      <c r="AC39" s="108"/>
      <c r="AD39" s="107"/>
      <c r="AE39" s="92"/>
      <c r="AF39" s="108"/>
      <c r="AG39" s="107"/>
      <c r="AH39" s="92"/>
      <c r="AI39" s="108"/>
      <c r="AJ39" s="107"/>
      <c r="AK39" s="92"/>
      <c r="AL39" s="108"/>
      <c r="AM39" s="107"/>
      <c r="AN39" s="92"/>
      <c r="AO39" s="108"/>
      <c r="AP39" s="107"/>
      <c r="AQ39" s="93"/>
      <c r="AR39" s="108"/>
      <c r="AS39" s="107"/>
      <c r="AT39" s="78"/>
    </row>
    <row r="40" s="57" customFormat="true" ht="14.25" hidden="false" customHeight="true" outlineLevel="0" collapsed="false">
      <c r="B40" s="48"/>
      <c r="C40" s="58"/>
      <c r="D40" s="59"/>
      <c r="E40" s="60"/>
      <c r="F40" s="58"/>
      <c r="G40" s="59"/>
      <c r="H40" s="60"/>
      <c r="I40" s="58"/>
      <c r="J40" s="59"/>
      <c r="K40" s="60"/>
      <c r="L40" s="58"/>
      <c r="M40" s="59"/>
      <c r="N40" s="60"/>
      <c r="O40" s="58"/>
      <c r="P40" s="59"/>
      <c r="Q40" s="60"/>
      <c r="R40" s="58"/>
      <c r="S40" s="59"/>
      <c r="T40" s="60"/>
      <c r="U40" s="58"/>
      <c r="V40" s="59"/>
      <c r="W40" s="60"/>
      <c r="X40" s="58"/>
      <c r="Y40" s="59"/>
      <c r="Z40" s="60"/>
      <c r="AA40" s="58"/>
      <c r="AB40" s="59"/>
      <c r="AC40" s="60"/>
      <c r="AD40" s="58"/>
      <c r="AE40" s="59"/>
      <c r="AF40" s="60"/>
      <c r="AG40" s="58"/>
      <c r="AH40" s="59"/>
      <c r="AI40" s="60"/>
      <c r="AJ40" s="58"/>
      <c r="AK40" s="59"/>
      <c r="AL40" s="60"/>
      <c r="AM40" s="58"/>
      <c r="AN40" s="59"/>
      <c r="AO40" s="60"/>
      <c r="AP40" s="58"/>
      <c r="AQ40" s="61"/>
      <c r="AR40" s="60"/>
      <c r="AS40" s="58"/>
      <c r="AT40" s="78"/>
    </row>
    <row r="41" s="63" customFormat="true" ht="20.85" hidden="false" customHeight="false" outlineLevel="0" collapsed="false">
      <c r="A41" s="36"/>
      <c r="B41" s="102" t="s">
        <v>63</v>
      </c>
      <c r="D41" s="103" t="n">
        <f aca="false">SUM(D33,D35)</f>
        <v>0</v>
      </c>
      <c r="E41" s="104" t="n">
        <f aca="false">IFERROR(D41/D$5,0)</f>
        <v>0</v>
      </c>
      <c r="G41" s="103" t="n">
        <f aca="false">SUM(G33,G35)</f>
        <v>0</v>
      </c>
      <c r="H41" s="104" t="n">
        <f aca="false">IFERROR(G41/G$5,0)</f>
        <v>0</v>
      </c>
      <c r="J41" s="103" t="n">
        <f aca="false">SUM(J33,J35)</f>
        <v>0</v>
      </c>
      <c r="K41" s="104" t="n">
        <f aca="false">IFERROR(J41/J$5,0)</f>
        <v>0</v>
      </c>
      <c r="M41" s="103" t="n">
        <f aca="false">SUM(M33,M35)</f>
        <v>0</v>
      </c>
      <c r="N41" s="104" t="n">
        <f aca="false">IFERROR(M41/M$5,0)</f>
        <v>0</v>
      </c>
      <c r="P41" s="103" t="n">
        <f aca="false">SUM(P33,P35)</f>
        <v>0</v>
      </c>
      <c r="Q41" s="104" t="n">
        <f aca="false">IFERROR(P41/P$5,0)</f>
        <v>0</v>
      </c>
      <c r="S41" s="103" t="n">
        <f aca="false">SUM(S33,S35)</f>
        <v>0</v>
      </c>
      <c r="T41" s="104" t="n">
        <f aca="false">IFERROR(S41/S$5,0)</f>
        <v>0</v>
      </c>
      <c r="V41" s="103" t="n">
        <f aca="false">SUM(V33,V35)</f>
        <v>0</v>
      </c>
      <c r="W41" s="104" t="n">
        <f aca="false">IFERROR(V41/V$5,0)</f>
        <v>0</v>
      </c>
      <c r="Y41" s="103" t="n">
        <f aca="false">SUM(Y33,Y35)</f>
        <v>0</v>
      </c>
      <c r="Z41" s="104" t="n">
        <f aca="false">IFERROR(Y41/Y$5,0)</f>
        <v>0</v>
      </c>
      <c r="AB41" s="103" t="n">
        <f aca="false">SUM(AB33,AB35)</f>
        <v>0</v>
      </c>
      <c r="AC41" s="104" t="n">
        <f aca="false">IFERROR(AB41/AB$5,0)</f>
        <v>0</v>
      </c>
      <c r="AE41" s="103" t="n">
        <f aca="false">SUM(AE33,AE35)</f>
        <v>0</v>
      </c>
      <c r="AF41" s="104" t="n">
        <f aca="false">IFERROR(AE41/AE$5,0)</f>
        <v>0</v>
      </c>
      <c r="AH41" s="103" t="n">
        <f aca="false">SUM(AH33,AH35)</f>
        <v>0</v>
      </c>
      <c r="AI41" s="104" t="n">
        <f aca="false">IFERROR(AH41/AH$5,0)</f>
        <v>0</v>
      </c>
      <c r="AK41" s="103" t="n">
        <f aca="false">SUM(AK33,AK35)</f>
        <v>0</v>
      </c>
      <c r="AL41" s="104" t="n">
        <f aca="false">IFERROR(AK41/AK$5,0)</f>
        <v>0</v>
      </c>
      <c r="AN41" s="103" t="n">
        <f aca="false">SUM(AN33,AN35)</f>
        <v>0</v>
      </c>
      <c r="AO41" s="104" t="n">
        <f aca="false">IFERROR(AN41/AN$5,0)</f>
        <v>0</v>
      </c>
      <c r="AQ41" s="103" t="n">
        <f aca="false">SUM(AQ33,AQ35)</f>
        <v>0</v>
      </c>
      <c r="AR41" s="104" t="n">
        <f aca="false">IFERROR(AQ41/AQ$5,0)</f>
        <v>0</v>
      </c>
      <c r="AT41" s="105"/>
    </row>
    <row r="42" s="57" customFormat="true" ht="7.5" hidden="false" customHeight="true" outlineLevel="0" collapsed="false">
      <c r="B42" s="48"/>
      <c r="C42" s="58"/>
      <c r="D42" s="59"/>
      <c r="E42" s="60"/>
      <c r="F42" s="58"/>
      <c r="G42" s="59"/>
      <c r="H42" s="60"/>
      <c r="I42" s="58"/>
      <c r="J42" s="59"/>
      <c r="K42" s="60"/>
      <c r="L42" s="58"/>
      <c r="M42" s="59"/>
      <c r="N42" s="60"/>
      <c r="O42" s="58"/>
      <c r="P42" s="59"/>
      <c r="Q42" s="60"/>
      <c r="R42" s="58"/>
      <c r="S42" s="59"/>
      <c r="T42" s="60"/>
      <c r="U42" s="58"/>
      <c r="V42" s="59"/>
      <c r="W42" s="60"/>
      <c r="X42" s="58"/>
      <c r="Y42" s="59"/>
      <c r="Z42" s="60"/>
      <c r="AA42" s="58"/>
      <c r="AB42" s="59"/>
      <c r="AC42" s="60"/>
      <c r="AD42" s="58"/>
      <c r="AE42" s="59"/>
      <c r="AF42" s="60"/>
      <c r="AG42" s="58"/>
      <c r="AH42" s="59"/>
      <c r="AI42" s="60"/>
      <c r="AJ42" s="58"/>
      <c r="AK42" s="59"/>
      <c r="AL42" s="60"/>
      <c r="AM42" s="58"/>
      <c r="AN42" s="59"/>
      <c r="AO42" s="60"/>
      <c r="AP42" s="58"/>
      <c r="AQ42" s="61"/>
      <c r="AR42" s="60"/>
      <c r="AS42" s="58"/>
      <c r="AT42" s="62"/>
    </row>
    <row r="43" s="63" customFormat="true" ht="17.35" hidden="false" customHeight="false" outlineLevel="0" collapsed="false">
      <c r="A43" s="36"/>
      <c r="B43" s="79" t="s">
        <v>64</v>
      </c>
      <c r="D43" s="80" t="n">
        <f aca="false">SUM(D44,D77,D95,D100)</f>
        <v>0</v>
      </c>
      <c r="E43" s="81" t="n">
        <f aca="false">IFERROR(D43/D$5,0)</f>
        <v>0</v>
      </c>
      <c r="G43" s="80" t="n">
        <f aca="false">SUM(G44,G77,G95,G100)</f>
        <v>0</v>
      </c>
      <c r="H43" s="81" t="n">
        <f aca="false">IFERROR(G43/G$5,0)</f>
        <v>0</v>
      </c>
      <c r="J43" s="80" t="n">
        <f aca="false">SUM(J44,J77,J95,J100)</f>
        <v>0</v>
      </c>
      <c r="K43" s="81" t="n">
        <f aca="false">IFERROR(J43/J$5,0)</f>
        <v>0</v>
      </c>
      <c r="M43" s="80" t="n">
        <f aca="false">SUM(M44,M77,M95,M100)</f>
        <v>0</v>
      </c>
      <c r="N43" s="81" t="n">
        <f aca="false">IFERROR(M43/M$5,0)</f>
        <v>0</v>
      </c>
      <c r="P43" s="80" t="n">
        <f aca="false">SUM(P44,P77,P95,P100)</f>
        <v>0</v>
      </c>
      <c r="Q43" s="81" t="n">
        <f aca="false">IFERROR(P43/P$5,0)</f>
        <v>0</v>
      </c>
      <c r="S43" s="80" t="n">
        <f aca="false">SUM(S44,S77,S95,S100)</f>
        <v>0</v>
      </c>
      <c r="T43" s="81" t="n">
        <f aca="false">IFERROR(S43/S$5,0)</f>
        <v>0</v>
      </c>
      <c r="V43" s="80" t="n">
        <f aca="false">SUM(V44,V77,V95,V100)</f>
        <v>0</v>
      </c>
      <c r="W43" s="81" t="n">
        <f aca="false">IFERROR(V43/V$5,0)</f>
        <v>0</v>
      </c>
      <c r="Y43" s="80" t="n">
        <f aca="false">SUM(Y44,Y77,Y95,Y100)</f>
        <v>0</v>
      </c>
      <c r="Z43" s="81" t="n">
        <f aca="false">IFERROR(Y43/Y$5,0)</f>
        <v>0</v>
      </c>
      <c r="AB43" s="80" t="n">
        <f aca="false">SUM(AB44,AB77,AB95,AB100)</f>
        <v>0</v>
      </c>
      <c r="AC43" s="81" t="n">
        <f aca="false">IFERROR(AB43/AB$5,0)</f>
        <v>0</v>
      </c>
      <c r="AE43" s="80" t="n">
        <f aca="false">SUM(AE44,AE77,AE95,AE100)</f>
        <v>0</v>
      </c>
      <c r="AF43" s="81" t="n">
        <f aca="false">IFERROR(AE43/AE$5,0)</f>
        <v>0</v>
      </c>
      <c r="AH43" s="80" t="n">
        <f aca="false">SUM(AH44,AH77,AH95,AH100)</f>
        <v>0</v>
      </c>
      <c r="AI43" s="81" t="n">
        <f aca="false">IFERROR(AH43/AH$5,0)</f>
        <v>0</v>
      </c>
      <c r="AK43" s="80" t="n">
        <f aca="false">SUM(AK44,AK77,AK95,AK100)</f>
        <v>0</v>
      </c>
      <c r="AL43" s="81" t="n">
        <f aca="false">IFERROR(AK43/AK$5,0)</f>
        <v>0</v>
      </c>
      <c r="AN43" s="80" t="n">
        <f aca="false">SUM(AN44,AN77,AN95,AN100)</f>
        <v>0</v>
      </c>
      <c r="AO43" s="81" t="n">
        <f aca="false">IFERROR(AN43/AN$5,0)</f>
        <v>0</v>
      </c>
      <c r="AQ43" s="82" t="n">
        <f aca="false">SUM(AQ44,AQ77,AQ95,AQ100)</f>
        <v>0</v>
      </c>
      <c r="AR43" s="83" t="n">
        <f aca="false">IFERROR(AQ43/AQ$5,0)</f>
        <v>0</v>
      </c>
      <c r="AT43" s="84" t="n">
        <f aca="false">SUM(AT44,AT77,AT95,AT100)</f>
        <v>-0.2708</v>
      </c>
    </row>
    <row r="44" s="63" customFormat="true" ht="14.25" hidden="false" customHeight="false" outlineLevel="0" collapsed="false">
      <c r="B44" s="106" t="s">
        <v>65</v>
      </c>
      <c r="D44" s="75" t="n">
        <f aca="false">SUM(D45:D76)</f>
        <v>0</v>
      </c>
      <c r="E44" s="109" t="n">
        <f aca="false">IFERROR(D44/D$5,0)</f>
        <v>0</v>
      </c>
      <c r="G44" s="75" t="n">
        <f aca="false">SUM(G45:G76)</f>
        <v>0</v>
      </c>
      <c r="H44" s="109" t="n">
        <f aca="false">IFERROR(G44/G$5,0)</f>
        <v>0</v>
      </c>
      <c r="J44" s="75" t="n">
        <f aca="false">SUM(J45:J76)</f>
        <v>0</v>
      </c>
      <c r="K44" s="109" t="n">
        <f aca="false">IFERROR(J44/J$5,0)</f>
        <v>0</v>
      </c>
      <c r="M44" s="75" t="n">
        <f aca="false">SUM(M45:M76)</f>
        <v>0</v>
      </c>
      <c r="N44" s="109" t="n">
        <f aca="false">IFERROR(M44/M$5,0)</f>
        <v>0</v>
      </c>
      <c r="P44" s="75" t="n">
        <f aca="false">SUM(P45:P76)</f>
        <v>0</v>
      </c>
      <c r="Q44" s="109" t="n">
        <f aca="false">IFERROR(P44/P$5,0)</f>
        <v>0</v>
      </c>
      <c r="S44" s="75" t="n">
        <f aca="false">SUM(S45:S76)</f>
        <v>0</v>
      </c>
      <c r="T44" s="109" t="n">
        <f aca="false">IFERROR(S44/S$5,0)</f>
        <v>0</v>
      </c>
      <c r="V44" s="75" t="n">
        <f aca="false">SUM(V45:V76)</f>
        <v>0</v>
      </c>
      <c r="W44" s="109" t="n">
        <f aca="false">IFERROR(V44/V$5,0)</f>
        <v>0</v>
      </c>
      <c r="Y44" s="75" t="n">
        <f aca="false">SUM(Y45:Y76)</f>
        <v>0</v>
      </c>
      <c r="Z44" s="109" t="n">
        <f aca="false">IFERROR(Y44/Y$5,0)</f>
        <v>0</v>
      </c>
      <c r="AB44" s="75" t="n">
        <f aca="false">SUM(AB45:AB76)</f>
        <v>0</v>
      </c>
      <c r="AC44" s="109" t="n">
        <f aca="false">IFERROR(AB44/AB$5,0)</f>
        <v>0</v>
      </c>
      <c r="AE44" s="75" t="n">
        <f aca="false">SUM(AE45:AE76)</f>
        <v>0</v>
      </c>
      <c r="AF44" s="109" t="n">
        <f aca="false">IFERROR(AE44/AE$5,0)</f>
        <v>0</v>
      </c>
      <c r="AH44" s="75" t="n">
        <f aca="false">SUM(AH45:AH76)</f>
        <v>0</v>
      </c>
      <c r="AI44" s="109" t="n">
        <f aca="false">IFERROR(AH44/AH$5,0)</f>
        <v>0</v>
      </c>
      <c r="AK44" s="75" t="n">
        <f aca="false">SUM(AK45:AK76)</f>
        <v>0</v>
      </c>
      <c r="AL44" s="109" t="n">
        <f aca="false">IFERROR(AK44/AK$5,0)</f>
        <v>0</v>
      </c>
      <c r="AN44" s="75" t="n">
        <f aca="false">SUM(D44,G44,J44,M44,P44,S44,V44,Y44,AB44,AE44,AH44,AK44)</f>
        <v>0</v>
      </c>
      <c r="AO44" s="88" t="n">
        <f aca="false">IFERROR(AN44/AN$5,0)</f>
        <v>0</v>
      </c>
      <c r="AQ44" s="77" t="n">
        <f aca="false">AN44/$AR$1</f>
        <v>0</v>
      </c>
      <c r="AR44" s="76" t="n">
        <f aca="false">IFERROR(AQ44/AQ$5,0)</f>
        <v>0</v>
      </c>
      <c r="AT44" s="110" t="n">
        <v>-0.07</v>
      </c>
    </row>
    <row r="45" customFormat="false" ht="15.75" hidden="true" customHeight="true" outlineLevel="1" collapsed="false">
      <c r="B45" s="89" t="s">
        <v>66</v>
      </c>
      <c r="D45" s="75" t="n">
        <f aca="false">SUMIFS('Dados Mov Financeira'!$N:$N,'Dados Mov Financeira'!$O:$O,'DRE 2019'!$B45,'Dados Mov Financeira'!$A:$A,'DRE 2019'!D$1)</f>
        <v>0</v>
      </c>
      <c r="E45" s="91" t="n">
        <f aca="false">IFERROR(D45/D$5,0)</f>
        <v>0</v>
      </c>
      <c r="G45" s="75" t="n">
        <f aca="false">SUMIFS('Dados Mov Financeira'!$N:$N,'Dados Mov Financeira'!$O:$O,'DRE 2019'!$B45,'Dados Mov Financeira'!$A:$A,'DRE 2019'!G$1)</f>
        <v>0</v>
      </c>
      <c r="H45" s="91" t="n">
        <f aca="false">IFERROR(G45/G$5,0)</f>
        <v>0</v>
      </c>
      <c r="J45" s="75" t="n">
        <f aca="false">SUMIFS('Dados Mov Financeira'!$N:$N,'Dados Mov Financeira'!$O:$O,'DRE 2019'!$B45,'Dados Mov Financeira'!$A:$A,'DRE 2019'!J$1)</f>
        <v>0</v>
      </c>
      <c r="K45" s="91" t="n">
        <f aca="false">IFERROR(J45/J$5,0)</f>
        <v>0</v>
      </c>
      <c r="M45" s="75" t="n">
        <f aca="false">SUMIFS('Dados Mov Financeira'!$N:$N,'Dados Mov Financeira'!$O:$O,'DRE 2019'!$B45,'Dados Mov Financeira'!$A:$A,'DRE 2019'!M$1)</f>
        <v>0</v>
      </c>
      <c r="N45" s="91" t="n">
        <f aca="false">IFERROR(M45/M$5,0)</f>
        <v>0</v>
      </c>
      <c r="P45" s="75" t="n">
        <f aca="false">SUMIFS('Dados Mov Financeira'!$N:$N,'Dados Mov Financeira'!$O:$O,'DRE 2019'!$B45,'Dados Mov Financeira'!$A:$A,'DRE 2019'!P$1)</f>
        <v>0</v>
      </c>
      <c r="Q45" s="91" t="n">
        <f aca="false">IFERROR(P45/P$5,0)</f>
        <v>0</v>
      </c>
      <c r="S45" s="75" t="n">
        <f aca="false">SUMIFS('Dados Mov Financeira'!$N:$N,'Dados Mov Financeira'!$O:$O,'DRE 2019'!$B45,'Dados Mov Financeira'!$A:$A,'DRE 2019'!S$1)</f>
        <v>0</v>
      </c>
      <c r="T45" s="91" t="n">
        <f aca="false">IFERROR(S45/S$5,0)</f>
        <v>0</v>
      </c>
      <c r="V45" s="75" t="n">
        <f aca="false">SUMIFS('Dados Mov Financeira'!$N:$N,'Dados Mov Financeira'!$O:$O,'DRE 2019'!$B45,'Dados Mov Financeira'!$A:$A,'DRE 2019'!V$1)</f>
        <v>0</v>
      </c>
      <c r="W45" s="91" t="n">
        <f aca="false">IFERROR(V45/V$5,0)</f>
        <v>0</v>
      </c>
      <c r="Y45" s="75" t="n">
        <f aca="false">SUMIFS('Dados Mov Financeira'!$N:$N,'Dados Mov Financeira'!$O:$O,'DRE 2019'!$B45,'Dados Mov Financeira'!$A:$A,'DRE 2019'!Y$1)</f>
        <v>0</v>
      </c>
      <c r="Z45" s="91" t="n">
        <f aca="false">IFERROR(Y45/Y$5,0)</f>
        <v>0</v>
      </c>
      <c r="AB45" s="75" t="n">
        <f aca="false">SUMIFS('Dados Mov Financeira'!$N:$N,'Dados Mov Financeira'!$O:$O,'DRE 2019'!$B45,'Dados Mov Financeira'!$A:$A,'DRE 2019'!AB$1)</f>
        <v>0</v>
      </c>
      <c r="AC45" s="91" t="n">
        <f aca="false">IFERROR(AB45/AB$5,0)</f>
        <v>0</v>
      </c>
      <c r="AE45" s="75" t="n">
        <f aca="false">SUMIFS('Dados Mov Financeira'!$N:$N,'Dados Mov Financeira'!$O:$O,'DRE 2019'!$B45,'Dados Mov Financeira'!$A:$A,'DRE 2019'!AE$1)</f>
        <v>0</v>
      </c>
      <c r="AF45" s="91" t="n">
        <f aca="false">IFERROR(AE45/AE$5,0)</f>
        <v>0</v>
      </c>
      <c r="AH45" s="75" t="n">
        <f aca="false">SUMIFS('Dados Mov Financeira'!$N:$N,'Dados Mov Financeira'!$O:$O,'DRE 2019'!$B45,'Dados Mov Financeira'!$A:$A,'DRE 2019'!AH$1)</f>
        <v>0</v>
      </c>
      <c r="AI45" s="91" t="n">
        <f aca="false">IFERROR(AH45/AH$5,0)</f>
        <v>0</v>
      </c>
      <c r="AK45" s="75" t="n">
        <f aca="false">SUMIFS('Dados Mov Financeira'!$N:$N,'Dados Mov Financeira'!$O:$O,'DRE 2019'!$B45,'Dados Mov Financeira'!$A:$A,'DRE 2019'!AK$1)</f>
        <v>0</v>
      </c>
      <c r="AL45" s="91" t="n">
        <f aca="false">IFERROR(AK45/AK$5,0)</f>
        <v>0</v>
      </c>
      <c r="AN45" s="92" t="n">
        <f aca="false">SUM(D45,G45,J45,M45,P45,S45,V45,Y45,AB45,AE45,AH45,AK45)</f>
        <v>0</v>
      </c>
      <c r="AO45" s="91" t="n">
        <f aca="false">IFERROR(AN45/AN$5,0)</f>
        <v>0</v>
      </c>
      <c r="AQ45" s="93" t="n">
        <f aca="false">AN45/$AR$1</f>
        <v>0</v>
      </c>
      <c r="AR45" s="94" t="n">
        <f aca="false">IFERROR(AQ45/AQ$5,0)</f>
        <v>0</v>
      </c>
      <c r="AT45" s="111"/>
    </row>
    <row r="46" customFormat="false" ht="15.75" hidden="true" customHeight="true" outlineLevel="1" collapsed="false">
      <c r="B46" s="89" t="s">
        <v>67</v>
      </c>
      <c r="D46" s="75" t="n">
        <f aca="false">SUMIFS('Dados Mov Financeira'!$N:$N,'Dados Mov Financeira'!$O:$O,'DRE 2019'!$B46,'Dados Mov Financeira'!$A:$A,'DRE 2019'!D$1)</f>
        <v>0</v>
      </c>
      <c r="E46" s="91" t="n">
        <f aca="false">IFERROR(D46/D$5,0)</f>
        <v>0</v>
      </c>
      <c r="G46" s="75" t="n">
        <f aca="false">SUMIFS('Dados Mov Financeira'!$N:$N,'Dados Mov Financeira'!$O:$O,'DRE 2019'!$B46,'Dados Mov Financeira'!$A:$A,'DRE 2019'!G$1)</f>
        <v>0</v>
      </c>
      <c r="H46" s="91" t="n">
        <f aca="false">IFERROR(G46/G$5,0)</f>
        <v>0</v>
      </c>
      <c r="J46" s="75" t="n">
        <f aca="false">SUMIFS('Dados Mov Financeira'!$N:$N,'Dados Mov Financeira'!$O:$O,'DRE 2019'!$B46,'Dados Mov Financeira'!$A:$A,'DRE 2019'!J$1)</f>
        <v>0</v>
      </c>
      <c r="K46" s="91" t="n">
        <f aca="false">IFERROR(J46/J$5,0)</f>
        <v>0</v>
      </c>
      <c r="M46" s="75" t="n">
        <f aca="false">SUMIFS('Dados Mov Financeira'!$N:$N,'Dados Mov Financeira'!$O:$O,'DRE 2019'!$B46,'Dados Mov Financeira'!$A:$A,'DRE 2019'!M$1)</f>
        <v>0</v>
      </c>
      <c r="N46" s="91" t="n">
        <f aca="false">IFERROR(M46/M$5,0)</f>
        <v>0</v>
      </c>
      <c r="P46" s="75" t="n">
        <f aca="false">SUMIFS('Dados Mov Financeira'!$N:$N,'Dados Mov Financeira'!$O:$O,'DRE 2019'!$B46,'Dados Mov Financeira'!$A:$A,'DRE 2019'!P$1)</f>
        <v>0</v>
      </c>
      <c r="Q46" s="91" t="n">
        <f aca="false">IFERROR(P46/P$5,0)</f>
        <v>0</v>
      </c>
      <c r="S46" s="75" t="n">
        <f aca="false">SUMIFS('Dados Mov Financeira'!$N:$N,'Dados Mov Financeira'!$O:$O,'DRE 2019'!$B46,'Dados Mov Financeira'!$A:$A,'DRE 2019'!S$1)</f>
        <v>0</v>
      </c>
      <c r="T46" s="91" t="n">
        <f aca="false">IFERROR(S46/S$5,0)</f>
        <v>0</v>
      </c>
      <c r="V46" s="75" t="n">
        <f aca="false">SUMIFS('Dados Mov Financeira'!$N:$N,'Dados Mov Financeira'!$O:$O,'DRE 2019'!$B46,'Dados Mov Financeira'!$A:$A,'DRE 2019'!V$1)</f>
        <v>0</v>
      </c>
      <c r="W46" s="91" t="n">
        <f aca="false">IFERROR(V46/V$5,0)</f>
        <v>0</v>
      </c>
      <c r="Y46" s="75" t="n">
        <f aca="false">SUMIFS('Dados Mov Financeira'!$N:$N,'Dados Mov Financeira'!$O:$O,'DRE 2019'!$B46,'Dados Mov Financeira'!$A:$A,'DRE 2019'!Y$1)</f>
        <v>0</v>
      </c>
      <c r="Z46" s="91" t="n">
        <f aca="false">IFERROR(Y46/Y$5,0)</f>
        <v>0</v>
      </c>
      <c r="AB46" s="75" t="n">
        <f aca="false">SUMIFS('Dados Mov Financeira'!$N:$N,'Dados Mov Financeira'!$O:$O,'DRE 2019'!$B46,'Dados Mov Financeira'!$A:$A,'DRE 2019'!AB$1)</f>
        <v>0</v>
      </c>
      <c r="AC46" s="91" t="n">
        <f aca="false">IFERROR(AB46/AB$5,0)</f>
        <v>0</v>
      </c>
      <c r="AE46" s="75" t="n">
        <f aca="false">SUMIFS('Dados Mov Financeira'!$N:$N,'Dados Mov Financeira'!$O:$O,'DRE 2019'!$B46,'Dados Mov Financeira'!$A:$A,'DRE 2019'!AE$1)</f>
        <v>0</v>
      </c>
      <c r="AF46" s="91" t="n">
        <f aca="false">IFERROR(AE46/AE$5,0)</f>
        <v>0</v>
      </c>
      <c r="AH46" s="75" t="n">
        <f aca="false">SUMIFS('Dados Mov Financeira'!$N:$N,'Dados Mov Financeira'!$O:$O,'DRE 2019'!$B46,'Dados Mov Financeira'!$A:$A,'DRE 2019'!AH$1)</f>
        <v>0</v>
      </c>
      <c r="AI46" s="91" t="n">
        <f aca="false">IFERROR(AH46/AH$5,0)</f>
        <v>0</v>
      </c>
      <c r="AK46" s="75" t="n">
        <f aca="false">SUMIFS('Dados Mov Financeira'!$N:$N,'Dados Mov Financeira'!$O:$O,'DRE 2019'!$B46,'Dados Mov Financeira'!$A:$A,'DRE 2019'!AK$1)</f>
        <v>0</v>
      </c>
      <c r="AL46" s="91" t="n">
        <f aca="false">IFERROR(AK46/AK$5,0)</f>
        <v>0</v>
      </c>
      <c r="AN46" s="92" t="n">
        <f aca="false">SUM(D46,G46,J46,M46,P46,S46,V46,Y46,AB46,AE46,AH46,AK46)</f>
        <v>0</v>
      </c>
      <c r="AO46" s="91" t="n">
        <f aca="false">IFERROR(AN46/AN$5,0)</f>
        <v>0</v>
      </c>
      <c r="AQ46" s="93" t="n">
        <f aca="false">AN46/$AR$1</f>
        <v>0</v>
      </c>
      <c r="AR46" s="94" t="n">
        <f aca="false">IFERROR(AQ46/AQ$5,0)</f>
        <v>0</v>
      </c>
      <c r="AT46" s="111"/>
    </row>
    <row r="47" customFormat="false" ht="15.75" hidden="true" customHeight="true" outlineLevel="1" collapsed="false">
      <c r="B47" s="89" t="s">
        <v>68</v>
      </c>
      <c r="D47" s="75" t="n">
        <f aca="false">SUMIFS('Dados Mov Financeira'!$N:$N,'Dados Mov Financeira'!$O:$O,'DRE 2019'!$B47,'Dados Mov Financeira'!$A:$A,'DRE 2019'!D$1)</f>
        <v>0</v>
      </c>
      <c r="E47" s="91" t="n">
        <f aca="false">IFERROR(D47/D$5,0)</f>
        <v>0</v>
      </c>
      <c r="G47" s="75" t="n">
        <f aca="false">SUMIFS('Dados Mov Financeira'!$N:$N,'Dados Mov Financeira'!$O:$O,'DRE 2019'!$B47,'Dados Mov Financeira'!$A:$A,'DRE 2019'!G$1)</f>
        <v>0</v>
      </c>
      <c r="H47" s="91" t="n">
        <f aca="false">IFERROR(G47/G$5,0)</f>
        <v>0</v>
      </c>
      <c r="J47" s="75" t="n">
        <f aca="false">SUMIFS('Dados Mov Financeira'!$N:$N,'Dados Mov Financeira'!$O:$O,'DRE 2019'!$B47,'Dados Mov Financeira'!$A:$A,'DRE 2019'!J$1)</f>
        <v>0</v>
      </c>
      <c r="K47" s="91" t="n">
        <f aca="false">IFERROR(J47/J$5,0)</f>
        <v>0</v>
      </c>
      <c r="M47" s="75" t="n">
        <f aca="false">SUMIFS('Dados Mov Financeira'!$N:$N,'Dados Mov Financeira'!$O:$O,'DRE 2019'!$B47,'Dados Mov Financeira'!$A:$A,'DRE 2019'!M$1)</f>
        <v>0</v>
      </c>
      <c r="N47" s="91" t="n">
        <f aca="false">IFERROR(M47/M$5,0)</f>
        <v>0</v>
      </c>
      <c r="P47" s="75" t="n">
        <f aca="false">SUMIFS('Dados Mov Financeira'!$N:$N,'Dados Mov Financeira'!$O:$O,'DRE 2019'!$B47,'Dados Mov Financeira'!$A:$A,'DRE 2019'!P$1)</f>
        <v>0</v>
      </c>
      <c r="Q47" s="91" t="n">
        <f aca="false">IFERROR(P47/P$5,0)</f>
        <v>0</v>
      </c>
      <c r="S47" s="75" t="n">
        <f aca="false">SUMIFS('Dados Mov Financeira'!$N:$N,'Dados Mov Financeira'!$O:$O,'DRE 2019'!$B47,'Dados Mov Financeira'!$A:$A,'DRE 2019'!S$1)</f>
        <v>0</v>
      </c>
      <c r="T47" s="91" t="n">
        <f aca="false">IFERROR(S47/S$5,0)</f>
        <v>0</v>
      </c>
      <c r="V47" s="75" t="n">
        <f aca="false">SUMIFS('Dados Mov Financeira'!$N:$N,'Dados Mov Financeira'!$O:$O,'DRE 2019'!$B47,'Dados Mov Financeira'!$A:$A,'DRE 2019'!V$1)</f>
        <v>0</v>
      </c>
      <c r="W47" s="91" t="n">
        <f aca="false">IFERROR(V47/V$5,0)</f>
        <v>0</v>
      </c>
      <c r="Y47" s="75" t="n">
        <f aca="false">SUMIFS('Dados Mov Financeira'!$N:$N,'Dados Mov Financeira'!$O:$O,'DRE 2019'!$B47,'Dados Mov Financeira'!$A:$A,'DRE 2019'!Y$1)</f>
        <v>0</v>
      </c>
      <c r="Z47" s="91" t="n">
        <f aca="false">IFERROR(Y47/Y$5,0)</f>
        <v>0</v>
      </c>
      <c r="AB47" s="75" t="n">
        <f aca="false">SUMIFS('Dados Mov Financeira'!$N:$N,'Dados Mov Financeira'!$O:$O,'DRE 2019'!$B47,'Dados Mov Financeira'!$A:$A,'DRE 2019'!AB$1)</f>
        <v>0</v>
      </c>
      <c r="AC47" s="91" t="n">
        <f aca="false">IFERROR(AB47/AB$5,0)</f>
        <v>0</v>
      </c>
      <c r="AE47" s="75" t="n">
        <f aca="false">SUMIFS('Dados Mov Financeira'!$N:$N,'Dados Mov Financeira'!$O:$O,'DRE 2019'!$B47,'Dados Mov Financeira'!$A:$A,'DRE 2019'!AE$1)</f>
        <v>0</v>
      </c>
      <c r="AF47" s="91" t="n">
        <f aca="false">IFERROR(AE47/AE$5,0)</f>
        <v>0</v>
      </c>
      <c r="AH47" s="75" t="n">
        <f aca="false">SUMIFS('Dados Mov Financeira'!$N:$N,'Dados Mov Financeira'!$O:$O,'DRE 2019'!$B47,'Dados Mov Financeira'!$A:$A,'DRE 2019'!AH$1)</f>
        <v>0</v>
      </c>
      <c r="AI47" s="91" t="n">
        <f aca="false">IFERROR(AH47/AH$5,0)</f>
        <v>0</v>
      </c>
      <c r="AK47" s="75" t="n">
        <f aca="false">SUMIFS('Dados Mov Financeira'!$N:$N,'Dados Mov Financeira'!$O:$O,'DRE 2019'!$B47,'Dados Mov Financeira'!$A:$A,'DRE 2019'!AK$1)</f>
        <v>0</v>
      </c>
      <c r="AL47" s="91" t="n">
        <f aca="false">IFERROR(AK47/AK$5,0)</f>
        <v>0</v>
      </c>
      <c r="AN47" s="92" t="n">
        <f aca="false">SUM(D47,G47,J47,M47,P47,S47,V47,Y47,AB47,AE47,AH47,AK47)</f>
        <v>0</v>
      </c>
      <c r="AO47" s="91" t="n">
        <f aca="false">IFERROR(AN47/AN$5,0)</f>
        <v>0</v>
      </c>
      <c r="AQ47" s="93" t="n">
        <f aca="false">AN47/$AR$1</f>
        <v>0</v>
      </c>
      <c r="AR47" s="94" t="n">
        <f aca="false">IFERROR(AQ47/AQ$5,0)</f>
        <v>0</v>
      </c>
      <c r="AT47" s="111"/>
    </row>
    <row r="48" customFormat="false" ht="15.75" hidden="true" customHeight="true" outlineLevel="1" collapsed="false">
      <c r="B48" s="89" t="s">
        <v>69</v>
      </c>
      <c r="D48" s="75" t="n">
        <f aca="false">SUMIFS('Dados Mov Financeira'!$N:$N,'Dados Mov Financeira'!$O:$O,'DRE 2019'!$B48,'Dados Mov Financeira'!$A:$A,'DRE 2019'!D$1)</f>
        <v>0</v>
      </c>
      <c r="E48" s="91" t="n">
        <f aca="false">IFERROR(D48/D$5,0)</f>
        <v>0</v>
      </c>
      <c r="G48" s="75" t="n">
        <f aca="false">SUMIFS('Dados Mov Financeira'!$N:$N,'Dados Mov Financeira'!$O:$O,'DRE 2019'!$B48,'Dados Mov Financeira'!$A:$A,'DRE 2019'!G$1)</f>
        <v>0</v>
      </c>
      <c r="H48" s="91" t="n">
        <f aca="false">IFERROR(G48/G$5,0)</f>
        <v>0</v>
      </c>
      <c r="J48" s="75" t="n">
        <f aca="false">SUMIFS('Dados Mov Financeira'!$N:$N,'Dados Mov Financeira'!$O:$O,'DRE 2019'!$B48,'Dados Mov Financeira'!$A:$A,'DRE 2019'!J$1)</f>
        <v>0</v>
      </c>
      <c r="K48" s="91" t="n">
        <f aca="false">IFERROR(J48/J$5,0)</f>
        <v>0</v>
      </c>
      <c r="M48" s="75" t="n">
        <f aca="false">SUMIFS('Dados Mov Financeira'!$N:$N,'Dados Mov Financeira'!$O:$O,'DRE 2019'!$B48,'Dados Mov Financeira'!$A:$A,'DRE 2019'!M$1)</f>
        <v>0</v>
      </c>
      <c r="N48" s="91" t="n">
        <f aca="false">IFERROR(M48/M$5,0)</f>
        <v>0</v>
      </c>
      <c r="P48" s="75" t="n">
        <f aca="false">SUMIFS('Dados Mov Financeira'!$N:$N,'Dados Mov Financeira'!$O:$O,'DRE 2019'!$B48,'Dados Mov Financeira'!$A:$A,'DRE 2019'!P$1)</f>
        <v>0</v>
      </c>
      <c r="Q48" s="91" t="n">
        <f aca="false">IFERROR(P48/P$5,0)</f>
        <v>0</v>
      </c>
      <c r="S48" s="75" t="n">
        <f aca="false">SUMIFS('Dados Mov Financeira'!$N:$N,'Dados Mov Financeira'!$O:$O,'DRE 2019'!$B48,'Dados Mov Financeira'!$A:$A,'DRE 2019'!S$1)</f>
        <v>0</v>
      </c>
      <c r="T48" s="91" t="n">
        <f aca="false">IFERROR(S48/S$5,0)</f>
        <v>0</v>
      </c>
      <c r="V48" s="75" t="n">
        <f aca="false">SUMIFS('Dados Mov Financeira'!$N:$N,'Dados Mov Financeira'!$O:$O,'DRE 2019'!$B48,'Dados Mov Financeira'!$A:$A,'DRE 2019'!V$1)</f>
        <v>0</v>
      </c>
      <c r="W48" s="91" t="n">
        <f aca="false">IFERROR(V48/V$5,0)</f>
        <v>0</v>
      </c>
      <c r="Y48" s="75" t="n">
        <f aca="false">SUMIFS('Dados Mov Financeira'!$N:$N,'Dados Mov Financeira'!$O:$O,'DRE 2019'!$B48,'Dados Mov Financeira'!$A:$A,'DRE 2019'!Y$1)</f>
        <v>0</v>
      </c>
      <c r="Z48" s="91" t="n">
        <f aca="false">IFERROR(Y48/Y$5,0)</f>
        <v>0</v>
      </c>
      <c r="AB48" s="75" t="n">
        <f aca="false">SUMIFS('Dados Mov Financeira'!$N:$N,'Dados Mov Financeira'!$O:$O,'DRE 2019'!$B48,'Dados Mov Financeira'!$A:$A,'DRE 2019'!AB$1)</f>
        <v>0</v>
      </c>
      <c r="AC48" s="91" t="n">
        <f aca="false">IFERROR(AB48/AB$5,0)</f>
        <v>0</v>
      </c>
      <c r="AE48" s="75" t="n">
        <f aca="false">SUMIFS('Dados Mov Financeira'!$N:$N,'Dados Mov Financeira'!$O:$O,'DRE 2019'!$B48,'Dados Mov Financeira'!$A:$A,'DRE 2019'!AE$1)</f>
        <v>0</v>
      </c>
      <c r="AF48" s="91" t="n">
        <f aca="false">IFERROR(AE48/AE$5,0)</f>
        <v>0</v>
      </c>
      <c r="AH48" s="75" t="n">
        <f aca="false">SUMIFS('Dados Mov Financeira'!$N:$N,'Dados Mov Financeira'!$O:$O,'DRE 2019'!$B48,'Dados Mov Financeira'!$A:$A,'DRE 2019'!AH$1)</f>
        <v>0</v>
      </c>
      <c r="AI48" s="91" t="n">
        <f aca="false">IFERROR(AH48/AH$5,0)</f>
        <v>0</v>
      </c>
      <c r="AK48" s="75" t="n">
        <f aca="false">SUMIFS('Dados Mov Financeira'!$N:$N,'Dados Mov Financeira'!$O:$O,'DRE 2019'!$B48,'Dados Mov Financeira'!$A:$A,'DRE 2019'!AK$1)</f>
        <v>0</v>
      </c>
      <c r="AL48" s="91" t="n">
        <f aca="false">IFERROR(AK48/AK$5,0)</f>
        <v>0</v>
      </c>
      <c r="AN48" s="92" t="n">
        <f aca="false">SUM(D48,G48,J48,M48,P48,S48,V48,Y48,AB48,AE48,AH48,AK48)</f>
        <v>0</v>
      </c>
      <c r="AO48" s="91" t="n">
        <f aca="false">IFERROR(AN48/AN$5,0)</f>
        <v>0</v>
      </c>
      <c r="AQ48" s="93" t="n">
        <f aca="false">AN48/$AR$1</f>
        <v>0</v>
      </c>
      <c r="AR48" s="94" t="n">
        <f aca="false">IFERROR(AQ48/AQ$5,0)</f>
        <v>0</v>
      </c>
      <c r="AT48" s="111"/>
    </row>
    <row r="49" customFormat="false" ht="15.75" hidden="true" customHeight="true" outlineLevel="1" collapsed="false">
      <c r="B49" s="89" t="s">
        <v>70</v>
      </c>
      <c r="D49" s="75" t="n">
        <f aca="false">SUMIFS('Dados Mov Financeira'!$N:$N,'Dados Mov Financeira'!$O:$O,'DRE 2019'!$B49,'Dados Mov Financeira'!$A:$A,'DRE 2019'!D$1)</f>
        <v>0</v>
      </c>
      <c r="E49" s="91" t="n">
        <f aca="false">IFERROR(D49/D$5,0)</f>
        <v>0</v>
      </c>
      <c r="G49" s="75" t="n">
        <f aca="false">SUMIFS('Dados Mov Financeira'!$N:$N,'Dados Mov Financeira'!$O:$O,'DRE 2019'!$B49,'Dados Mov Financeira'!$A:$A,'DRE 2019'!G$1)</f>
        <v>0</v>
      </c>
      <c r="H49" s="91" t="n">
        <f aca="false">IFERROR(G49/G$5,0)</f>
        <v>0</v>
      </c>
      <c r="J49" s="75" t="n">
        <f aca="false">SUMIFS('Dados Mov Financeira'!$N:$N,'Dados Mov Financeira'!$O:$O,'DRE 2019'!$B49,'Dados Mov Financeira'!$A:$A,'DRE 2019'!J$1)</f>
        <v>0</v>
      </c>
      <c r="K49" s="91" t="n">
        <f aca="false">IFERROR(J49/J$5,0)</f>
        <v>0</v>
      </c>
      <c r="M49" s="75" t="n">
        <f aca="false">SUMIFS('Dados Mov Financeira'!$N:$N,'Dados Mov Financeira'!$O:$O,'DRE 2019'!$B49,'Dados Mov Financeira'!$A:$A,'DRE 2019'!M$1)</f>
        <v>0</v>
      </c>
      <c r="N49" s="91" t="n">
        <f aca="false">IFERROR(M49/M$5,0)</f>
        <v>0</v>
      </c>
      <c r="P49" s="75" t="n">
        <f aca="false">SUMIFS('Dados Mov Financeira'!$N:$N,'Dados Mov Financeira'!$O:$O,'DRE 2019'!$B49,'Dados Mov Financeira'!$A:$A,'DRE 2019'!P$1)</f>
        <v>0</v>
      </c>
      <c r="Q49" s="91" t="n">
        <f aca="false">IFERROR(P49/P$5,0)</f>
        <v>0</v>
      </c>
      <c r="S49" s="75" t="n">
        <f aca="false">SUMIFS('Dados Mov Financeira'!$N:$N,'Dados Mov Financeira'!$O:$O,'DRE 2019'!$B49,'Dados Mov Financeira'!$A:$A,'DRE 2019'!S$1)</f>
        <v>0</v>
      </c>
      <c r="T49" s="91" t="n">
        <f aca="false">IFERROR(S49/S$5,0)</f>
        <v>0</v>
      </c>
      <c r="V49" s="75" t="n">
        <f aca="false">SUMIFS('Dados Mov Financeira'!$N:$N,'Dados Mov Financeira'!$O:$O,'DRE 2019'!$B49,'Dados Mov Financeira'!$A:$A,'DRE 2019'!V$1)</f>
        <v>0</v>
      </c>
      <c r="W49" s="91" t="n">
        <f aca="false">IFERROR(V49/V$5,0)</f>
        <v>0</v>
      </c>
      <c r="Y49" s="75" t="n">
        <f aca="false">SUMIFS('Dados Mov Financeira'!$N:$N,'Dados Mov Financeira'!$O:$O,'DRE 2019'!$B49,'Dados Mov Financeira'!$A:$A,'DRE 2019'!Y$1)</f>
        <v>0</v>
      </c>
      <c r="Z49" s="91" t="n">
        <f aca="false">IFERROR(Y49/Y$5,0)</f>
        <v>0</v>
      </c>
      <c r="AB49" s="75" t="n">
        <f aca="false">SUMIFS('Dados Mov Financeira'!$N:$N,'Dados Mov Financeira'!$O:$O,'DRE 2019'!$B49,'Dados Mov Financeira'!$A:$A,'DRE 2019'!AB$1)</f>
        <v>0</v>
      </c>
      <c r="AC49" s="91" t="n">
        <f aca="false">IFERROR(AB49/AB$5,0)</f>
        <v>0</v>
      </c>
      <c r="AE49" s="75" t="n">
        <f aca="false">SUMIFS('Dados Mov Financeira'!$N:$N,'Dados Mov Financeira'!$O:$O,'DRE 2019'!$B49,'Dados Mov Financeira'!$A:$A,'DRE 2019'!AE$1)</f>
        <v>0</v>
      </c>
      <c r="AF49" s="91" t="n">
        <f aca="false">IFERROR(AE49/AE$5,0)</f>
        <v>0</v>
      </c>
      <c r="AH49" s="75" t="n">
        <f aca="false">SUMIFS('Dados Mov Financeira'!$N:$N,'Dados Mov Financeira'!$O:$O,'DRE 2019'!$B49,'Dados Mov Financeira'!$A:$A,'DRE 2019'!AH$1)</f>
        <v>0</v>
      </c>
      <c r="AI49" s="91" t="n">
        <f aca="false">IFERROR(AH49/AH$5,0)</f>
        <v>0</v>
      </c>
      <c r="AK49" s="75" t="n">
        <f aca="false">SUMIFS('Dados Mov Financeira'!$N:$N,'Dados Mov Financeira'!$O:$O,'DRE 2019'!$B49,'Dados Mov Financeira'!$A:$A,'DRE 2019'!AK$1)</f>
        <v>0</v>
      </c>
      <c r="AL49" s="91" t="n">
        <f aca="false">IFERROR(AK49/AK$5,0)</f>
        <v>0</v>
      </c>
      <c r="AN49" s="92" t="n">
        <f aca="false">SUM(D49,G49,J49,M49,P49,S49,V49,Y49,AB49,AE49,AH49,AK49)</f>
        <v>0</v>
      </c>
      <c r="AO49" s="91" t="n">
        <f aca="false">IFERROR(AN49/AN$5,0)</f>
        <v>0</v>
      </c>
      <c r="AQ49" s="93" t="n">
        <f aca="false">AN49/$AR$1</f>
        <v>0</v>
      </c>
      <c r="AR49" s="94" t="n">
        <f aca="false">IFERROR(AQ49/AQ$5,0)</f>
        <v>0</v>
      </c>
      <c r="AT49" s="111"/>
    </row>
    <row r="50" customFormat="false" ht="15.75" hidden="true" customHeight="true" outlineLevel="1" collapsed="false">
      <c r="B50" s="89" t="s">
        <v>71</v>
      </c>
      <c r="D50" s="75" t="n">
        <f aca="false">SUMIFS('Dados Mov Financeira'!$N:$N,'Dados Mov Financeira'!$O:$O,'DRE 2019'!$B50,'Dados Mov Financeira'!$A:$A,'DRE 2019'!D$1)</f>
        <v>0</v>
      </c>
      <c r="E50" s="91" t="n">
        <f aca="false">IFERROR(D50/D$5,0)</f>
        <v>0</v>
      </c>
      <c r="G50" s="75" t="n">
        <f aca="false">SUMIFS('Dados Mov Financeira'!$N:$N,'Dados Mov Financeira'!$O:$O,'DRE 2019'!$B50,'Dados Mov Financeira'!$A:$A,'DRE 2019'!G$1)</f>
        <v>0</v>
      </c>
      <c r="H50" s="91" t="n">
        <f aca="false">IFERROR(G50/G$5,0)</f>
        <v>0</v>
      </c>
      <c r="J50" s="75" t="n">
        <f aca="false">SUMIFS('Dados Mov Financeira'!$N:$N,'Dados Mov Financeira'!$O:$O,'DRE 2019'!$B50,'Dados Mov Financeira'!$A:$A,'DRE 2019'!J$1)</f>
        <v>0</v>
      </c>
      <c r="K50" s="91" t="n">
        <f aca="false">IFERROR(J50/J$5,0)</f>
        <v>0</v>
      </c>
      <c r="M50" s="75" t="n">
        <f aca="false">SUMIFS('Dados Mov Financeira'!$N:$N,'Dados Mov Financeira'!$O:$O,'DRE 2019'!$B50,'Dados Mov Financeira'!$A:$A,'DRE 2019'!M$1)</f>
        <v>0</v>
      </c>
      <c r="N50" s="91" t="n">
        <f aca="false">IFERROR(M50/M$5,0)</f>
        <v>0</v>
      </c>
      <c r="P50" s="75" t="n">
        <f aca="false">SUMIFS('Dados Mov Financeira'!$N:$N,'Dados Mov Financeira'!$O:$O,'DRE 2019'!$B50,'Dados Mov Financeira'!$A:$A,'DRE 2019'!P$1)</f>
        <v>0</v>
      </c>
      <c r="Q50" s="91" t="n">
        <f aca="false">IFERROR(P50/P$5,0)</f>
        <v>0</v>
      </c>
      <c r="S50" s="75" t="n">
        <f aca="false">SUMIFS('Dados Mov Financeira'!$N:$N,'Dados Mov Financeira'!$O:$O,'DRE 2019'!$B50,'Dados Mov Financeira'!$A:$A,'DRE 2019'!S$1)</f>
        <v>0</v>
      </c>
      <c r="T50" s="91" t="n">
        <f aca="false">IFERROR(S50/S$5,0)</f>
        <v>0</v>
      </c>
      <c r="V50" s="75" t="n">
        <f aca="false">SUMIFS('Dados Mov Financeira'!$N:$N,'Dados Mov Financeira'!$O:$O,'DRE 2019'!$B50,'Dados Mov Financeira'!$A:$A,'DRE 2019'!V$1)</f>
        <v>0</v>
      </c>
      <c r="W50" s="91" t="n">
        <f aca="false">IFERROR(V50/V$5,0)</f>
        <v>0</v>
      </c>
      <c r="Y50" s="75" t="n">
        <f aca="false">SUMIFS('Dados Mov Financeira'!$N:$N,'Dados Mov Financeira'!$O:$O,'DRE 2019'!$B50,'Dados Mov Financeira'!$A:$A,'DRE 2019'!Y$1)</f>
        <v>0</v>
      </c>
      <c r="Z50" s="91" t="n">
        <f aca="false">IFERROR(Y50/Y$5,0)</f>
        <v>0</v>
      </c>
      <c r="AB50" s="75" t="n">
        <f aca="false">SUMIFS('Dados Mov Financeira'!$N:$N,'Dados Mov Financeira'!$O:$O,'DRE 2019'!$B50,'Dados Mov Financeira'!$A:$A,'DRE 2019'!AB$1)</f>
        <v>0</v>
      </c>
      <c r="AC50" s="91" t="n">
        <f aca="false">IFERROR(AB50/AB$5,0)</f>
        <v>0</v>
      </c>
      <c r="AE50" s="75" t="n">
        <f aca="false">SUMIFS('Dados Mov Financeira'!$N:$N,'Dados Mov Financeira'!$O:$O,'DRE 2019'!$B50,'Dados Mov Financeira'!$A:$A,'DRE 2019'!AE$1)</f>
        <v>0</v>
      </c>
      <c r="AF50" s="91" t="n">
        <f aca="false">IFERROR(AE50/AE$5,0)</f>
        <v>0</v>
      </c>
      <c r="AH50" s="75" t="n">
        <f aca="false">SUMIFS('Dados Mov Financeira'!$N:$N,'Dados Mov Financeira'!$O:$O,'DRE 2019'!$B50,'Dados Mov Financeira'!$A:$A,'DRE 2019'!AH$1)</f>
        <v>0</v>
      </c>
      <c r="AI50" s="91" t="n">
        <f aca="false">IFERROR(AH50/AH$5,0)</f>
        <v>0</v>
      </c>
      <c r="AK50" s="75" t="n">
        <f aca="false">SUMIFS('Dados Mov Financeira'!$N:$N,'Dados Mov Financeira'!$O:$O,'DRE 2019'!$B50,'Dados Mov Financeira'!$A:$A,'DRE 2019'!AK$1)</f>
        <v>0</v>
      </c>
      <c r="AL50" s="91" t="n">
        <f aca="false">IFERROR(AK50/AK$5,0)</f>
        <v>0</v>
      </c>
      <c r="AN50" s="92" t="n">
        <f aca="false">SUM(D50,G50,J50,M50,P50,S50,V50,Y50,AB50,AE50,AH50,AK50)</f>
        <v>0</v>
      </c>
      <c r="AO50" s="91" t="n">
        <f aca="false">IFERROR(AN50/AN$5,0)</f>
        <v>0</v>
      </c>
      <c r="AQ50" s="93" t="n">
        <f aca="false">AN50/$AR$1</f>
        <v>0</v>
      </c>
      <c r="AR50" s="94" t="n">
        <f aca="false">IFERROR(AQ50/AQ$5,0)</f>
        <v>0</v>
      </c>
      <c r="AT50" s="111"/>
    </row>
    <row r="51" customFormat="false" ht="15.75" hidden="true" customHeight="true" outlineLevel="1" collapsed="false">
      <c r="B51" s="89" t="s">
        <v>72</v>
      </c>
      <c r="D51" s="75" t="n">
        <f aca="false">SUMIFS('Dados Mov Financeira'!$N:$N,'Dados Mov Financeira'!$O:$O,'DRE 2019'!$B51,'Dados Mov Financeira'!$A:$A,'DRE 2019'!D$1)</f>
        <v>0</v>
      </c>
      <c r="E51" s="91" t="n">
        <f aca="false">IFERROR(D51/D$5,0)</f>
        <v>0</v>
      </c>
      <c r="G51" s="75" t="n">
        <f aca="false">SUMIFS('Dados Mov Financeira'!$N:$N,'Dados Mov Financeira'!$O:$O,'DRE 2019'!$B51,'Dados Mov Financeira'!$A:$A,'DRE 2019'!G$1)</f>
        <v>0</v>
      </c>
      <c r="H51" s="91" t="n">
        <f aca="false">IFERROR(G51/G$5,0)</f>
        <v>0</v>
      </c>
      <c r="J51" s="75" t="n">
        <f aca="false">SUMIFS('Dados Mov Financeira'!$N:$N,'Dados Mov Financeira'!$O:$O,'DRE 2019'!$B51,'Dados Mov Financeira'!$A:$A,'DRE 2019'!J$1)</f>
        <v>0</v>
      </c>
      <c r="K51" s="91" t="n">
        <f aca="false">IFERROR(J51/J$5,0)</f>
        <v>0</v>
      </c>
      <c r="M51" s="75" t="n">
        <f aca="false">SUMIFS('Dados Mov Financeira'!$N:$N,'Dados Mov Financeira'!$O:$O,'DRE 2019'!$B51,'Dados Mov Financeira'!$A:$A,'DRE 2019'!M$1)</f>
        <v>0</v>
      </c>
      <c r="N51" s="91" t="n">
        <f aca="false">IFERROR(M51/M$5,0)</f>
        <v>0</v>
      </c>
      <c r="P51" s="75" t="n">
        <f aca="false">SUMIFS('Dados Mov Financeira'!$N:$N,'Dados Mov Financeira'!$O:$O,'DRE 2019'!$B51,'Dados Mov Financeira'!$A:$A,'DRE 2019'!P$1)</f>
        <v>0</v>
      </c>
      <c r="Q51" s="91" t="n">
        <f aca="false">IFERROR(P51/P$5,0)</f>
        <v>0</v>
      </c>
      <c r="S51" s="75" t="n">
        <f aca="false">SUMIFS('Dados Mov Financeira'!$N:$N,'Dados Mov Financeira'!$O:$O,'DRE 2019'!$B51,'Dados Mov Financeira'!$A:$A,'DRE 2019'!S$1)</f>
        <v>0</v>
      </c>
      <c r="T51" s="91" t="n">
        <f aca="false">IFERROR(S51/S$5,0)</f>
        <v>0</v>
      </c>
      <c r="V51" s="75" t="n">
        <f aca="false">SUMIFS('Dados Mov Financeira'!$N:$N,'Dados Mov Financeira'!$O:$O,'DRE 2019'!$B51,'Dados Mov Financeira'!$A:$A,'DRE 2019'!V$1)</f>
        <v>0</v>
      </c>
      <c r="W51" s="91" t="n">
        <f aca="false">IFERROR(V51/V$5,0)</f>
        <v>0</v>
      </c>
      <c r="Y51" s="75" t="n">
        <f aca="false">SUMIFS('Dados Mov Financeira'!$N:$N,'Dados Mov Financeira'!$O:$O,'DRE 2019'!$B51,'Dados Mov Financeira'!$A:$A,'DRE 2019'!Y$1)</f>
        <v>0</v>
      </c>
      <c r="Z51" s="91" t="n">
        <f aca="false">IFERROR(Y51/Y$5,0)</f>
        <v>0</v>
      </c>
      <c r="AB51" s="75" t="n">
        <f aca="false">SUMIFS('Dados Mov Financeira'!$N:$N,'Dados Mov Financeira'!$O:$O,'DRE 2019'!$B51,'Dados Mov Financeira'!$A:$A,'DRE 2019'!AB$1)</f>
        <v>0</v>
      </c>
      <c r="AC51" s="91" t="n">
        <f aca="false">IFERROR(AB51/AB$5,0)</f>
        <v>0</v>
      </c>
      <c r="AE51" s="75" t="n">
        <f aca="false">SUMIFS('Dados Mov Financeira'!$N:$N,'Dados Mov Financeira'!$O:$O,'DRE 2019'!$B51,'Dados Mov Financeira'!$A:$A,'DRE 2019'!AE$1)</f>
        <v>0</v>
      </c>
      <c r="AF51" s="91" t="n">
        <f aca="false">IFERROR(AE51/AE$5,0)</f>
        <v>0</v>
      </c>
      <c r="AH51" s="75" t="n">
        <f aca="false">SUMIFS('Dados Mov Financeira'!$N:$N,'Dados Mov Financeira'!$O:$O,'DRE 2019'!$B51,'Dados Mov Financeira'!$A:$A,'DRE 2019'!AH$1)</f>
        <v>0</v>
      </c>
      <c r="AI51" s="91" t="n">
        <f aca="false">IFERROR(AH51/AH$5,0)</f>
        <v>0</v>
      </c>
      <c r="AK51" s="75" t="n">
        <f aca="false">SUMIFS('Dados Mov Financeira'!$N:$N,'Dados Mov Financeira'!$O:$O,'DRE 2019'!$B51,'Dados Mov Financeira'!$A:$A,'DRE 2019'!AK$1)</f>
        <v>0</v>
      </c>
      <c r="AL51" s="91" t="n">
        <f aca="false">IFERROR(AK51/AK$5,0)</f>
        <v>0</v>
      </c>
      <c r="AN51" s="92" t="n">
        <f aca="false">SUM(D51,G51,J51,M51,P51,S51,V51,Y51,AB51,AE51,AH51,AK51)</f>
        <v>0</v>
      </c>
      <c r="AO51" s="91" t="n">
        <f aca="false">IFERROR(AN51/AN$5,0)</f>
        <v>0</v>
      </c>
      <c r="AQ51" s="93" t="n">
        <f aca="false">AN51/$AR$1</f>
        <v>0</v>
      </c>
      <c r="AR51" s="94" t="n">
        <f aca="false">IFERROR(AQ51/AQ$5,0)</f>
        <v>0</v>
      </c>
      <c r="AT51" s="111"/>
    </row>
    <row r="52" customFormat="false" ht="15.75" hidden="true" customHeight="true" outlineLevel="1" collapsed="false">
      <c r="B52" s="89" t="s">
        <v>73</v>
      </c>
      <c r="D52" s="75" t="n">
        <f aca="false">SUMIFS('Dados Mov Financeira'!$N:$N,'Dados Mov Financeira'!$O:$O,'DRE 2019'!$B52,'Dados Mov Financeira'!$A:$A,'DRE 2019'!D$1)</f>
        <v>0</v>
      </c>
      <c r="E52" s="91" t="n">
        <f aca="false">IFERROR(D52/D$5,0)</f>
        <v>0</v>
      </c>
      <c r="G52" s="75" t="n">
        <f aca="false">SUMIFS('Dados Mov Financeira'!$N:$N,'Dados Mov Financeira'!$O:$O,'DRE 2019'!$B52,'Dados Mov Financeira'!$A:$A,'DRE 2019'!G$1)</f>
        <v>0</v>
      </c>
      <c r="H52" s="91" t="n">
        <f aca="false">IFERROR(G52/G$5,0)</f>
        <v>0</v>
      </c>
      <c r="J52" s="75" t="n">
        <f aca="false">SUMIFS('Dados Mov Financeira'!$N:$N,'Dados Mov Financeira'!$O:$O,'DRE 2019'!$B52,'Dados Mov Financeira'!$A:$A,'DRE 2019'!J$1)</f>
        <v>0</v>
      </c>
      <c r="K52" s="91" t="n">
        <f aca="false">IFERROR(J52/J$5,0)</f>
        <v>0</v>
      </c>
      <c r="M52" s="75" t="n">
        <f aca="false">SUMIFS('Dados Mov Financeira'!$N:$N,'Dados Mov Financeira'!$O:$O,'DRE 2019'!$B52,'Dados Mov Financeira'!$A:$A,'DRE 2019'!M$1)</f>
        <v>0</v>
      </c>
      <c r="N52" s="91" t="n">
        <f aca="false">IFERROR(M52/M$5,0)</f>
        <v>0</v>
      </c>
      <c r="P52" s="75" t="n">
        <f aca="false">SUMIFS('Dados Mov Financeira'!$N:$N,'Dados Mov Financeira'!$O:$O,'DRE 2019'!$B52,'Dados Mov Financeira'!$A:$A,'DRE 2019'!P$1)</f>
        <v>0</v>
      </c>
      <c r="Q52" s="91" t="n">
        <f aca="false">IFERROR(P52/P$5,0)</f>
        <v>0</v>
      </c>
      <c r="S52" s="75" t="n">
        <f aca="false">SUMIFS('Dados Mov Financeira'!$N:$N,'Dados Mov Financeira'!$O:$O,'DRE 2019'!$B52,'Dados Mov Financeira'!$A:$A,'DRE 2019'!S$1)</f>
        <v>0</v>
      </c>
      <c r="T52" s="91" t="n">
        <f aca="false">IFERROR(S52/S$5,0)</f>
        <v>0</v>
      </c>
      <c r="V52" s="75" t="n">
        <f aca="false">SUMIFS('Dados Mov Financeira'!$N:$N,'Dados Mov Financeira'!$O:$O,'DRE 2019'!$B52,'Dados Mov Financeira'!$A:$A,'DRE 2019'!V$1)</f>
        <v>0</v>
      </c>
      <c r="W52" s="91" t="n">
        <f aca="false">IFERROR(V52/V$5,0)</f>
        <v>0</v>
      </c>
      <c r="Y52" s="75" t="n">
        <f aca="false">SUMIFS('Dados Mov Financeira'!$N:$N,'Dados Mov Financeira'!$O:$O,'DRE 2019'!$B52,'Dados Mov Financeira'!$A:$A,'DRE 2019'!Y$1)</f>
        <v>0</v>
      </c>
      <c r="Z52" s="91" t="n">
        <f aca="false">IFERROR(Y52/Y$5,0)</f>
        <v>0</v>
      </c>
      <c r="AB52" s="75" t="n">
        <f aca="false">SUMIFS('Dados Mov Financeira'!$N:$N,'Dados Mov Financeira'!$O:$O,'DRE 2019'!$B52,'Dados Mov Financeira'!$A:$A,'DRE 2019'!AB$1)</f>
        <v>0</v>
      </c>
      <c r="AC52" s="91" t="n">
        <f aca="false">IFERROR(AB52/AB$5,0)</f>
        <v>0</v>
      </c>
      <c r="AE52" s="75" t="n">
        <f aca="false">SUMIFS('Dados Mov Financeira'!$N:$N,'Dados Mov Financeira'!$O:$O,'DRE 2019'!$B52,'Dados Mov Financeira'!$A:$A,'DRE 2019'!AE$1)</f>
        <v>0</v>
      </c>
      <c r="AF52" s="91" t="n">
        <f aca="false">IFERROR(AE52/AE$5,0)</f>
        <v>0</v>
      </c>
      <c r="AH52" s="75" t="n">
        <f aca="false">SUMIFS('Dados Mov Financeira'!$N:$N,'Dados Mov Financeira'!$O:$O,'DRE 2019'!$B52,'Dados Mov Financeira'!$A:$A,'DRE 2019'!AH$1)</f>
        <v>0</v>
      </c>
      <c r="AI52" s="91" t="n">
        <f aca="false">IFERROR(AH52/AH$5,0)</f>
        <v>0</v>
      </c>
      <c r="AK52" s="75" t="n">
        <f aca="false">SUMIFS('Dados Mov Financeira'!$N:$N,'Dados Mov Financeira'!$O:$O,'DRE 2019'!$B52,'Dados Mov Financeira'!$A:$A,'DRE 2019'!AK$1)</f>
        <v>0</v>
      </c>
      <c r="AL52" s="91" t="n">
        <f aca="false">IFERROR(AK52/AK$5,0)</f>
        <v>0</v>
      </c>
      <c r="AN52" s="92" t="n">
        <f aca="false">SUM(D52,G52,J52,M52,P52,S52,V52,Y52,AB52,AE52,AH52,AK52)</f>
        <v>0</v>
      </c>
      <c r="AO52" s="91" t="n">
        <f aca="false">IFERROR(AN52/AN$5,0)</f>
        <v>0</v>
      </c>
      <c r="AQ52" s="93" t="n">
        <f aca="false">AN52/$AR$1</f>
        <v>0</v>
      </c>
      <c r="AR52" s="94" t="n">
        <f aca="false">IFERROR(AQ52/AQ$5,0)</f>
        <v>0</v>
      </c>
      <c r="AT52" s="111"/>
    </row>
    <row r="53" customFormat="false" ht="15.75" hidden="true" customHeight="true" outlineLevel="1" collapsed="false">
      <c r="B53" s="89" t="s">
        <v>74</v>
      </c>
      <c r="D53" s="75" t="n">
        <f aca="false">SUMIFS('Dados Mov Financeira'!$N:$N,'Dados Mov Financeira'!$O:$O,'DRE 2019'!$B53,'Dados Mov Financeira'!$A:$A,'DRE 2019'!D$1)</f>
        <v>0</v>
      </c>
      <c r="E53" s="91" t="n">
        <f aca="false">IFERROR(D53/D$5,0)</f>
        <v>0</v>
      </c>
      <c r="G53" s="75" t="n">
        <f aca="false">SUMIFS('Dados Mov Financeira'!$N:$N,'Dados Mov Financeira'!$O:$O,'DRE 2019'!$B53,'Dados Mov Financeira'!$A:$A,'DRE 2019'!G$1)</f>
        <v>0</v>
      </c>
      <c r="H53" s="91" t="n">
        <f aca="false">IFERROR(G53/G$5,0)</f>
        <v>0</v>
      </c>
      <c r="J53" s="75" t="n">
        <f aca="false">SUMIFS('Dados Mov Financeira'!$N:$N,'Dados Mov Financeira'!$O:$O,'DRE 2019'!$B53,'Dados Mov Financeira'!$A:$A,'DRE 2019'!J$1)</f>
        <v>0</v>
      </c>
      <c r="K53" s="91" t="n">
        <f aca="false">IFERROR(J53/J$5,0)</f>
        <v>0</v>
      </c>
      <c r="M53" s="75" t="n">
        <f aca="false">SUMIFS('Dados Mov Financeira'!$N:$N,'Dados Mov Financeira'!$O:$O,'DRE 2019'!$B53,'Dados Mov Financeira'!$A:$A,'DRE 2019'!M$1)</f>
        <v>0</v>
      </c>
      <c r="N53" s="91" t="n">
        <f aca="false">IFERROR(M53/M$5,0)</f>
        <v>0</v>
      </c>
      <c r="P53" s="75" t="n">
        <f aca="false">SUMIFS('Dados Mov Financeira'!$N:$N,'Dados Mov Financeira'!$O:$O,'DRE 2019'!$B53,'Dados Mov Financeira'!$A:$A,'DRE 2019'!P$1)</f>
        <v>0</v>
      </c>
      <c r="Q53" s="91" t="n">
        <f aca="false">IFERROR(P53/P$5,0)</f>
        <v>0</v>
      </c>
      <c r="S53" s="75" t="n">
        <f aca="false">SUMIFS('Dados Mov Financeira'!$N:$N,'Dados Mov Financeira'!$O:$O,'DRE 2019'!$B53,'Dados Mov Financeira'!$A:$A,'DRE 2019'!S$1)</f>
        <v>0</v>
      </c>
      <c r="T53" s="91" t="n">
        <f aca="false">IFERROR(S53/S$5,0)</f>
        <v>0</v>
      </c>
      <c r="V53" s="75" t="n">
        <f aca="false">SUMIFS('Dados Mov Financeira'!$N:$N,'Dados Mov Financeira'!$O:$O,'DRE 2019'!$B53,'Dados Mov Financeira'!$A:$A,'DRE 2019'!V$1)</f>
        <v>0</v>
      </c>
      <c r="W53" s="91" t="n">
        <f aca="false">IFERROR(V53/V$5,0)</f>
        <v>0</v>
      </c>
      <c r="Y53" s="75" t="n">
        <f aca="false">SUMIFS('Dados Mov Financeira'!$N:$N,'Dados Mov Financeira'!$O:$O,'DRE 2019'!$B53,'Dados Mov Financeira'!$A:$A,'DRE 2019'!Y$1)</f>
        <v>0</v>
      </c>
      <c r="Z53" s="91" t="n">
        <f aca="false">IFERROR(Y53/Y$5,0)</f>
        <v>0</v>
      </c>
      <c r="AB53" s="75" t="n">
        <f aca="false">SUMIFS('Dados Mov Financeira'!$N:$N,'Dados Mov Financeira'!$O:$O,'DRE 2019'!$B53,'Dados Mov Financeira'!$A:$A,'DRE 2019'!AB$1)</f>
        <v>0</v>
      </c>
      <c r="AC53" s="91" t="n">
        <f aca="false">IFERROR(AB53/AB$5,0)</f>
        <v>0</v>
      </c>
      <c r="AE53" s="75" t="n">
        <f aca="false">SUMIFS('Dados Mov Financeira'!$N:$N,'Dados Mov Financeira'!$O:$O,'DRE 2019'!$B53,'Dados Mov Financeira'!$A:$A,'DRE 2019'!AE$1)</f>
        <v>0</v>
      </c>
      <c r="AF53" s="91" t="n">
        <f aca="false">IFERROR(AE53/AE$5,0)</f>
        <v>0</v>
      </c>
      <c r="AH53" s="75" t="n">
        <f aca="false">SUMIFS('Dados Mov Financeira'!$N:$N,'Dados Mov Financeira'!$O:$O,'DRE 2019'!$B53,'Dados Mov Financeira'!$A:$A,'DRE 2019'!AH$1)</f>
        <v>0</v>
      </c>
      <c r="AI53" s="91" t="n">
        <f aca="false">IFERROR(AH53/AH$5,0)</f>
        <v>0</v>
      </c>
      <c r="AK53" s="75" t="n">
        <f aca="false">SUMIFS('Dados Mov Financeira'!$N:$N,'Dados Mov Financeira'!$O:$O,'DRE 2019'!$B53,'Dados Mov Financeira'!$A:$A,'DRE 2019'!AK$1)</f>
        <v>0</v>
      </c>
      <c r="AL53" s="91" t="n">
        <f aca="false">IFERROR(AK53/AK$5,0)</f>
        <v>0</v>
      </c>
      <c r="AN53" s="92" t="n">
        <f aca="false">SUM(D53,G53,J53,M53,P53,S53,V53,Y53,AB53,AE53,AH53,AK53)</f>
        <v>0</v>
      </c>
      <c r="AO53" s="91" t="n">
        <f aca="false">IFERROR(AN53/AN$5,0)</f>
        <v>0</v>
      </c>
      <c r="AQ53" s="93" t="n">
        <f aca="false">AN53/$AR$1</f>
        <v>0</v>
      </c>
      <c r="AR53" s="94" t="n">
        <f aca="false">IFERROR(AQ53/AQ$5,0)</f>
        <v>0</v>
      </c>
      <c r="AT53" s="111"/>
    </row>
    <row r="54" customFormat="false" ht="14.25" hidden="true" customHeight="false" outlineLevel="1" collapsed="false">
      <c r="B54" s="89" t="s">
        <v>75</v>
      </c>
      <c r="D54" s="75" t="n">
        <f aca="false">SUMIFS('Dados Mov Financeira'!$N:$N,'Dados Mov Financeira'!$O:$O,'DRE 2019'!$B54,'Dados Mov Financeira'!$A:$A,'DRE 2019'!D$1)</f>
        <v>0</v>
      </c>
      <c r="E54" s="91" t="n">
        <f aca="false">IFERROR(D54/D$5,0)</f>
        <v>0</v>
      </c>
      <c r="G54" s="75" t="n">
        <f aca="false">SUMIFS('Dados Mov Financeira'!$N:$N,'Dados Mov Financeira'!$O:$O,'DRE 2019'!$B54,'Dados Mov Financeira'!$A:$A,'DRE 2019'!G$1)</f>
        <v>0</v>
      </c>
      <c r="H54" s="91" t="n">
        <f aca="false">IFERROR(G54/G$5,0)</f>
        <v>0</v>
      </c>
      <c r="J54" s="75" t="n">
        <f aca="false">SUMIFS('Dados Mov Financeira'!$N:$N,'Dados Mov Financeira'!$O:$O,'DRE 2019'!$B54,'Dados Mov Financeira'!$A:$A,'DRE 2019'!J$1)</f>
        <v>0</v>
      </c>
      <c r="K54" s="91" t="n">
        <f aca="false">IFERROR(J54/J$5,0)</f>
        <v>0</v>
      </c>
      <c r="M54" s="75" t="n">
        <f aca="false">SUMIFS('Dados Mov Financeira'!$N:$N,'Dados Mov Financeira'!$O:$O,'DRE 2019'!$B54,'Dados Mov Financeira'!$A:$A,'DRE 2019'!M$1)</f>
        <v>0</v>
      </c>
      <c r="N54" s="91" t="n">
        <f aca="false">IFERROR(M54/M$5,0)</f>
        <v>0</v>
      </c>
      <c r="P54" s="75" t="n">
        <f aca="false">SUMIFS('Dados Mov Financeira'!$N:$N,'Dados Mov Financeira'!$O:$O,'DRE 2019'!$B54,'Dados Mov Financeira'!$A:$A,'DRE 2019'!P$1)</f>
        <v>0</v>
      </c>
      <c r="Q54" s="91" t="n">
        <f aca="false">IFERROR(P54/P$5,0)</f>
        <v>0</v>
      </c>
      <c r="S54" s="75" t="n">
        <f aca="false">SUMIFS('Dados Mov Financeira'!$N:$N,'Dados Mov Financeira'!$O:$O,'DRE 2019'!$B54,'Dados Mov Financeira'!$A:$A,'DRE 2019'!S$1)</f>
        <v>0</v>
      </c>
      <c r="T54" s="91" t="n">
        <f aca="false">IFERROR(S54/S$5,0)</f>
        <v>0</v>
      </c>
      <c r="V54" s="75" t="n">
        <f aca="false">SUMIFS('Dados Mov Financeira'!$N:$N,'Dados Mov Financeira'!$O:$O,'DRE 2019'!$B54,'Dados Mov Financeira'!$A:$A,'DRE 2019'!V$1)</f>
        <v>0</v>
      </c>
      <c r="W54" s="91" t="n">
        <f aca="false">IFERROR(V54/V$5,0)</f>
        <v>0</v>
      </c>
      <c r="Y54" s="75" t="n">
        <f aca="false">SUMIFS('Dados Mov Financeira'!$N:$N,'Dados Mov Financeira'!$O:$O,'DRE 2019'!$B54,'Dados Mov Financeira'!$A:$A,'DRE 2019'!Y$1)</f>
        <v>0</v>
      </c>
      <c r="Z54" s="91" t="n">
        <f aca="false">IFERROR(Y54/Y$5,0)</f>
        <v>0</v>
      </c>
      <c r="AB54" s="75" t="n">
        <f aca="false">SUMIFS('Dados Mov Financeira'!$N:$N,'Dados Mov Financeira'!$O:$O,'DRE 2019'!$B54,'Dados Mov Financeira'!$A:$A,'DRE 2019'!AB$1)</f>
        <v>0</v>
      </c>
      <c r="AC54" s="91" t="n">
        <f aca="false">IFERROR(AB54/AB$5,0)</f>
        <v>0</v>
      </c>
      <c r="AE54" s="75" t="n">
        <f aca="false">SUMIFS('Dados Mov Financeira'!$N:$N,'Dados Mov Financeira'!$O:$O,'DRE 2019'!$B54,'Dados Mov Financeira'!$A:$A,'DRE 2019'!AE$1)</f>
        <v>0</v>
      </c>
      <c r="AF54" s="91" t="n">
        <f aca="false">IFERROR(AE54/AE$5,0)</f>
        <v>0</v>
      </c>
      <c r="AH54" s="75" t="n">
        <f aca="false">SUMIFS('Dados Mov Financeira'!$N:$N,'Dados Mov Financeira'!$O:$O,'DRE 2019'!$B54,'Dados Mov Financeira'!$A:$A,'DRE 2019'!AH$1)</f>
        <v>0</v>
      </c>
      <c r="AI54" s="91" t="n">
        <f aca="false">IFERROR(AH54/AH$5,0)</f>
        <v>0</v>
      </c>
      <c r="AK54" s="75" t="n">
        <f aca="false">SUMIFS('Dados Mov Financeira'!$N:$N,'Dados Mov Financeira'!$O:$O,'DRE 2019'!$B54,'Dados Mov Financeira'!$A:$A,'DRE 2019'!AK$1)</f>
        <v>0</v>
      </c>
      <c r="AL54" s="91" t="n">
        <f aca="false">IFERROR(AK54/AK$5,0)</f>
        <v>0</v>
      </c>
      <c r="AN54" s="92" t="n">
        <f aca="false">SUM(D54,G54,J54,M54,P54,S54,V54,Y54,AB54,AE54,AH54,AK54)</f>
        <v>0</v>
      </c>
      <c r="AO54" s="91" t="n">
        <f aca="false">IFERROR(AN54/AN$5,0)</f>
        <v>0</v>
      </c>
      <c r="AQ54" s="93" t="n">
        <f aca="false">AN54/$AR$1</f>
        <v>0</v>
      </c>
      <c r="AR54" s="94" t="n">
        <f aca="false">IFERROR(AQ54/AQ$5,0)</f>
        <v>0</v>
      </c>
      <c r="AT54" s="111"/>
    </row>
    <row r="55" customFormat="false" ht="15.75" hidden="true" customHeight="true" outlineLevel="1" collapsed="false">
      <c r="B55" s="89" t="s">
        <v>76</v>
      </c>
      <c r="D55" s="75" t="n">
        <f aca="false">SUMIFS('Dados Mov Financeira'!$N:$N,'Dados Mov Financeira'!$O:$O,'DRE 2019'!$B55,'Dados Mov Financeira'!$A:$A,'DRE 2019'!D$1)</f>
        <v>0</v>
      </c>
      <c r="E55" s="91" t="n">
        <f aca="false">IFERROR(D55/D$5,0)</f>
        <v>0</v>
      </c>
      <c r="G55" s="75" t="n">
        <f aca="false">SUMIFS('Dados Mov Financeira'!$N:$N,'Dados Mov Financeira'!$O:$O,'DRE 2019'!$B55,'Dados Mov Financeira'!$A:$A,'DRE 2019'!G$1)</f>
        <v>0</v>
      </c>
      <c r="H55" s="91" t="n">
        <f aca="false">IFERROR(G55/G$5,0)</f>
        <v>0</v>
      </c>
      <c r="J55" s="75" t="n">
        <f aca="false">SUMIFS('Dados Mov Financeira'!$N:$N,'Dados Mov Financeira'!$O:$O,'DRE 2019'!$B55,'Dados Mov Financeira'!$A:$A,'DRE 2019'!J$1)</f>
        <v>0</v>
      </c>
      <c r="K55" s="91" t="n">
        <f aca="false">IFERROR(J55/J$5,0)</f>
        <v>0</v>
      </c>
      <c r="M55" s="75" t="n">
        <f aca="false">SUMIFS('Dados Mov Financeira'!$N:$N,'Dados Mov Financeira'!$O:$O,'DRE 2019'!$B55,'Dados Mov Financeira'!$A:$A,'DRE 2019'!M$1)</f>
        <v>0</v>
      </c>
      <c r="N55" s="91" t="n">
        <f aca="false">IFERROR(M55/M$5,0)</f>
        <v>0</v>
      </c>
      <c r="P55" s="75" t="n">
        <f aca="false">SUMIFS('Dados Mov Financeira'!$N:$N,'Dados Mov Financeira'!$O:$O,'DRE 2019'!$B55,'Dados Mov Financeira'!$A:$A,'DRE 2019'!P$1)</f>
        <v>0</v>
      </c>
      <c r="Q55" s="91" t="n">
        <f aca="false">IFERROR(P55/P$5,0)</f>
        <v>0</v>
      </c>
      <c r="S55" s="75" t="n">
        <f aca="false">SUMIFS('Dados Mov Financeira'!$N:$N,'Dados Mov Financeira'!$O:$O,'DRE 2019'!$B55,'Dados Mov Financeira'!$A:$A,'DRE 2019'!S$1)</f>
        <v>0</v>
      </c>
      <c r="T55" s="91" t="n">
        <f aca="false">IFERROR(S55/S$5,0)</f>
        <v>0</v>
      </c>
      <c r="V55" s="75" t="n">
        <f aca="false">SUMIFS('Dados Mov Financeira'!$N:$N,'Dados Mov Financeira'!$O:$O,'DRE 2019'!$B55,'Dados Mov Financeira'!$A:$A,'DRE 2019'!V$1)</f>
        <v>0</v>
      </c>
      <c r="W55" s="91" t="n">
        <f aca="false">IFERROR(V55/V$5,0)</f>
        <v>0</v>
      </c>
      <c r="Y55" s="75" t="n">
        <f aca="false">SUMIFS('Dados Mov Financeira'!$N:$N,'Dados Mov Financeira'!$O:$O,'DRE 2019'!$B55,'Dados Mov Financeira'!$A:$A,'DRE 2019'!Y$1)</f>
        <v>0</v>
      </c>
      <c r="Z55" s="91" t="n">
        <f aca="false">IFERROR(Y55/Y$5,0)</f>
        <v>0</v>
      </c>
      <c r="AB55" s="75" t="n">
        <f aca="false">SUMIFS('Dados Mov Financeira'!$N:$N,'Dados Mov Financeira'!$O:$O,'DRE 2019'!$B55,'Dados Mov Financeira'!$A:$A,'DRE 2019'!AB$1)</f>
        <v>0</v>
      </c>
      <c r="AC55" s="91" t="n">
        <f aca="false">IFERROR(AB55/AB$5,0)</f>
        <v>0</v>
      </c>
      <c r="AE55" s="75" t="n">
        <f aca="false">SUMIFS('Dados Mov Financeira'!$N:$N,'Dados Mov Financeira'!$O:$O,'DRE 2019'!$B55,'Dados Mov Financeira'!$A:$A,'DRE 2019'!AE$1)</f>
        <v>0</v>
      </c>
      <c r="AF55" s="91" t="n">
        <f aca="false">IFERROR(AE55/AE$5,0)</f>
        <v>0</v>
      </c>
      <c r="AH55" s="75" t="n">
        <f aca="false">SUMIFS('Dados Mov Financeira'!$N:$N,'Dados Mov Financeira'!$O:$O,'DRE 2019'!$B55,'Dados Mov Financeira'!$A:$A,'DRE 2019'!AH$1)</f>
        <v>0</v>
      </c>
      <c r="AI55" s="91" t="n">
        <f aca="false">IFERROR(AH55/AH$5,0)</f>
        <v>0</v>
      </c>
      <c r="AK55" s="75" t="n">
        <f aca="false">SUMIFS('Dados Mov Financeira'!$N:$N,'Dados Mov Financeira'!$O:$O,'DRE 2019'!$B55,'Dados Mov Financeira'!$A:$A,'DRE 2019'!AK$1)</f>
        <v>0</v>
      </c>
      <c r="AL55" s="91" t="n">
        <f aca="false">IFERROR(AK55/AK$5,0)</f>
        <v>0</v>
      </c>
      <c r="AN55" s="92" t="n">
        <f aca="false">SUM(D55,G55,J55,M55,P55,S55,V55,Y55,AB55,AE55,AH55,AK55)</f>
        <v>0</v>
      </c>
      <c r="AO55" s="91" t="n">
        <f aca="false">IFERROR(AN55/AN$5,0)</f>
        <v>0</v>
      </c>
      <c r="AQ55" s="93" t="n">
        <f aca="false">AN55/$AR$1</f>
        <v>0</v>
      </c>
      <c r="AR55" s="94" t="n">
        <f aca="false">IFERROR(AQ55/AQ$5,0)</f>
        <v>0</v>
      </c>
      <c r="AT55" s="111"/>
    </row>
    <row r="56" customFormat="false" ht="15.75" hidden="true" customHeight="true" outlineLevel="1" collapsed="false">
      <c r="B56" s="89" t="s">
        <v>77</v>
      </c>
      <c r="D56" s="75" t="n">
        <f aca="false">SUMIFS('Dados Mov Financeira'!$N:$N,'Dados Mov Financeira'!$O:$O,'DRE 2019'!$B56,'Dados Mov Financeira'!$A:$A,'DRE 2019'!D$1)</f>
        <v>0</v>
      </c>
      <c r="E56" s="91" t="n">
        <f aca="false">IFERROR(D56/D$5,0)</f>
        <v>0</v>
      </c>
      <c r="G56" s="75" t="n">
        <f aca="false">SUMIFS('Dados Mov Financeira'!$N:$N,'Dados Mov Financeira'!$O:$O,'DRE 2019'!$B56,'Dados Mov Financeira'!$A:$A,'DRE 2019'!G$1)</f>
        <v>0</v>
      </c>
      <c r="H56" s="91" t="n">
        <f aca="false">IFERROR(G56/G$5,0)</f>
        <v>0</v>
      </c>
      <c r="J56" s="75" t="n">
        <f aca="false">SUMIFS('Dados Mov Financeira'!$N:$N,'Dados Mov Financeira'!$O:$O,'DRE 2019'!$B56,'Dados Mov Financeira'!$A:$A,'DRE 2019'!J$1)</f>
        <v>0</v>
      </c>
      <c r="K56" s="91" t="n">
        <f aca="false">IFERROR(J56/J$5,0)</f>
        <v>0</v>
      </c>
      <c r="M56" s="75" t="n">
        <f aca="false">SUMIFS('Dados Mov Financeira'!$N:$N,'Dados Mov Financeira'!$O:$O,'DRE 2019'!$B56,'Dados Mov Financeira'!$A:$A,'DRE 2019'!M$1)</f>
        <v>0</v>
      </c>
      <c r="N56" s="91" t="n">
        <f aca="false">IFERROR(M56/M$5,0)</f>
        <v>0</v>
      </c>
      <c r="P56" s="75" t="n">
        <f aca="false">SUMIFS('Dados Mov Financeira'!$N:$N,'Dados Mov Financeira'!$O:$O,'DRE 2019'!$B56,'Dados Mov Financeira'!$A:$A,'DRE 2019'!P$1)</f>
        <v>0</v>
      </c>
      <c r="Q56" s="91" t="n">
        <f aca="false">IFERROR(P56/P$5,0)</f>
        <v>0</v>
      </c>
      <c r="S56" s="75" t="n">
        <f aca="false">SUMIFS('Dados Mov Financeira'!$N:$N,'Dados Mov Financeira'!$O:$O,'DRE 2019'!$B56,'Dados Mov Financeira'!$A:$A,'DRE 2019'!S$1)</f>
        <v>0</v>
      </c>
      <c r="T56" s="91" t="n">
        <f aca="false">IFERROR(S56/S$5,0)</f>
        <v>0</v>
      </c>
      <c r="V56" s="75" t="n">
        <f aca="false">SUMIFS('Dados Mov Financeira'!$N:$N,'Dados Mov Financeira'!$O:$O,'DRE 2019'!$B56,'Dados Mov Financeira'!$A:$A,'DRE 2019'!V$1)</f>
        <v>0</v>
      </c>
      <c r="W56" s="91" t="n">
        <f aca="false">IFERROR(V56/V$5,0)</f>
        <v>0</v>
      </c>
      <c r="Y56" s="75" t="n">
        <f aca="false">SUMIFS('Dados Mov Financeira'!$N:$N,'Dados Mov Financeira'!$O:$O,'DRE 2019'!$B56,'Dados Mov Financeira'!$A:$A,'DRE 2019'!Y$1)</f>
        <v>0</v>
      </c>
      <c r="Z56" s="91" t="n">
        <f aca="false">IFERROR(Y56/Y$5,0)</f>
        <v>0</v>
      </c>
      <c r="AB56" s="75" t="n">
        <f aca="false">SUMIFS('Dados Mov Financeira'!$N:$N,'Dados Mov Financeira'!$O:$O,'DRE 2019'!$B56,'Dados Mov Financeira'!$A:$A,'DRE 2019'!AB$1)</f>
        <v>0</v>
      </c>
      <c r="AC56" s="91" t="n">
        <f aca="false">IFERROR(AB56/AB$5,0)</f>
        <v>0</v>
      </c>
      <c r="AE56" s="75" t="n">
        <f aca="false">SUMIFS('Dados Mov Financeira'!$N:$N,'Dados Mov Financeira'!$O:$O,'DRE 2019'!$B56,'Dados Mov Financeira'!$A:$A,'DRE 2019'!AE$1)</f>
        <v>0</v>
      </c>
      <c r="AF56" s="91" t="n">
        <f aca="false">IFERROR(AE56/AE$5,0)</f>
        <v>0</v>
      </c>
      <c r="AH56" s="75" t="n">
        <f aca="false">SUMIFS('Dados Mov Financeira'!$N:$N,'Dados Mov Financeira'!$O:$O,'DRE 2019'!$B56,'Dados Mov Financeira'!$A:$A,'DRE 2019'!AH$1)</f>
        <v>0</v>
      </c>
      <c r="AI56" s="91" t="n">
        <f aca="false">IFERROR(AH56/AH$5,0)</f>
        <v>0</v>
      </c>
      <c r="AK56" s="75" t="n">
        <f aca="false">SUMIFS('Dados Mov Financeira'!$N:$N,'Dados Mov Financeira'!$O:$O,'DRE 2019'!$B56,'Dados Mov Financeira'!$A:$A,'DRE 2019'!AK$1)</f>
        <v>0</v>
      </c>
      <c r="AL56" s="91" t="n">
        <f aca="false">IFERROR(AK56/AK$5,0)</f>
        <v>0</v>
      </c>
      <c r="AN56" s="92" t="n">
        <f aca="false">SUM(D56,G56,J56,M56,P56,S56,V56,Y56,AB56,AE56,AH56,AK56)</f>
        <v>0</v>
      </c>
      <c r="AO56" s="91" t="n">
        <f aca="false">IFERROR(AN56/AN$5,0)</f>
        <v>0</v>
      </c>
      <c r="AQ56" s="93" t="n">
        <f aca="false">AN56/$AR$1</f>
        <v>0</v>
      </c>
      <c r="AR56" s="94" t="n">
        <f aca="false">IFERROR(AQ56/AQ$5,0)</f>
        <v>0</v>
      </c>
      <c r="AT56" s="111"/>
    </row>
    <row r="57" customFormat="false" ht="15.75" hidden="true" customHeight="true" outlineLevel="1" collapsed="false">
      <c r="B57" s="89" t="s">
        <v>78</v>
      </c>
      <c r="D57" s="75" t="n">
        <f aca="false">SUMIFS('Dados Mov Financeira'!$N:$N,'Dados Mov Financeira'!$O:$O,'DRE 2019'!$B57,'Dados Mov Financeira'!$A:$A,'DRE 2019'!D$1)</f>
        <v>0</v>
      </c>
      <c r="E57" s="91" t="n">
        <f aca="false">IFERROR(D57/D$5,0)</f>
        <v>0</v>
      </c>
      <c r="G57" s="75" t="n">
        <f aca="false">SUMIFS('Dados Mov Financeira'!$N:$N,'Dados Mov Financeira'!$O:$O,'DRE 2019'!$B57,'Dados Mov Financeira'!$A:$A,'DRE 2019'!G$1)</f>
        <v>0</v>
      </c>
      <c r="H57" s="91" t="n">
        <f aca="false">IFERROR(G57/G$5,0)</f>
        <v>0</v>
      </c>
      <c r="J57" s="75" t="n">
        <f aca="false">SUMIFS('Dados Mov Financeira'!$N:$N,'Dados Mov Financeira'!$O:$O,'DRE 2019'!$B57,'Dados Mov Financeira'!$A:$A,'DRE 2019'!J$1)</f>
        <v>0</v>
      </c>
      <c r="K57" s="91" t="n">
        <f aca="false">IFERROR(J57/J$5,0)</f>
        <v>0</v>
      </c>
      <c r="M57" s="75" t="n">
        <f aca="false">SUMIFS('Dados Mov Financeira'!$N:$N,'Dados Mov Financeira'!$O:$O,'DRE 2019'!$B57,'Dados Mov Financeira'!$A:$A,'DRE 2019'!M$1)</f>
        <v>0</v>
      </c>
      <c r="N57" s="91" t="n">
        <f aca="false">IFERROR(M57/M$5,0)</f>
        <v>0</v>
      </c>
      <c r="P57" s="75" t="n">
        <f aca="false">SUMIFS('Dados Mov Financeira'!$N:$N,'Dados Mov Financeira'!$O:$O,'DRE 2019'!$B57,'Dados Mov Financeira'!$A:$A,'DRE 2019'!P$1)</f>
        <v>0</v>
      </c>
      <c r="Q57" s="91" t="n">
        <f aca="false">IFERROR(P57/P$5,0)</f>
        <v>0</v>
      </c>
      <c r="S57" s="75" t="n">
        <f aca="false">SUMIFS('Dados Mov Financeira'!$N:$N,'Dados Mov Financeira'!$O:$O,'DRE 2019'!$B57,'Dados Mov Financeira'!$A:$A,'DRE 2019'!S$1)</f>
        <v>0</v>
      </c>
      <c r="T57" s="91" t="n">
        <f aca="false">IFERROR(S57/S$5,0)</f>
        <v>0</v>
      </c>
      <c r="V57" s="75" t="n">
        <f aca="false">SUMIFS('Dados Mov Financeira'!$N:$N,'Dados Mov Financeira'!$O:$O,'DRE 2019'!$B57,'Dados Mov Financeira'!$A:$A,'DRE 2019'!V$1)</f>
        <v>0</v>
      </c>
      <c r="W57" s="91" t="n">
        <f aca="false">IFERROR(V57/V$5,0)</f>
        <v>0</v>
      </c>
      <c r="Y57" s="75" t="n">
        <f aca="false">SUMIFS('Dados Mov Financeira'!$N:$N,'Dados Mov Financeira'!$O:$O,'DRE 2019'!$B57,'Dados Mov Financeira'!$A:$A,'DRE 2019'!Y$1)</f>
        <v>0</v>
      </c>
      <c r="Z57" s="91" t="n">
        <f aca="false">IFERROR(Y57/Y$5,0)</f>
        <v>0</v>
      </c>
      <c r="AB57" s="75" t="n">
        <f aca="false">SUMIFS('Dados Mov Financeira'!$N:$N,'Dados Mov Financeira'!$O:$O,'DRE 2019'!$B57,'Dados Mov Financeira'!$A:$A,'DRE 2019'!AB$1)</f>
        <v>0</v>
      </c>
      <c r="AC57" s="91" t="n">
        <f aca="false">IFERROR(AB57/AB$5,0)</f>
        <v>0</v>
      </c>
      <c r="AE57" s="75" t="n">
        <f aca="false">SUMIFS('Dados Mov Financeira'!$N:$N,'Dados Mov Financeira'!$O:$O,'DRE 2019'!$B57,'Dados Mov Financeira'!$A:$A,'DRE 2019'!AE$1)</f>
        <v>0</v>
      </c>
      <c r="AF57" s="91" t="n">
        <f aca="false">IFERROR(AE57/AE$5,0)</f>
        <v>0</v>
      </c>
      <c r="AH57" s="75" t="n">
        <f aca="false">SUMIFS('Dados Mov Financeira'!$N:$N,'Dados Mov Financeira'!$O:$O,'DRE 2019'!$B57,'Dados Mov Financeira'!$A:$A,'DRE 2019'!AH$1)</f>
        <v>0</v>
      </c>
      <c r="AI57" s="91" t="n">
        <f aca="false">IFERROR(AH57/AH$5,0)</f>
        <v>0</v>
      </c>
      <c r="AK57" s="75" t="n">
        <f aca="false">SUMIFS('Dados Mov Financeira'!$N:$N,'Dados Mov Financeira'!$O:$O,'DRE 2019'!$B57,'Dados Mov Financeira'!$A:$A,'DRE 2019'!AK$1)</f>
        <v>0</v>
      </c>
      <c r="AL57" s="91" t="n">
        <f aca="false">IFERROR(AK57/AK$5,0)</f>
        <v>0</v>
      </c>
      <c r="AN57" s="92" t="n">
        <f aca="false">SUM(D57,G57,J57,M57,P57,S57,V57,Y57,AB57,AE57,AH57,AK57)</f>
        <v>0</v>
      </c>
      <c r="AO57" s="91" t="n">
        <f aca="false">IFERROR(AN57/AN$5,0)</f>
        <v>0</v>
      </c>
      <c r="AQ57" s="93" t="n">
        <f aca="false">AN57/$AR$1</f>
        <v>0</v>
      </c>
      <c r="AR57" s="94" t="n">
        <f aca="false">IFERROR(AQ57/AQ$5,0)</f>
        <v>0</v>
      </c>
      <c r="AT57" s="111"/>
    </row>
    <row r="58" customFormat="false" ht="14.25" hidden="true" customHeight="false" outlineLevel="1" collapsed="false">
      <c r="B58" s="89" t="s">
        <v>79</v>
      </c>
      <c r="D58" s="75" t="n">
        <f aca="false">SUMIFS('Dados Mov Financeira'!$N:$N,'Dados Mov Financeira'!$O:$O,'DRE 2019'!$B58,'Dados Mov Financeira'!$A:$A,'DRE 2019'!D$1)</f>
        <v>0</v>
      </c>
      <c r="E58" s="91" t="n">
        <f aca="false">IFERROR(D58/D$5,0)</f>
        <v>0</v>
      </c>
      <c r="G58" s="75" t="n">
        <f aca="false">SUMIFS('Dados Mov Financeira'!$N:$N,'Dados Mov Financeira'!$O:$O,'DRE 2019'!$B58,'Dados Mov Financeira'!$A:$A,'DRE 2019'!G$1)</f>
        <v>0</v>
      </c>
      <c r="H58" s="91" t="n">
        <f aca="false">IFERROR(G58/G$5,0)</f>
        <v>0</v>
      </c>
      <c r="J58" s="75" t="n">
        <f aca="false">SUMIFS('Dados Mov Financeira'!$N:$N,'Dados Mov Financeira'!$O:$O,'DRE 2019'!$B58,'Dados Mov Financeira'!$A:$A,'DRE 2019'!J$1)</f>
        <v>0</v>
      </c>
      <c r="K58" s="91" t="n">
        <f aca="false">IFERROR(J58/J$5,0)</f>
        <v>0</v>
      </c>
      <c r="M58" s="75" t="n">
        <f aca="false">SUMIFS('Dados Mov Financeira'!$N:$N,'Dados Mov Financeira'!$O:$O,'DRE 2019'!$B58,'Dados Mov Financeira'!$A:$A,'DRE 2019'!M$1)</f>
        <v>0</v>
      </c>
      <c r="N58" s="91" t="n">
        <f aca="false">IFERROR(M58/M$5,0)</f>
        <v>0</v>
      </c>
      <c r="P58" s="75" t="n">
        <f aca="false">SUMIFS('Dados Mov Financeira'!$N:$N,'Dados Mov Financeira'!$O:$O,'DRE 2019'!$B58,'Dados Mov Financeira'!$A:$A,'DRE 2019'!P$1)</f>
        <v>0</v>
      </c>
      <c r="Q58" s="91" t="n">
        <f aca="false">IFERROR(P58/P$5,0)</f>
        <v>0</v>
      </c>
      <c r="S58" s="75" t="n">
        <f aca="false">SUMIFS('Dados Mov Financeira'!$N:$N,'Dados Mov Financeira'!$O:$O,'DRE 2019'!$B58,'Dados Mov Financeira'!$A:$A,'DRE 2019'!S$1)</f>
        <v>0</v>
      </c>
      <c r="T58" s="91" t="n">
        <f aca="false">IFERROR(S58/S$5,0)</f>
        <v>0</v>
      </c>
      <c r="V58" s="75" t="n">
        <f aca="false">SUMIFS('Dados Mov Financeira'!$N:$N,'Dados Mov Financeira'!$O:$O,'DRE 2019'!$B58,'Dados Mov Financeira'!$A:$A,'DRE 2019'!V$1)</f>
        <v>0</v>
      </c>
      <c r="W58" s="91" t="n">
        <f aca="false">IFERROR(V58/V$5,0)</f>
        <v>0</v>
      </c>
      <c r="Y58" s="75" t="n">
        <f aca="false">SUMIFS('Dados Mov Financeira'!$N:$N,'Dados Mov Financeira'!$O:$O,'DRE 2019'!$B58,'Dados Mov Financeira'!$A:$A,'DRE 2019'!Y$1)</f>
        <v>0</v>
      </c>
      <c r="Z58" s="91" t="n">
        <f aca="false">IFERROR(Y58/Y$5,0)</f>
        <v>0</v>
      </c>
      <c r="AB58" s="75" t="n">
        <f aca="false">SUMIFS('Dados Mov Financeira'!$N:$N,'Dados Mov Financeira'!$O:$O,'DRE 2019'!$B58,'Dados Mov Financeira'!$A:$A,'DRE 2019'!AB$1)</f>
        <v>0</v>
      </c>
      <c r="AC58" s="91" t="n">
        <f aca="false">IFERROR(AB58/AB$5,0)</f>
        <v>0</v>
      </c>
      <c r="AE58" s="75" t="n">
        <f aca="false">SUMIFS('Dados Mov Financeira'!$N:$N,'Dados Mov Financeira'!$O:$O,'DRE 2019'!$B58,'Dados Mov Financeira'!$A:$A,'DRE 2019'!AE$1)</f>
        <v>0</v>
      </c>
      <c r="AF58" s="91" t="n">
        <f aca="false">IFERROR(AE58/AE$5,0)</f>
        <v>0</v>
      </c>
      <c r="AH58" s="75" t="n">
        <f aca="false">SUMIFS('Dados Mov Financeira'!$N:$N,'Dados Mov Financeira'!$O:$O,'DRE 2019'!$B58,'Dados Mov Financeira'!$A:$A,'DRE 2019'!AH$1)</f>
        <v>0</v>
      </c>
      <c r="AI58" s="91" t="n">
        <f aca="false">IFERROR(AH58/AH$5,0)</f>
        <v>0</v>
      </c>
      <c r="AK58" s="75" t="n">
        <f aca="false">SUMIFS('Dados Mov Financeira'!$N:$N,'Dados Mov Financeira'!$O:$O,'DRE 2019'!$B58,'Dados Mov Financeira'!$A:$A,'DRE 2019'!AK$1)</f>
        <v>0</v>
      </c>
      <c r="AL58" s="91" t="n">
        <f aca="false">IFERROR(AK58/AK$5,0)</f>
        <v>0</v>
      </c>
      <c r="AN58" s="92" t="n">
        <f aca="false">SUM(D58,G58,J58,M58,P58,S58,V58,Y58,AB58,AE58,AH58,AK58)</f>
        <v>0</v>
      </c>
      <c r="AO58" s="91" t="n">
        <f aca="false">IFERROR(AN58/AN$5,0)</f>
        <v>0</v>
      </c>
      <c r="AQ58" s="93" t="n">
        <f aca="false">AN58/$AR$1</f>
        <v>0</v>
      </c>
      <c r="AR58" s="94" t="n">
        <f aca="false">IFERROR(AQ58/AQ$5,0)</f>
        <v>0</v>
      </c>
      <c r="AT58" s="111"/>
    </row>
    <row r="59" customFormat="false" ht="15.75" hidden="true" customHeight="true" outlineLevel="1" collapsed="false">
      <c r="B59" s="89" t="s">
        <v>80</v>
      </c>
      <c r="D59" s="75" t="n">
        <f aca="false">SUMIFS('Dados Mov Financeira'!$N:$N,'Dados Mov Financeira'!$O:$O,'DRE 2019'!$B59,'Dados Mov Financeira'!$A:$A,'DRE 2019'!D$1)</f>
        <v>0</v>
      </c>
      <c r="E59" s="91" t="n">
        <f aca="false">IFERROR(D59/D$5,0)</f>
        <v>0</v>
      </c>
      <c r="G59" s="75" t="n">
        <f aca="false">SUMIFS('Dados Mov Financeira'!$N:$N,'Dados Mov Financeira'!$O:$O,'DRE 2019'!$B59,'Dados Mov Financeira'!$A:$A,'DRE 2019'!G$1)</f>
        <v>0</v>
      </c>
      <c r="H59" s="91" t="n">
        <f aca="false">IFERROR(G59/G$5,0)</f>
        <v>0</v>
      </c>
      <c r="J59" s="75" t="n">
        <f aca="false">SUMIFS('Dados Mov Financeira'!$N:$N,'Dados Mov Financeira'!$O:$O,'DRE 2019'!$B59,'Dados Mov Financeira'!$A:$A,'DRE 2019'!J$1)</f>
        <v>0</v>
      </c>
      <c r="K59" s="91" t="n">
        <f aca="false">IFERROR(J59/J$5,0)</f>
        <v>0</v>
      </c>
      <c r="M59" s="75" t="n">
        <f aca="false">SUMIFS('Dados Mov Financeira'!$N:$N,'Dados Mov Financeira'!$O:$O,'DRE 2019'!$B59,'Dados Mov Financeira'!$A:$A,'DRE 2019'!M$1)</f>
        <v>0</v>
      </c>
      <c r="N59" s="91" t="n">
        <f aca="false">IFERROR(M59/M$5,0)</f>
        <v>0</v>
      </c>
      <c r="P59" s="75" t="n">
        <f aca="false">SUMIFS('Dados Mov Financeira'!$N:$N,'Dados Mov Financeira'!$O:$O,'DRE 2019'!$B59,'Dados Mov Financeira'!$A:$A,'DRE 2019'!P$1)</f>
        <v>0</v>
      </c>
      <c r="Q59" s="91" t="n">
        <f aca="false">IFERROR(P59/P$5,0)</f>
        <v>0</v>
      </c>
      <c r="S59" s="75" t="n">
        <f aca="false">SUMIFS('Dados Mov Financeira'!$N:$N,'Dados Mov Financeira'!$O:$O,'DRE 2019'!$B59,'Dados Mov Financeira'!$A:$A,'DRE 2019'!S$1)</f>
        <v>0</v>
      </c>
      <c r="T59" s="91" t="n">
        <f aca="false">IFERROR(S59/S$5,0)</f>
        <v>0</v>
      </c>
      <c r="V59" s="75" t="n">
        <f aca="false">SUMIFS('Dados Mov Financeira'!$N:$N,'Dados Mov Financeira'!$O:$O,'DRE 2019'!$B59,'Dados Mov Financeira'!$A:$A,'DRE 2019'!V$1)</f>
        <v>0</v>
      </c>
      <c r="W59" s="91" t="n">
        <f aca="false">IFERROR(V59/V$5,0)</f>
        <v>0</v>
      </c>
      <c r="Y59" s="75" t="n">
        <f aca="false">SUMIFS('Dados Mov Financeira'!$N:$N,'Dados Mov Financeira'!$O:$O,'DRE 2019'!$B59,'Dados Mov Financeira'!$A:$A,'DRE 2019'!Y$1)</f>
        <v>0</v>
      </c>
      <c r="Z59" s="91" t="n">
        <f aca="false">IFERROR(Y59/Y$5,0)</f>
        <v>0</v>
      </c>
      <c r="AB59" s="75" t="n">
        <f aca="false">SUMIFS('Dados Mov Financeira'!$N:$N,'Dados Mov Financeira'!$O:$O,'DRE 2019'!$B59,'Dados Mov Financeira'!$A:$A,'DRE 2019'!AB$1)</f>
        <v>0</v>
      </c>
      <c r="AC59" s="91" t="n">
        <f aca="false">IFERROR(AB59/AB$5,0)</f>
        <v>0</v>
      </c>
      <c r="AE59" s="75" t="n">
        <f aca="false">SUMIFS('Dados Mov Financeira'!$N:$N,'Dados Mov Financeira'!$O:$O,'DRE 2019'!$B59,'Dados Mov Financeira'!$A:$A,'DRE 2019'!AE$1)</f>
        <v>0</v>
      </c>
      <c r="AF59" s="91" t="n">
        <f aca="false">IFERROR(AE59/AE$5,0)</f>
        <v>0</v>
      </c>
      <c r="AH59" s="75" t="n">
        <f aca="false">SUMIFS('Dados Mov Financeira'!$N:$N,'Dados Mov Financeira'!$O:$O,'DRE 2019'!$B59,'Dados Mov Financeira'!$A:$A,'DRE 2019'!AH$1)</f>
        <v>0</v>
      </c>
      <c r="AI59" s="91" t="n">
        <f aca="false">IFERROR(AH59/AH$5,0)</f>
        <v>0</v>
      </c>
      <c r="AK59" s="75" t="n">
        <f aca="false">SUMIFS('Dados Mov Financeira'!$N:$N,'Dados Mov Financeira'!$O:$O,'DRE 2019'!$B59,'Dados Mov Financeira'!$A:$A,'DRE 2019'!AK$1)</f>
        <v>0</v>
      </c>
      <c r="AL59" s="91" t="n">
        <f aca="false">IFERROR(AK59/AK$5,0)</f>
        <v>0</v>
      </c>
      <c r="AN59" s="92" t="n">
        <f aca="false">SUM(D59,G59,J59,M59,P59,S59,V59,Y59,AB59,AE59,AH59,AK59)</f>
        <v>0</v>
      </c>
      <c r="AO59" s="91" t="n">
        <f aca="false">IFERROR(AN59/AN$5,0)</f>
        <v>0</v>
      </c>
      <c r="AQ59" s="93" t="n">
        <f aca="false">AN59/$AR$1</f>
        <v>0</v>
      </c>
      <c r="AR59" s="94" t="n">
        <f aca="false">IFERROR(AQ59/AQ$5,0)</f>
        <v>0</v>
      </c>
      <c r="AT59" s="111"/>
    </row>
    <row r="60" customFormat="false" ht="15.75" hidden="true" customHeight="true" outlineLevel="1" collapsed="false">
      <c r="B60" s="89" t="s">
        <v>81</v>
      </c>
      <c r="D60" s="75" t="n">
        <f aca="false">SUMIFS('Dados Mov Financeira'!$N:$N,'Dados Mov Financeira'!$O:$O,'DRE 2019'!$B60,'Dados Mov Financeira'!$A:$A,'DRE 2019'!D$1)</f>
        <v>0</v>
      </c>
      <c r="E60" s="91" t="n">
        <f aca="false">IFERROR(D60/D$5,0)</f>
        <v>0</v>
      </c>
      <c r="G60" s="75" t="n">
        <f aca="false">SUMIFS('Dados Mov Financeira'!$N:$N,'Dados Mov Financeira'!$O:$O,'DRE 2019'!$B60,'Dados Mov Financeira'!$A:$A,'DRE 2019'!G$1)</f>
        <v>0</v>
      </c>
      <c r="H60" s="91" t="n">
        <f aca="false">IFERROR(G60/G$5,0)</f>
        <v>0</v>
      </c>
      <c r="J60" s="75" t="n">
        <f aca="false">SUMIFS('Dados Mov Financeira'!$N:$N,'Dados Mov Financeira'!$O:$O,'DRE 2019'!$B60,'Dados Mov Financeira'!$A:$A,'DRE 2019'!J$1)</f>
        <v>0</v>
      </c>
      <c r="K60" s="91" t="n">
        <f aca="false">IFERROR(J60/J$5,0)</f>
        <v>0</v>
      </c>
      <c r="M60" s="75" t="n">
        <f aca="false">SUMIFS('Dados Mov Financeira'!$N:$N,'Dados Mov Financeira'!$O:$O,'DRE 2019'!$B60,'Dados Mov Financeira'!$A:$A,'DRE 2019'!M$1)</f>
        <v>0</v>
      </c>
      <c r="N60" s="91" t="n">
        <f aca="false">IFERROR(M60/M$5,0)</f>
        <v>0</v>
      </c>
      <c r="P60" s="75" t="n">
        <f aca="false">SUMIFS('Dados Mov Financeira'!$N:$N,'Dados Mov Financeira'!$O:$O,'DRE 2019'!$B60,'Dados Mov Financeira'!$A:$A,'DRE 2019'!P$1)</f>
        <v>0</v>
      </c>
      <c r="Q60" s="91" t="n">
        <f aca="false">IFERROR(P60/P$5,0)</f>
        <v>0</v>
      </c>
      <c r="S60" s="75" t="n">
        <f aca="false">SUMIFS('Dados Mov Financeira'!$N:$N,'Dados Mov Financeira'!$O:$O,'DRE 2019'!$B60,'Dados Mov Financeira'!$A:$A,'DRE 2019'!S$1)</f>
        <v>0</v>
      </c>
      <c r="T60" s="91" t="n">
        <f aca="false">IFERROR(S60/S$5,0)</f>
        <v>0</v>
      </c>
      <c r="V60" s="75" t="n">
        <f aca="false">SUMIFS('Dados Mov Financeira'!$N:$N,'Dados Mov Financeira'!$O:$O,'DRE 2019'!$B60,'Dados Mov Financeira'!$A:$A,'DRE 2019'!V$1)</f>
        <v>0</v>
      </c>
      <c r="W60" s="91" t="n">
        <f aca="false">IFERROR(V60/V$5,0)</f>
        <v>0</v>
      </c>
      <c r="Y60" s="75" t="n">
        <f aca="false">SUMIFS('Dados Mov Financeira'!$N:$N,'Dados Mov Financeira'!$O:$O,'DRE 2019'!$B60,'Dados Mov Financeira'!$A:$A,'DRE 2019'!Y$1)</f>
        <v>0</v>
      </c>
      <c r="Z60" s="91" t="n">
        <f aca="false">IFERROR(Y60/Y$5,0)</f>
        <v>0</v>
      </c>
      <c r="AB60" s="75" t="n">
        <f aca="false">SUMIFS('Dados Mov Financeira'!$N:$N,'Dados Mov Financeira'!$O:$O,'DRE 2019'!$B60,'Dados Mov Financeira'!$A:$A,'DRE 2019'!AB$1)</f>
        <v>0</v>
      </c>
      <c r="AC60" s="91" t="n">
        <f aca="false">IFERROR(AB60/AB$5,0)</f>
        <v>0</v>
      </c>
      <c r="AE60" s="75" t="n">
        <f aca="false">SUMIFS('Dados Mov Financeira'!$N:$N,'Dados Mov Financeira'!$O:$O,'DRE 2019'!$B60,'Dados Mov Financeira'!$A:$A,'DRE 2019'!AE$1)</f>
        <v>0</v>
      </c>
      <c r="AF60" s="91" t="n">
        <f aca="false">IFERROR(AE60/AE$5,0)</f>
        <v>0</v>
      </c>
      <c r="AH60" s="75" t="n">
        <f aca="false">SUMIFS('Dados Mov Financeira'!$N:$N,'Dados Mov Financeira'!$O:$O,'DRE 2019'!$B60,'Dados Mov Financeira'!$A:$A,'DRE 2019'!AH$1)</f>
        <v>0</v>
      </c>
      <c r="AI60" s="91" t="n">
        <f aca="false">IFERROR(AH60/AH$5,0)</f>
        <v>0</v>
      </c>
      <c r="AK60" s="75" t="n">
        <f aca="false">SUMIFS('Dados Mov Financeira'!$N:$N,'Dados Mov Financeira'!$O:$O,'DRE 2019'!$B60,'Dados Mov Financeira'!$A:$A,'DRE 2019'!AK$1)</f>
        <v>0</v>
      </c>
      <c r="AL60" s="91" t="n">
        <f aca="false">IFERROR(AK60/AK$5,0)</f>
        <v>0</v>
      </c>
      <c r="AN60" s="92" t="n">
        <f aca="false">SUM(D60,G60,J60,M60,P60,S60,V60,Y60,AB60,AE60,AH60,AK60)</f>
        <v>0</v>
      </c>
      <c r="AO60" s="91" t="n">
        <f aca="false">IFERROR(AN60/AN$5,0)</f>
        <v>0</v>
      </c>
      <c r="AQ60" s="93" t="n">
        <f aca="false">AN60/$AR$1</f>
        <v>0</v>
      </c>
      <c r="AR60" s="94" t="n">
        <f aca="false">IFERROR(AQ60/AQ$5,0)</f>
        <v>0</v>
      </c>
      <c r="AT60" s="111"/>
    </row>
    <row r="61" customFormat="false" ht="15.75" hidden="true" customHeight="true" outlineLevel="1" collapsed="false">
      <c r="B61" s="89" t="s">
        <v>82</v>
      </c>
      <c r="D61" s="75" t="n">
        <f aca="false">SUMIFS('Dados Mov Financeira'!$N:$N,'Dados Mov Financeira'!$O:$O,'DRE 2019'!$B61,'Dados Mov Financeira'!$A:$A,'DRE 2019'!D$1)</f>
        <v>0</v>
      </c>
      <c r="E61" s="91" t="n">
        <f aca="false">IFERROR(D61/D$5,0)</f>
        <v>0</v>
      </c>
      <c r="G61" s="75" t="n">
        <f aca="false">SUMIFS('Dados Mov Financeira'!$N:$N,'Dados Mov Financeira'!$O:$O,'DRE 2019'!$B61,'Dados Mov Financeira'!$A:$A,'DRE 2019'!G$1)</f>
        <v>0</v>
      </c>
      <c r="H61" s="91" t="n">
        <f aca="false">IFERROR(G61/G$5,0)</f>
        <v>0</v>
      </c>
      <c r="J61" s="75" t="n">
        <f aca="false">SUMIFS('Dados Mov Financeira'!$N:$N,'Dados Mov Financeira'!$O:$O,'DRE 2019'!$B61,'Dados Mov Financeira'!$A:$A,'DRE 2019'!J$1)</f>
        <v>0</v>
      </c>
      <c r="K61" s="91" t="n">
        <f aca="false">IFERROR(J61/J$5,0)</f>
        <v>0</v>
      </c>
      <c r="M61" s="75" t="n">
        <f aca="false">SUMIFS('Dados Mov Financeira'!$N:$N,'Dados Mov Financeira'!$O:$O,'DRE 2019'!$B61,'Dados Mov Financeira'!$A:$A,'DRE 2019'!M$1)</f>
        <v>0</v>
      </c>
      <c r="N61" s="91" t="n">
        <f aca="false">IFERROR(M61/M$5,0)</f>
        <v>0</v>
      </c>
      <c r="P61" s="75" t="n">
        <f aca="false">SUMIFS('Dados Mov Financeira'!$N:$N,'Dados Mov Financeira'!$O:$O,'DRE 2019'!$B61,'Dados Mov Financeira'!$A:$A,'DRE 2019'!P$1)</f>
        <v>0</v>
      </c>
      <c r="Q61" s="91" t="n">
        <f aca="false">IFERROR(P61/P$5,0)</f>
        <v>0</v>
      </c>
      <c r="S61" s="75" t="n">
        <f aca="false">SUMIFS('Dados Mov Financeira'!$N:$N,'Dados Mov Financeira'!$O:$O,'DRE 2019'!$B61,'Dados Mov Financeira'!$A:$A,'DRE 2019'!S$1)</f>
        <v>0</v>
      </c>
      <c r="T61" s="91" t="n">
        <f aca="false">IFERROR(S61/S$5,0)</f>
        <v>0</v>
      </c>
      <c r="V61" s="75" t="n">
        <f aca="false">SUMIFS('Dados Mov Financeira'!$N:$N,'Dados Mov Financeira'!$O:$O,'DRE 2019'!$B61,'Dados Mov Financeira'!$A:$A,'DRE 2019'!V$1)</f>
        <v>0</v>
      </c>
      <c r="W61" s="91" t="n">
        <f aca="false">IFERROR(V61/V$5,0)</f>
        <v>0</v>
      </c>
      <c r="Y61" s="75" t="n">
        <f aca="false">SUMIFS('Dados Mov Financeira'!$N:$N,'Dados Mov Financeira'!$O:$O,'DRE 2019'!$B61,'Dados Mov Financeira'!$A:$A,'DRE 2019'!Y$1)</f>
        <v>0</v>
      </c>
      <c r="Z61" s="91" t="n">
        <f aca="false">IFERROR(Y61/Y$5,0)</f>
        <v>0</v>
      </c>
      <c r="AB61" s="75" t="n">
        <f aca="false">SUMIFS('Dados Mov Financeira'!$N:$N,'Dados Mov Financeira'!$O:$O,'DRE 2019'!$B61,'Dados Mov Financeira'!$A:$A,'DRE 2019'!AB$1)</f>
        <v>0</v>
      </c>
      <c r="AC61" s="91" t="n">
        <f aca="false">IFERROR(AB61/AB$5,0)</f>
        <v>0</v>
      </c>
      <c r="AE61" s="75" t="n">
        <f aca="false">SUMIFS('Dados Mov Financeira'!$N:$N,'Dados Mov Financeira'!$O:$O,'DRE 2019'!$B61,'Dados Mov Financeira'!$A:$A,'DRE 2019'!AE$1)</f>
        <v>0</v>
      </c>
      <c r="AF61" s="91" t="n">
        <f aca="false">IFERROR(AE61/AE$5,0)</f>
        <v>0</v>
      </c>
      <c r="AH61" s="75" t="n">
        <f aca="false">SUMIFS('Dados Mov Financeira'!$N:$N,'Dados Mov Financeira'!$O:$O,'DRE 2019'!$B61,'Dados Mov Financeira'!$A:$A,'DRE 2019'!AH$1)</f>
        <v>0</v>
      </c>
      <c r="AI61" s="91" t="n">
        <f aca="false">IFERROR(AH61/AH$5,0)</f>
        <v>0</v>
      </c>
      <c r="AK61" s="75" t="n">
        <f aca="false">SUMIFS('Dados Mov Financeira'!$N:$N,'Dados Mov Financeira'!$O:$O,'DRE 2019'!$B61,'Dados Mov Financeira'!$A:$A,'DRE 2019'!AK$1)</f>
        <v>0</v>
      </c>
      <c r="AL61" s="91" t="n">
        <f aca="false">IFERROR(AK61/AK$5,0)</f>
        <v>0</v>
      </c>
      <c r="AN61" s="92" t="n">
        <f aca="false">SUM(D61,G61,J61,M61,P61,S61,V61,Y61,AB61,AE61,AH61,AK61)</f>
        <v>0</v>
      </c>
      <c r="AO61" s="91" t="n">
        <f aca="false">IFERROR(AN61/AN$5,0)</f>
        <v>0</v>
      </c>
      <c r="AQ61" s="93" t="n">
        <f aca="false">AN61/$AR$1</f>
        <v>0</v>
      </c>
      <c r="AR61" s="94" t="n">
        <f aca="false">IFERROR(AQ61/AQ$5,0)</f>
        <v>0</v>
      </c>
      <c r="AT61" s="111"/>
    </row>
    <row r="62" customFormat="false" ht="15.75" hidden="true" customHeight="true" outlineLevel="1" collapsed="false">
      <c r="B62" s="89" t="s">
        <v>83</v>
      </c>
      <c r="D62" s="75" t="n">
        <f aca="false">SUMIFS('Dados Mov Financeira'!$N:$N,'Dados Mov Financeira'!$O:$O,'DRE 2019'!$B62,'Dados Mov Financeira'!$A:$A,'DRE 2019'!D$1)</f>
        <v>0</v>
      </c>
      <c r="E62" s="91" t="n">
        <f aca="false">IFERROR(D62/D$5,0)</f>
        <v>0</v>
      </c>
      <c r="G62" s="75" t="n">
        <f aca="false">SUMIFS('Dados Mov Financeira'!$N:$N,'Dados Mov Financeira'!$O:$O,'DRE 2019'!$B62,'Dados Mov Financeira'!$A:$A,'DRE 2019'!G$1)</f>
        <v>0</v>
      </c>
      <c r="H62" s="91" t="n">
        <f aca="false">IFERROR(G62/G$5,0)</f>
        <v>0</v>
      </c>
      <c r="J62" s="75" t="n">
        <f aca="false">SUMIFS('Dados Mov Financeira'!$N:$N,'Dados Mov Financeira'!$O:$O,'DRE 2019'!$B62,'Dados Mov Financeira'!$A:$A,'DRE 2019'!J$1)</f>
        <v>0</v>
      </c>
      <c r="K62" s="91" t="n">
        <f aca="false">IFERROR(J62/J$5,0)</f>
        <v>0</v>
      </c>
      <c r="M62" s="75" t="n">
        <f aca="false">SUMIFS('Dados Mov Financeira'!$N:$N,'Dados Mov Financeira'!$O:$O,'DRE 2019'!$B62,'Dados Mov Financeira'!$A:$A,'DRE 2019'!M$1)</f>
        <v>0</v>
      </c>
      <c r="N62" s="91" t="n">
        <f aca="false">IFERROR(M62/M$5,0)</f>
        <v>0</v>
      </c>
      <c r="P62" s="75" t="n">
        <f aca="false">SUMIFS('Dados Mov Financeira'!$N:$N,'Dados Mov Financeira'!$O:$O,'DRE 2019'!$B62,'Dados Mov Financeira'!$A:$A,'DRE 2019'!P$1)</f>
        <v>0</v>
      </c>
      <c r="Q62" s="91" t="n">
        <f aca="false">IFERROR(P62/P$5,0)</f>
        <v>0</v>
      </c>
      <c r="S62" s="75" t="n">
        <f aca="false">SUMIFS('Dados Mov Financeira'!$N:$N,'Dados Mov Financeira'!$O:$O,'DRE 2019'!$B62,'Dados Mov Financeira'!$A:$A,'DRE 2019'!S$1)</f>
        <v>0</v>
      </c>
      <c r="T62" s="91" t="n">
        <f aca="false">IFERROR(S62/S$5,0)</f>
        <v>0</v>
      </c>
      <c r="V62" s="75" t="n">
        <f aca="false">SUMIFS('Dados Mov Financeira'!$N:$N,'Dados Mov Financeira'!$O:$O,'DRE 2019'!$B62,'Dados Mov Financeira'!$A:$A,'DRE 2019'!V$1)</f>
        <v>0</v>
      </c>
      <c r="W62" s="91" t="n">
        <f aca="false">IFERROR(V62/V$5,0)</f>
        <v>0</v>
      </c>
      <c r="Y62" s="75" t="n">
        <f aca="false">SUMIFS('Dados Mov Financeira'!$N:$N,'Dados Mov Financeira'!$O:$O,'DRE 2019'!$B62,'Dados Mov Financeira'!$A:$A,'DRE 2019'!Y$1)</f>
        <v>0</v>
      </c>
      <c r="Z62" s="91" t="n">
        <f aca="false">IFERROR(Y62/Y$5,0)</f>
        <v>0</v>
      </c>
      <c r="AB62" s="75" t="n">
        <f aca="false">SUMIFS('Dados Mov Financeira'!$N:$N,'Dados Mov Financeira'!$O:$O,'DRE 2019'!$B62,'Dados Mov Financeira'!$A:$A,'DRE 2019'!AB$1)</f>
        <v>0</v>
      </c>
      <c r="AC62" s="91" t="n">
        <f aca="false">IFERROR(AB62/AB$5,0)</f>
        <v>0</v>
      </c>
      <c r="AE62" s="75" t="n">
        <f aca="false">SUMIFS('Dados Mov Financeira'!$N:$N,'Dados Mov Financeira'!$O:$O,'DRE 2019'!$B62,'Dados Mov Financeira'!$A:$A,'DRE 2019'!AE$1)</f>
        <v>0</v>
      </c>
      <c r="AF62" s="91" t="n">
        <f aca="false">IFERROR(AE62/AE$5,0)</f>
        <v>0</v>
      </c>
      <c r="AH62" s="75" t="n">
        <f aca="false">SUMIFS('Dados Mov Financeira'!$N:$N,'Dados Mov Financeira'!$O:$O,'DRE 2019'!$B62,'Dados Mov Financeira'!$A:$A,'DRE 2019'!AH$1)</f>
        <v>0</v>
      </c>
      <c r="AI62" s="91" t="n">
        <f aca="false">IFERROR(AH62/AH$5,0)</f>
        <v>0</v>
      </c>
      <c r="AK62" s="75" t="n">
        <f aca="false">SUMIFS('Dados Mov Financeira'!$N:$N,'Dados Mov Financeira'!$O:$O,'DRE 2019'!$B62,'Dados Mov Financeira'!$A:$A,'DRE 2019'!AK$1)</f>
        <v>0</v>
      </c>
      <c r="AL62" s="91" t="n">
        <f aca="false">IFERROR(AK62/AK$5,0)</f>
        <v>0</v>
      </c>
      <c r="AN62" s="92" t="n">
        <f aca="false">SUM(D62,G62,J62,M62,P62,S62,V62,Y62,AB62,AE62,AH62,AK62)</f>
        <v>0</v>
      </c>
      <c r="AO62" s="91" t="n">
        <f aca="false">IFERROR(AN62/AN$5,0)</f>
        <v>0</v>
      </c>
      <c r="AQ62" s="93" t="n">
        <f aca="false">AN62/$AR$1</f>
        <v>0</v>
      </c>
      <c r="AR62" s="94" t="n">
        <f aca="false">IFERROR(AQ62/AQ$5,0)</f>
        <v>0</v>
      </c>
      <c r="AT62" s="111"/>
    </row>
    <row r="63" customFormat="false" ht="15.75" hidden="true" customHeight="true" outlineLevel="1" collapsed="false">
      <c r="B63" s="89" t="s">
        <v>84</v>
      </c>
      <c r="D63" s="75" t="n">
        <f aca="false">SUMIFS('Dados Mov Financeira'!$N:$N,'Dados Mov Financeira'!$O:$O,'DRE 2019'!$B63,'Dados Mov Financeira'!$A:$A,'DRE 2019'!D$1)</f>
        <v>0</v>
      </c>
      <c r="E63" s="91" t="n">
        <f aca="false">IFERROR(D63/D$5,0)</f>
        <v>0</v>
      </c>
      <c r="G63" s="75" t="n">
        <f aca="false">SUMIFS('Dados Mov Financeira'!$N:$N,'Dados Mov Financeira'!$O:$O,'DRE 2019'!$B63,'Dados Mov Financeira'!$A:$A,'DRE 2019'!G$1)</f>
        <v>0</v>
      </c>
      <c r="H63" s="91" t="n">
        <f aca="false">IFERROR(G63/G$5,0)</f>
        <v>0</v>
      </c>
      <c r="J63" s="75" t="n">
        <f aca="false">SUMIFS('Dados Mov Financeira'!$N:$N,'Dados Mov Financeira'!$O:$O,'DRE 2019'!$B63,'Dados Mov Financeira'!$A:$A,'DRE 2019'!J$1)</f>
        <v>0</v>
      </c>
      <c r="K63" s="91" t="n">
        <f aca="false">IFERROR(J63/J$5,0)</f>
        <v>0</v>
      </c>
      <c r="M63" s="75" t="n">
        <f aca="false">SUMIFS('Dados Mov Financeira'!$N:$N,'Dados Mov Financeira'!$O:$O,'DRE 2019'!$B63,'Dados Mov Financeira'!$A:$A,'DRE 2019'!M$1)</f>
        <v>0</v>
      </c>
      <c r="N63" s="91" t="n">
        <f aca="false">IFERROR(M63/M$5,0)</f>
        <v>0</v>
      </c>
      <c r="P63" s="75" t="n">
        <f aca="false">SUMIFS('Dados Mov Financeira'!$N:$N,'Dados Mov Financeira'!$O:$O,'DRE 2019'!$B63,'Dados Mov Financeira'!$A:$A,'DRE 2019'!P$1)</f>
        <v>0</v>
      </c>
      <c r="Q63" s="91" t="n">
        <f aca="false">IFERROR(P63/P$5,0)</f>
        <v>0</v>
      </c>
      <c r="S63" s="75" t="n">
        <f aca="false">SUMIFS('Dados Mov Financeira'!$N:$N,'Dados Mov Financeira'!$O:$O,'DRE 2019'!$B63,'Dados Mov Financeira'!$A:$A,'DRE 2019'!S$1)</f>
        <v>0</v>
      </c>
      <c r="T63" s="91" t="n">
        <f aca="false">IFERROR(S63/S$5,0)</f>
        <v>0</v>
      </c>
      <c r="V63" s="75" t="n">
        <f aca="false">SUMIFS('Dados Mov Financeira'!$N:$N,'Dados Mov Financeira'!$O:$O,'DRE 2019'!$B63,'Dados Mov Financeira'!$A:$A,'DRE 2019'!V$1)</f>
        <v>0</v>
      </c>
      <c r="W63" s="91" t="n">
        <f aca="false">IFERROR(V63/V$5,0)</f>
        <v>0</v>
      </c>
      <c r="Y63" s="75" t="n">
        <f aca="false">SUMIFS('Dados Mov Financeira'!$N:$N,'Dados Mov Financeira'!$O:$O,'DRE 2019'!$B63,'Dados Mov Financeira'!$A:$A,'DRE 2019'!Y$1)</f>
        <v>0</v>
      </c>
      <c r="Z63" s="91" t="n">
        <f aca="false">IFERROR(Y63/Y$5,0)</f>
        <v>0</v>
      </c>
      <c r="AB63" s="75" t="n">
        <f aca="false">SUMIFS('Dados Mov Financeira'!$N:$N,'Dados Mov Financeira'!$O:$O,'DRE 2019'!$B63,'Dados Mov Financeira'!$A:$A,'DRE 2019'!AB$1)</f>
        <v>0</v>
      </c>
      <c r="AC63" s="91" t="n">
        <f aca="false">IFERROR(AB63/AB$5,0)</f>
        <v>0</v>
      </c>
      <c r="AE63" s="75" t="n">
        <f aca="false">SUMIFS('Dados Mov Financeira'!$N:$N,'Dados Mov Financeira'!$O:$O,'DRE 2019'!$B63,'Dados Mov Financeira'!$A:$A,'DRE 2019'!AE$1)</f>
        <v>0</v>
      </c>
      <c r="AF63" s="91" t="n">
        <f aca="false">IFERROR(AE63/AE$5,0)</f>
        <v>0</v>
      </c>
      <c r="AH63" s="75" t="n">
        <f aca="false">SUMIFS('Dados Mov Financeira'!$N:$N,'Dados Mov Financeira'!$O:$O,'DRE 2019'!$B63,'Dados Mov Financeira'!$A:$A,'DRE 2019'!AH$1)</f>
        <v>0</v>
      </c>
      <c r="AI63" s="91" t="n">
        <f aca="false">IFERROR(AH63/AH$5,0)</f>
        <v>0</v>
      </c>
      <c r="AK63" s="75" t="n">
        <f aca="false">SUMIFS('Dados Mov Financeira'!$N:$N,'Dados Mov Financeira'!$O:$O,'DRE 2019'!$B63,'Dados Mov Financeira'!$A:$A,'DRE 2019'!AK$1)</f>
        <v>0</v>
      </c>
      <c r="AL63" s="91" t="n">
        <f aca="false">IFERROR(AK63/AK$5,0)</f>
        <v>0</v>
      </c>
      <c r="AN63" s="92" t="n">
        <f aca="false">SUM(D63,G63,J63,M63,P63,S63,V63,Y63,AB63,AE63,AH63,AK63)</f>
        <v>0</v>
      </c>
      <c r="AO63" s="91" t="n">
        <f aca="false">IFERROR(AN63/AN$5,0)</f>
        <v>0</v>
      </c>
      <c r="AQ63" s="93" t="n">
        <f aca="false">AN63/$AR$1</f>
        <v>0</v>
      </c>
      <c r="AR63" s="94" t="n">
        <f aca="false">IFERROR(AQ63/AQ$5,0)</f>
        <v>0</v>
      </c>
      <c r="AT63" s="111"/>
    </row>
    <row r="64" customFormat="false" ht="15.75" hidden="true" customHeight="true" outlineLevel="1" collapsed="false">
      <c r="B64" s="89" t="s">
        <v>85</v>
      </c>
      <c r="D64" s="75" t="n">
        <f aca="false">SUMIFS('Dados Mov Financeira'!$N:$N,'Dados Mov Financeira'!$O:$O,'DRE 2019'!$B64,'Dados Mov Financeira'!$A:$A,'DRE 2019'!D$1)</f>
        <v>0</v>
      </c>
      <c r="E64" s="91" t="n">
        <f aca="false">IFERROR(D64/D$5,0)</f>
        <v>0</v>
      </c>
      <c r="G64" s="75" t="n">
        <f aca="false">SUMIFS('Dados Mov Financeira'!$N:$N,'Dados Mov Financeira'!$O:$O,'DRE 2019'!$B64,'Dados Mov Financeira'!$A:$A,'DRE 2019'!G$1)</f>
        <v>0</v>
      </c>
      <c r="H64" s="91" t="n">
        <f aca="false">IFERROR(G64/G$5,0)</f>
        <v>0</v>
      </c>
      <c r="J64" s="75" t="n">
        <f aca="false">SUMIFS('Dados Mov Financeira'!$N:$N,'Dados Mov Financeira'!$O:$O,'DRE 2019'!$B64,'Dados Mov Financeira'!$A:$A,'DRE 2019'!J$1)</f>
        <v>0</v>
      </c>
      <c r="K64" s="91" t="n">
        <f aca="false">IFERROR(J64/J$5,0)</f>
        <v>0</v>
      </c>
      <c r="M64" s="75" t="n">
        <f aca="false">SUMIFS('Dados Mov Financeira'!$N:$N,'Dados Mov Financeira'!$O:$O,'DRE 2019'!$B64,'Dados Mov Financeira'!$A:$A,'DRE 2019'!M$1)</f>
        <v>0</v>
      </c>
      <c r="N64" s="91" t="n">
        <f aca="false">IFERROR(M64/M$5,0)</f>
        <v>0</v>
      </c>
      <c r="P64" s="75" t="n">
        <f aca="false">SUMIFS('Dados Mov Financeira'!$N:$N,'Dados Mov Financeira'!$O:$O,'DRE 2019'!$B64,'Dados Mov Financeira'!$A:$A,'DRE 2019'!P$1)</f>
        <v>0</v>
      </c>
      <c r="Q64" s="91" t="n">
        <f aca="false">IFERROR(P64/P$5,0)</f>
        <v>0</v>
      </c>
      <c r="S64" s="75" t="n">
        <f aca="false">SUMIFS('Dados Mov Financeira'!$N:$N,'Dados Mov Financeira'!$O:$O,'DRE 2019'!$B64,'Dados Mov Financeira'!$A:$A,'DRE 2019'!S$1)</f>
        <v>0</v>
      </c>
      <c r="T64" s="91" t="n">
        <f aca="false">IFERROR(S64/S$5,0)</f>
        <v>0</v>
      </c>
      <c r="V64" s="75" t="n">
        <f aca="false">SUMIFS('Dados Mov Financeira'!$N:$N,'Dados Mov Financeira'!$O:$O,'DRE 2019'!$B64,'Dados Mov Financeira'!$A:$A,'DRE 2019'!V$1)</f>
        <v>0</v>
      </c>
      <c r="W64" s="91" t="n">
        <f aca="false">IFERROR(V64/V$5,0)</f>
        <v>0</v>
      </c>
      <c r="Y64" s="75" t="n">
        <f aca="false">SUMIFS('Dados Mov Financeira'!$N:$N,'Dados Mov Financeira'!$O:$O,'DRE 2019'!$B64,'Dados Mov Financeira'!$A:$A,'DRE 2019'!Y$1)</f>
        <v>0</v>
      </c>
      <c r="Z64" s="91" t="n">
        <f aca="false">IFERROR(Y64/Y$5,0)</f>
        <v>0</v>
      </c>
      <c r="AB64" s="75" t="n">
        <f aca="false">SUMIFS('Dados Mov Financeira'!$N:$N,'Dados Mov Financeira'!$O:$O,'DRE 2019'!$B64,'Dados Mov Financeira'!$A:$A,'DRE 2019'!AB$1)</f>
        <v>0</v>
      </c>
      <c r="AC64" s="91" t="n">
        <f aca="false">IFERROR(AB64/AB$5,0)</f>
        <v>0</v>
      </c>
      <c r="AE64" s="75" t="n">
        <f aca="false">SUMIFS('Dados Mov Financeira'!$N:$N,'Dados Mov Financeira'!$O:$O,'DRE 2019'!$B64,'Dados Mov Financeira'!$A:$A,'DRE 2019'!AE$1)</f>
        <v>0</v>
      </c>
      <c r="AF64" s="91" t="n">
        <f aca="false">IFERROR(AE64/AE$5,0)</f>
        <v>0</v>
      </c>
      <c r="AH64" s="75" t="n">
        <f aca="false">SUMIFS('Dados Mov Financeira'!$N:$N,'Dados Mov Financeira'!$O:$O,'DRE 2019'!$B64,'Dados Mov Financeira'!$A:$A,'DRE 2019'!AH$1)</f>
        <v>0</v>
      </c>
      <c r="AI64" s="91" t="n">
        <f aca="false">IFERROR(AH64/AH$5,0)</f>
        <v>0</v>
      </c>
      <c r="AK64" s="75" t="n">
        <f aca="false">SUMIFS('Dados Mov Financeira'!$N:$N,'Dados Mov Financeira'!$O:$O,'DRE 2019'!$B64,'Dados Mov Financeira'!$A:$A,'DRE 2019'!AK$1)</f>
        <v>0</v>
      </c>
      <c r="AL64" s="91" t="n">
        <f aca="false">IFERROR(AK64/AK$5,0)</f>
        <v>0</v>
      </c>
      <c r="AN64" s="92" t="n">
        <f aca="false">SUM(D64,G64,J64,M64,P64,S64,V64,Y64,AB64,AE64,AH64,AK64)</f>
        <v>0</v>
      </c>
      <c r="AO64" s="91" t="n">
        <f aca="false">IFERROR(AN64/AN$5,0)</f>
        <v>0</v>
      </c>
      <c r="AQ64" s="93" t="n">
        <f aca="false">AN64/$AR$1</f>
        <v>0</v>
      </c>
      <c r="AR64" s="94" t="n">
        <f aca="false">IFERROR(AQ64/AQ$5,0)</f>
        <v>0</v>
      </c>
      <c r="AT64" s="111"/>
    </row>
    <row r="65" customFormat="false" ht="15.75" hidden="true" customHeight="true" outlineLevel="1" collapsed="false">
      <c r="B65" s="89" t="s">
        <v>86</v>
      </c>
      <c r="D65" s="75" t="n">
        <f aca="false">SUMIFS('Dados Mov Financeira'!$N:$N,'Dados Mov Financeira'!$O:$O,'DRE 2019'!$B65,'Dados Mov Financeira'!$A:$A,'DRE 2019'!D$1)</f>
        <v>0</v>
      </c>
      <c r="E65" s="91" t="n">
        <f aca="false">IFERROR(D65/D$5,0)</f>
        <v>0</v>
      </c>
      <c r="G65" s="75" t="n">
        <f aca="false">SUMIFS('Dados Mov Financeira'!$N:$N,'Dados Mov Financeira'!$O:$O,'DRE 2019'!$B65,'Dados Mov Financeira'!$A:$A,'DRE 2019'!G$1)</f>
        <v>0</v>
      </c>
      <c r="H65" s="91" t="n">
        <f aca="false">IFERROR(G65/G$5,0)</f>
        <v>0</v>
      </c>
      <c r="J65" s="75" t="n">
        <f aca="false">SUMIFS('Dados Mov Financeira'!$N:$N,'Dados Mov Financeira'!$O:$O,'DRE 2019'!$B65,'Dados Mov Financeira'!$A:$A,'DRE 2019'!J$1)</f>
        <v>0</v>
      </c>
      <c r="K65" s="91" t="n">
        <f aca="false">IFERROR(J65/J$5,0)</f>
        <v>0</v>
      </c>
      <c r="M65" s="75" t="n">
        <f aca="false">SUMIFS('Dados Mov Financeira'!$N:$N,'Dados Mov Financeira'!$O:$O,'DRE 2019'!$B65,'Dados Mov Financeira'!$A:$A,'DRE 2019'!M$1)</f>
        <v>0</v>
      </c>
      <c r="N65" s="91" t="n">
        <f aca="false">IFERROR(M65/M$5,0)</f>
        <v>0</v>
      </c>
      <c r="P65" s="75" t="n">
        <f aca="false">SUMIFS('Dados Mov Financeira'!$N:$N,'Dados Mov Financeira'!$O:$O,'DRE 2019'!$B65,'Dados Mov Financeira'!$A:$A,'DRE 2019'!P$1)</f>
        <v>0</v>
      </c>
      <c r="Q65" s="91" t="n">
        <f aca="false">IFERROR(P65/P$5,0)</f>
        <v>0</v>
      </c>
      <c r="S65" s="75" t="n">
        <f aca="false">SUMIFS('Dados Mov Financeira'!$N:$N,'Dados Mov Financeira'!$O:$O,'DRE 2019'!$B65,'Dados Mov Financeira'!$A:$A,'DRE 2019'!S$1)</f>
        <v>0</v>
      </c>
      <c r="T65" s="91" t="n">
        <f aca="false">IFERROR(S65/S$5,0)</f>
        <v>0</v>
      </c>
      <c r="V65" s="75" t="n">
        <f aca="false">SUMIFS('Dados Mov Financeira'!$N:$N,'Dados Mov Financeira'!$O:$O,'DRE 2019'!$B65,'Dados Mov Financeira'!$A:$A,'DRE 2019'!V$1)</f>
        <v>0</v>
      </c>
      <c r="W65" s="91" t="n">
        <f aca="false">IFERROR(V65/V$5,0)</f>
        <v>0</v>
      </c>
      <c r="Y65" s="75" t="n">
        <f aca="false">SUMIFS('Dados Mov Financeira'!$N:$N,'Dados Mov Financeira'!$O:$O,'DRE 2019'!$B65,'Dados Mov Financeira'!$A:$A,'DRE 2019'!Y$1)</f>
        <v>0</v>
      </c>
      <c r="Z65" s="91" t="n">
        <f aca="false">IFERROR(Y65/Y$5,0)</f>
        <v>0</v>
      </c>
      <c r="AB65" s="75" t="n">
        <f aca="false">SUMIFS('Dados Mov Financeira'!$N:$N,'Dados Mov Financeira'!$O:$O,'DRE 2019'!$B65,'Dados Mov Financeira'!$A:$A,'DRE 2019'!AB$1)</f>
        <v>0</v>
      </c>
      <c r="AC65" s="91" t="n">
        <f aca="false">IFERROR(AB65/AB$5,0)</f>
        <v>0</v>
      </c>
      <c r="AE65" s="75" t="n">
        <f aca="false">SUMIFS('Dados Mov Financeira'!$N:$N,'Dados Mov Financeira'!$O:$O,'DRE 2019'!$B65,'Dados Mov Financeira'!$A:$A,'DRE 2019'!AE$1)</f>
        <v>0</v>
      </c>
      <c r="AF65" s="91" t="n">
        <f aca="false">IFERROR(AE65/AE$5,0)</f>
        <v>0</v>
      </c>
      <c r="AH65" s="75" t="n">
        <f aca="false">SUMIFS('Dados Mov Financeira'!$N:$N,'Dados Mov Financeira'!$O:$O,'DRE 2019'!$B65,'Dados Mov Financeira'!$A:$A,'DRE 2019'!AH$1)</f>
        <v>0</v>
      </c>
      <c r="AI65" s="91" t="n">
        <f aca="false">IFERROR(AH65/AH$5,0)</f>
        <v>0</v>
      </c>
      <c r="AK65" s="75" t="n">
        <f aca="false">SUMIFS('Dados Mov Financeira'!$N:$N,'Dados Mov Financeira'!$O:$O,'DRE 2019'!$B65,'Dados Mov Financeira'!$A:$A,'DRE 2019'!AK$1)</f>
        <v>0</v>
      </c>
      <c r="AL65" s="91" t="n">
        <f aca="false">IFERROR(AK65/AK$5,0)</f>
        <v>0</v>
      </c>
      <c r="AN65" s="92" t="n">
        <f aca="false">SUM(D65,G65,J65,M65,P65,S65,V65,Y65,AB65,AE65,AH65,AK65)</f>
        <v>0</v>
      </c>
      <c r="AO65" s="91" t="n">
        <f aca="false">IFERROR(AN65/AN$5,0)</f>
        <v>0</v>
      </c>
      <c r="AQ65" s="93" t="n">
        <f aca="false">AN65/$AR$1</f>
        <v>0</v>
      </c>
      <c r="AR65" s="94" t="n">
        <f aca="false">IFERROR(AQ65/AQ$5,0)</f>
        <v>0</v>
      </c>
      <c r="AT65" s="111"/>
    </row>
    <row r="66" customFormat="false" ht="15.75" hidden="true" customHeight="true" outlineLevel="1" collapsed="false">
      <c r="B66" s="89" t="s">
        <v>87</v>
      </c>
      <c r="D66" s="75" t="n">
        <f aca="false">SUMIFS('Dados Mov Financeira'!$N:$N,'Dados Mov Financeira'!$O:$O,'DRE 2019'!$B66,'Dados Mov Financeira'!$A:$A,'DRE 2019'!D$1)</f>
        <v>0</v>
      </c>
      <c r="E66" s="91" t="n">
        <f aca="false">IFERROR(D66/D$5,0)</f>
        <v>0</v>
      </c>
      <c r="G66" s="75" t="n">
        <f aca="false">SUMIFS('Dados Mov Financeira'!$N:$N,'Dados Mov Financeira'!$O:$O,'DRE 2019'!$B66,'Dados Mov Financeira'!$A:$A,'DRE 2019'!G$1)</f>
        <v>0</v>
      </c>
      <c r="H66" s="91" t="n">
        <f aca="false">IFERROR(G66/G$5,0)</f>
        <v>0</v>
      </c>
      <c r="J66" s="75" t="n">
        <f aca="false">SUMIFS('Dados Mov Financeira'!$N:$N,'Dados Mov Financeira'!$O:$O,'DRE 2019'!$B66,'Dados Mov Financeira'!$A:$A,'DRE 2019'!J$1)</f>
        <v>0</v>
      </c>
      <c r="K66" s="91" t="n">
        <f aca="false">IFERROR(J66/J$5,0)</f>
        <v>0</v>
      </c>
      <c r="M66" s="75" t="n">
        <f aca="false">SUMIFS('Dados Mov Financeira'!$N:$N,'Dados Mov Financeira'!$O:$O,'DRE 2019'!$B66,'Dados Mov Financeira'!$A:$A,'DRE 2019'!M$1)</f>
        <v>0</v>
      </c>
      <c r="N66" s="91" t="n">
        <f aca="false">IFERROR(M66/M$5,0)</f>
        <v>0</v>
      </c>
      <c r="P66" s="75" t="n">
        <f aca="false">SUMIFS('Dados Mov Financeira'!$N:$N,'Dados Mov Financeira'!$O:$O,'DRE 2019'!$B66,'Dados Mov Financeira'!$A:$A,'DRE 2019'!P$1)</f>
        <v>0</v>
      </c>
      <c r="Q66" s="91" t="n">
        <f aca="false">IFERROR(P66/P$5,0)</f>
        <v>0</v>
      </c>
      <c r="S66" s="75" t="n">
        <f aca="false">SUMIFS('Dados Mov Financeira'!$N:$N,'Dados Mov Financeira'!$O:$O,'DRE 2019'!$B66,'Dados Mov Financeira'!$A:$A,'DRE 2019'!S$1)</f>
        <v>0</v>
      </c>
      <c r="T66" s="91" t="n">
        <f aca="false">IFERROR(S66/S$5,0)</f>
        <v>0</v>
      </c>
      <c r="V66" s="75" t="n">
        <f aca="false">SUMIFS('Dados Mov Financeira'!$N:$N,'Dados Mov Financeira'!$O:$O,'DRE 2019'!$B66,'Dados Mov Financeira'!$A:$A,'DRE 2019'!V$1)</f>
        <v>0</v>
      </c>
      <c r="W66" s="91" t="n">
        <f aca="false">IFERROR(V66/V$5,0)</f>
        <v>0</v>
      </c>
      <c r="Y66" s="75" t="n">
        <f aca="false">SUMIFS('Dados Mov Financeira'!$N:$N,'Dados Mov Financeira'!$O:$O,'DRE 2019'!$B66,'Dados Mov Financeira'!$A:$A,'DRE 2019'!Y$1)</f>
        <v>0</v>
      </c>
      <c r="Z66" s="91" t="n">
        <f aca="false">IFERROR(Y66/Y$5,0)</f>
        <v>0</v>
      </c>
      <c r="AB66" s="75" t="n">
        <f aca="false">SUMIFS('Dados Mov Financeira'!$N:$N,'Dados Mov Financeira'!$O:$O,'DRE 2019'!$B66,'Dados Mov Financeira'!$A:$A,'DRE 2019'!AB$1)</f>
        <v>0</v>
      </c>
      <c r="AC66" s="91" t="n">
        <f aca="false">IFERROR(AB66/AB$5,0)</f>
        <v>0</v>
      </c>
      <c r="AE66" s="75" t="n">
        <f aca="false">SUMIFS('Dados Mov Financeira'!$N:$N,'Dados Mov Financeira'!$O:$O,'DRE 2019'!$B66,'Dados Mov Financeira'!$A:$A,'DRE 2019'!AE$1)</f>
        <v>0</v>
      </c>
      <c r="AF66" s="91" t="n">
        <f aca="false">IFERROR(AE66/AE$5,0)</f>
        <v>0</v>
      </c>
      <c r="AH66" s="75" t="n">
        <f aca="false">SUMIFS('Dados Mov Financeira'!$N:$N,'Dados Mov Financeira'!$O:$O,'DRE 2019'!$B66,'Dados Mov Financeira'!$A:$A,'DRE 2019'!AH$1)</f>
        <v>0</v>
      </c>
      <c r="AI66" s="91" t="n">
        <f aca="false">IFERROR(AH66/AH$5,0)</f>
        <v>0</v>
      </c>
      <c r="AK66" s="75" t="n">
        <f aca="false">SUMIFS('Dados Mov Financeira'!$N:$N,'Dados Mov Financeira'!$O:$O,'DRE 2019'!$B66,'Dados Mov Financeira'!$A:$A,'DRE 2019'!AK$1)</f>
        <v>0</v>
      </c>
      <c r="AL66" s="91" t="n">
        <f aca="false">IFERROR(AK66/AK$5,0)</f>
        <v>0</v>
      </c>
      <c r="AN66" s="92" t="n">
        <f aca="false">SUM(D66,G66,J66,M66,P66,S66,V66,Y66,AB66,AE66,AH66,AK66)</f>
        <v>0</v>
      </c>
      <c r="AO66" s="91" t="n">
        <f aca="false">IFERROR(AN66/AN$5,0)</f>
        <v>0</v>
      </c>
      <c r="AQ66" s="93" t="n">
        <f aca="false">AN66/$AR$1</f>
        <v>0</v>
      </c>
      <c r="AR66" s="94" t="n">
        <f aca="false">IFERROR(AQ66/AQ$5,0)</f>
        <v>0</v>
      </c>
      <c r="AT66" s="111"/>
    </row>
    <row r="67" customFormat="false" ht="15.75" hidden="true" customHeight="true" outlineLevel="1" collapsed="false">
      <c r="B67" s="89" t="s">
        <v>88</v>
      </c>
      <c r="D67" s="75" t="n">
        <f aca="false">SUMIFS('Dados Mov Financeira'!$N:$N,'Dados Mov Financeira'!$O:$O,'DRE 2019'!$B67,'Dados Mov Financeira'!$A:$A,'DRE 2019'!D$1)</f>
        <v>0</v>
      </c>
      <c r="E67" s="91" t="n">
        <f aca="false">IFERROR(D67/D$5,0)</f>
        <v>0</v>
      </c>
      <c r="G67" s="75" t="n">
        <f aca="false">SUMIFS('Dados Mov Financeira'!$N:$N,'Dados Mov Financeira'!$O:$O,'DRE 2019'!$B67,'Dados Mov Financeira'!$A:$A,'DRE 2019'!G$1)</f>
        <v>0</v>
      </c>
      <c r="H67" s="91" t="n">
        <f aca="false">IFERROR(G67/G$5,0)</f>
        <v>0</v>
      </c>
      <c r="J67" s="75" t="n">
        <f aca="false">SUMIFS('Dados Mov Financeira'!$N:$N,'Dados Mov Financeira'!$O:$O,'DRE 2019'!$B67,'Dados Mov Financeira'!$A:$A,'DRE 2019'!J$1)</f>
        <v>0</v>
      </c>
      <c r="K67" s="91" t="n">
        <f aca="false">IFERROR(J67/J$5,0)</f>
        <v>0</v>
      </c>
      <c r="M67" s="75" t="n">
        <f aca="false">SUMIFS('Dados Mov Financeira'!$N:$N,'Dados Mov Financeira'!$O:$O,'DRE 2019'!$B67,'Dados Mov Financeira'!$A:$A,'DRE 2019'!M$1)</f>
        <v>0</v>
      </c>
      <c r="N67" s="91" t="n">
        <f aca="false">IFERROR(M67/M$5,0)</f>
        <v>0</v>
      </c>
      <c r="P67" s="75" t="n">
        <f aca="false">SUMIFS('Dados Mov Financeira'!$N:$N,'Dados Mov Financeira'!$O:$O,'DRE 2019'!$B67,'Dados Mov Financeira'!$A:$A,'DRE 2019'!P$1)</f>
        <v>0</v>
      </c>
      <c r="Q67" s="91" t="n">
        <f aca="false">IFERROR(P67/P$5,0)</f>
        <v>0</v>
      </c>
      <c r="S67" s="75" t="n">
        <f aca="false">SUMIFS('Dados Mov Financeira'!$N:$N,'Dados Mov Financeira'!$O:$O,'DRE 2019'!$B67,'Dados Mov Financeira'!$A:$A,'DRE 2019'!S$1)</f>
        <v>0</v>
      </c>
      <c r="T67" s="91" t="n">
        <f aca="false">IFERROR(S67/S$5,0)</f>
        <v>0</v>
      </c>
      <c r="V67" s="75" t="n">
        <f aca="false">SUMIFS('Dados Mov Financeira'!$N:$N,'Dados Mov Financeira'!$O:$O,'DRE 2019'!$B67,'Dados Mov Financeira'!$A:$A,'DRE 2019'!V$1)</f>
        <v>0</v>
      </c>
      <c r="W67" s="91" t="n">
        <f aca="false">IFERROR(V67/V$5,0)</f>
        <v>0</v>
      </c>
      <c r="Y67" s="75" t="n">
        <f aca="false">SUMIFS('Dados Mov Financeira'!$N:$N,'Dados Mov Financeira'!$O:$O,'DRE 2019'!$B67,'Dados Mov Financeira'!$A:$A,'DRE 2019'!Y$1)</f>
        <v>0</v>
      </c>
      <c r="Z67" s="91" t="n">
        <f aca="false">IFERROR(Y67/Y$5,0)</f>
        <v>0</v>
      </c>
      <c r="AB67" s="75" t="n">
        <f aca="false">SUMIFS('Dados Mov Financeira'!$N:$N,'Dados Mov Financeira'!$O:$O,'DRE 2019'!$B67,'Dados Mov Financeira'!$A:$A,'DRE 2019'!AB$1)</f>
        <v>0</v>
      </c>
      <c r="AC67" s="91" t="n">
        <f aca="false">IFERROR(AB67/AB$5,0)</f>
        <v>0</v>
      </c>
      <c r="AE67" s="75" t="n">
        <f aca="false">SUMIFS('Dados Mov Financeira'!$N:$N,'Dados Mov Financeira'!$O:$O,'DRE 2019'!$B67,'Dados Mov Financeira'!$A:$A,'DRE 2019'!AE$1)</f>
        <v>0</v>
      </c>
      <c r="AF67" s="91" t="n">
        <f aca="false">IFERROR(AE67/AE$5,0)</f>
        <v>0</v>
      </c>
      <c r="AH67" s="75" t="n">
        <f aca="false">SUMIFS('Dados Mov Financeira'!$N:$N,'Dados Mov Financeira'!$O:$O,'DRE 2019'!$B67,'Dados Mov Financeira'!$A:$A,'DRE 2019'!AH$1)</f>
        <v>0</v>
      </c>
      <c r="AI67" s="91" t="n">
        <f aca="false">IFERROR(AH67/AH$5,0)</f>
        <v>0</v>
      </c>
      <c r="AK67" s="75" t="n">
        <f aca="false">SUMIFS('Dados Mov Financeira'!$N:$N,'Dados Mov Financeira'!$O:$O,'DRE 2019'!$B67,'Dados Mov Financeira'!$A:$A,'DRE 2019'!AK$1)</f>
        <v>0</v>
      </c>
      <c r="AL67" s="91" t="n">
        <f aca="false">IFERROR(AK67/AK$5,0)</f>
        <v>0</v>
      </c>
      <c r="AN67" s="92" t="n">
        <f aca="false">SUM(D67,G67,J67,M67,P67,S67,V67,Y67,AB67,AE67,AH67,AK67)</f>
        <v>0</v>
      </c>
      <c r="AO67" s="91" t="n">
        <f aca="false">IFERROR(AN67/AN$5,0)</f>
        <v>0</v>
      </c>
      <c r="AQ67" s="93" t="n">
        <f aca="false">AN67/$AR$1</f>
        <v>0</v>
      </c>
      <c r="AR67" s="94" t="n">
        <f aca="false">IFERROR(AQ67/AQ$5,0)</f>
        <v>0</v>
      </c>
      <c r="AT67" s="111"/>
    </row>
    <row r="68" customFormat="false" ht="15.75" hidden="true" customHeight="true" outlineLevel="1" collapsed="false">
      <c r="B68" s="89" t="s">
        <v>89</v>
      </c>
      <c r="D68" s="75" t="n">
        <f aca="false">SUMIFS('Dados Mov Financeira'!$N:$N,'Dados Mov Financeira'!$O:$O,'DRE 2019'!$B68,'Dados Mov Financeira'!$A:$A,'DRE 2019'!D$1)</f>
        <v>0</v>
      </c>
      <c r="E68" s="91" t="n">
        <f aca="false">IFERROR(D68/D$5,0)</f>
        <v>0</v>
      </c>
      <c r="G68" s="75" t="n">
        <f aca="false">SUMIFS('Dados Mov Financeira'!$N:$N,'Dados Mov Financeira'!$O:$O,'DRE 2019'!$B68,'Dados Mov Financeira'!$A:$A,'DRE 2019'!G$1)</f>
        <v>0</v>
      </c>
      <c r="H68" s="91" t="n">
        <f aca="false">IFERROR(G68/G$5,0)</f>
        <v>0</v>
      </c>
      <c r="J68" s="75" t="n">
        <f aca="false">SUMIFS('Dados Mov Financeira'!$N:$N,'Dados Mov Financeira'!$O:$O,'DRE 2019'!$B68,'Dados Mov Financeira'!$A:$A,'DRE 2019'!J$1)</f>
        <v>0</v>
      </c>
      <c r="K68" s="91" t="n">
        <f aca="false">IFERROR(J68/J$5,0)</f>
        <v>0</v>
      </c>
      <c r="M68" s="75" t="n">
        <f aca="false">SUMIFS('Dados Mov Financeira'!$N:$N,'Dados Mov Financeira'!$O:$O,'DRE 2019'!$B68,'Dados Mov Financeira'!$A:$A,'DRE 2019'!M$1)</f>
        <v>0</v>
      </c>
      <c r="N68" s="91" t="n">
        <f aca="false">IFERROR(M68/M$5,0)</f>
        <v>0</v>
      </c>
      <c r="P68" s="75" t="n">
        <f aca="false">SUMIFS('Dados Mov Financeira'!$N:$N,'Dados Mov Financeira'!$O:$O,'DRE 2019'!$B68,'Dados Mov Financeira'!$A:$A,'DRE 2019'!P$1)</f>
        <v>0</v>
      </c>
      <c r="Q68" s="91" t="n">
        <f aca="false">IFERROR(P68/P$5,0)</f>
        <v>0</v>
      </c>
      <c r="S68" s="75" t="n">
        <f aca="false">SUMIFS('Dados Mov Financeira'!$N:$N,'Dados Mov Financeira'!$O:$O,'DRE 2019'!$B68,'Dados Mov Financeira'!$A:$A,'DRE 2019'!S$1)</f>
        <v>0</v>
      </c>
      <c r="T68" s="91" t="n">
        <f aca="false">IFERROR(S68/S$5,0)</f>
        <v>0</v>
      </c>
      <c r="V68" s="75" t="n">
        <f aca="false">SUMIFS('Dados Mov Financeira'!$N:$N,'Dados Mov Financeira'!$O:$O,'DRE 2019'!$B68,'Dados Mov Financeira'!$A:$A,'DRE 2019'!V$1)</f>
        <v>0</v>
      </c>
      <c r="W68" s="91" t="n">
        <f aca="false">IFERROR(V68/V$5,0)</f>
        <v>0</v>
      </c>
      <c r="Y68" s="75" t="n">
        <f aca="false">SUMIFS('Dados Mov Financeira'!$N:$N,'Dados Mov Financeira'!$O:$O,'DRE 2019'!$B68,'Dados Mov Financeira'!$A:$A,'DRE 2019'!Y$1)</f>
        <v>0</v>
      </c>
      <c r="Z68" s="91" t="n">
        <f aca="false">IFERROR(Y68/Y$5,0)</f>
        <v>0</v>
      </c>
      <c r="AB68" s="75" t="n">
        <f aca="false">SUMIFS('Dados Mov Financeira'!$N:$N,'Dados Mov Financeira'!$O:$O,'DRE 2019'!$B68,'Dados Mov Financeira'!$A:$A,'DRE 2019'!AB$1)</f>
        <v>0</v>
      </c>
      <c r="AC68" s="91" t="n">
        <f aca="false">IFERROR(AB68/AB$5,0)</f>
        <v>0</v>
      </c>
      <c r="AE68" s="75" t="n">
        <f aca="false">SUMIFS('Dados Mov Financeira'!$N:$N,'Dados Mov Financeira'!$O:$O,'DRE 2019'!$B68,'Dados Mov Financeira'!$A:$A,'DRE 2019'!AE$1)</f>
        <v>0</v>
      </c>
      <c r="AF68" s="91" t="n">
        <f aca="false">IFERROR(AE68/AE$5,0)</f>
        <v>0</v>
      </c>
      <c r="AH68" s="75" t="n">
        <f aca="false">SUMIFS('Dados Mov Financeira'!$N:$N,'Dados Mov Financeira'!$O:$O,'DRE 2019'!$B68,'Dados Mov Financeira'!$A:$A,'DRE 2019'!AH$1)</f>
        <v>0</v>
      </c>
      <c r="AI68" s="91" t="n">
        <f aca="false">IFERROR(AH68/AH$5,0)</f>
        <v>0</v>
      </c>
      <c r="AK68" s="75" t="n">
        <f aca="false">SUMIFS('Dados Mov Financeira'!$N:$N,'Dados Mov Financeira'!$O:$O,'DRE 2019'!$B68,'Dados Mov Financeira'!$A:$A,'DRE 2019'!AK$1)</f>
        <v>0</v>
      </c>
      <c r="AL68" s="91" t="n">
        <f aca="false">IFERROR(AK68/AK$5,0)</f>
        <v>0</v>
      </c>
      <c r="AN68" s="92" t="n">
        <f aca="false">SUM(D68,G68,J68,M68,P68,S68,V68,Y68,AB68,AE68,AH68,AK68)</f>
        <v>0</v>
      </c>
      <c r="AO68" s="91" t="n">
        <f aca="false">IFERROR(AN68/AN$5,0)</f>
        <v>0</v>
      </c>
      <c r="AQ68" s="93" t="n">
        <f aca="false">AN68/$AR$1</f>
        <v>0</v>
      </c>
      <c r="AR68" s="94" t="n">
        <f aca="false">IFERROR(AQ68/AQ$5,0)</f>
        <v>0</v>
      </c>
      <c r="AT68" s="111"/>
    </row>
    <row r="69" customFormat="false" ht="15.75" hidden="true" customHeight="true" outlineLevel="1" collapsed="false">
      <c r="B69" s="89" t="s">
        <v>90</v>
      </c>
      <c r="D69" s="75" t="n">
        <f aca="false">SUMIFS('Dados Mov Financeira'!$N:$N,'Dados Mov Financeira'!$O:$O,'DRE 2019'!$B69,'Dados Mov Financeira'!$A:$A,'DRE 2019'!D$1)</f>
        <v>0</v>
      </c>
      <c r="E69" s="91" t="n">
        <f aca="false">IFERROR(D69/D$5,0)</f>
        <v>0</v>
      </c>
      <c r="G69" s="75" t="n">
        <f aca="false">SUMIFS('Dados Mov Financeira'!$N:$N,'Dados Mov Financeira'!$O:$O,'DRE 2019'!$B69,'Dados Mov Financeira'!$A:$A,'DRE 2019'!G$1)</f>
        <v>0</v>
      </c>
      <c r="H69" s="91" t="n">
        <f aca="false">IFERROR(G69/G$5,0)</f>
        <v>0</v>
      </c>
      <c r="J69" s="75" t="n">
        <f aca="false">SUMIFS('Dados Mov Financeira'!$N:$N,'Dados Mov Financeira'!$O:$O,'DRE 2019'!$B69,'Dados Mov Financeira'!$A:$A,'DRE 2019'!J$1)</f>
        <v>0</v>
      </c>
      <c r="K69" s="91" t="n">
        <f aca="false">IFERROR(J69/J$5,0)</f>
        <v>0</v>
      </c>
      <c r="M69" s="75" t="n">
        <f aca="false">SUMIFS('Dados Mov Financeira'!$N:$N,'Dados Mov Financeira'!$O:$O,'DRE 2019'!$B69,'Dados Mov Financeira'!$A:$A,'DRE 2019'!M$1)</f>
        <v>0</v>
      </c>
      <c r="N69" s="91" t="n">
        <f aca="false">IFERROR(M69/M$5,0)</f>
        <v>0</v>
      </c>
      <c r="P69" s="75" t="n">
        <f aca="false">SUMIFS('Dados Mov Financeira'!$N:$N,'Dados Mov Financeira'!$O:$O,'DRE 2019'!$B69,'Dados Mov Financeira'!$A:$A,'DRE 2019'!P$1)</f>
        <v>0</v>
      </c>
      <c r="Q69" s="91" t="n">
        <f aca="false">IFERROR(P69/P$5,0)</f>
        <v>0</v>
      </c>
      <c r="S69" s="75" t="n">
        <f aca="false">SUMIFS('Dados Mov Financeira'!$N:$N,'Dados Mov Financeira'!$O:$O,'DRE 2019'!$B69,'Dados Mov Financeira'!$A:$A,'DRE 2019'!S$1)</f>
        <v>0</v>
      </c>
      <c r="T69" s="91" t="n">
        <f aca="false">IFERROR(S69/S$5,0)</f>
        <v>0</v>
      </c>
      <c r="V69" s="75" t="n">
        <f aca="false">SUMIFS('Dados Mov Financeira'!$N:$N,'Dados Mov Financeira'!$O:$O,'DRE 2019'!$B69,'Dados Mov Financeira'!$A:$A,'DRE 2019'!V$1)</f>
        <v>0</v>
      </c>
      <c r="W69" s="91" t="n">
        <f aca="false">IFERROR(V69/V$5,0)</f>
        <v>0</v>
      </c>
      <c r="Y69" s="75" t="n">
        <f aca="false">SUMIFS('Dados Mov Financeira'!$N:$N,'Dados Mov Financeira'!$O:$O,'DRE 2019'!$B69,'Dados Mov Financeira'!$A:$A,'DRE 2019'!Y$1)</f>
        <v>0</v>
      </c>
      <c r="Z69" s="91" t="n">
        <f aca="false">IFERROR(Y69/Y$5,0)</f>
        <v>0</v>
      </c>
      <c r="AB69" s="75" t="n">
        <f aca="false">SUMIFS('Dados Mov Financeira'!$N:$N,'Dados Mov Financeira'!$O:$O,'DRE 2019'!$B69,'Dados Mov Financeira'!$A:$A,'DRE 2019'!AB$1)</f>
        <v>0</v>
      </c>
      <c r="AC69" s="91" t="n">
        <f aca="false">IFERROR(AB69/AB$5,0)</f>
        <v>0</v>
      </c>
      <c r="AE69" s="75" t="n">
        <f aca="false">SUMIFS('Dados Mov Financeira'!$N:$N,'Dados Mov Financeira'!$O:$O,'DRE 2019'!$B69,'Dados Mov Financeira'!$A:$A,'DRE 2019'!AE$1)</f>
        <v>0</v>
      </c>
      <c r="AF69" s="91" t="n">
        <f aca="false">IFERROR(AE69/AE$5,0)</f>
        <v>0</v>
      </c>
      <c r="AH69" s="75" t="n">
        <f aca="false">SUMIFS('Dados Mov Financeira'!$N:$N,'Dados Mov Financeira'!$O:$O,'DRE 2019'!$B69,'Dados Mov Financeira'!$A:$A,'DRE 2019'!AH$1)</f>
        <v>0</v>
      </c>
      <c r="AI69" s="91" t="n">
        <f aca="false">IFERROR(AH69/AH$5,0)</f>
        <v>0</v>
      </c>
      <c r="AK69" s="75" t="n">
        <f aca="false">SUMIFS('Dados Mov Financeira'!$N:$N,'Dados Mov Financeira'!$O:$O,'DRE 2019'!$B69,'Dados Mov Financeira'!$A:$A,'DRE 2019'!AK$1)</f>
        <v>0</v>
      </c>
      <c r="AL69" s="91" t="n">
        <f aca="false">IFERROR(AK69/AK$5,0)</f>
        <v>0</v>
      </c>
      <c r="AN69" s="92" t="n">
        <f aca="false">SUM(D69,G69,J69,M69,P69,S69,V69,Y69,AB69,AE69,AH69,AK69)</f>
        <v>0</v>
      </c>
      <c r="AO69" s="91" t="n">
        <f aca="false">IFERROR(AN69/AN$5,0)</f>
        <v>0</v>
      </c>
      <c r="AQ69" s="93" t="n">
        <f aca="false">AN69/$AR$1</f>
        <v>0</v>
      </c>
      <c r="AR69" s="94" t="n">
        <f aca="false">IFERROR(AQ69/AQ$5,0)</f>
        <v>0</v>
      </c>
      <c r="AT69" s="111"/>
    </row>
    <row r="70" customFormat="false" ht="15.75" hidden="true" customHeight="true" outlineLevel="1" collapsed="false">
      <c r="B70" s="89" t="s">
        <v>91</v>
      </c>
      <c r="D70" s="75" t="n">
        <f aca="false">SUMIFS('Dados Mov Financeira'!$N:$N,'Dados Mov Financeira'!$O:$O,'DRE 2019'!$B70,'Dados Mov Financeira'!$A:$A,'DRE 2019'!D$1)</f>
        <v>0</v>
      </c>
      <c r="E70" s="91" t="n">
        <f aca="false">IFERROR(D70/D$5,0)</f>
        <v>0</v>
      </c>
      <c r="G70" s="75" t="n">
        <f aca="false">SUMIFS('Dados Mov Financeira'!$N:$N,'Dados Mov Financeira'!$O:$O,'DRE 2019'!$B70,'Dados Mov Financeira'!$A:$A,'DRE 2019'!G$1)</f>
        <v>0</v>
      </c>
      <c r="H70" s="91" t="n">
        <f aca="false">IFERROR(G70/G$5,0)</f>
        <v>0</v>
      </c>
      <c r="J70" s="75" t="n">
        <f aca="false">SUMIFS('Dados Mov Financeira'!$N:$N,'Dados Mov Financeira'!$O:$O,'DRE 2019'!$B70,'Dados Mov Financeira'!$A:$A,'DRE 2019'!J$1)</f>
        <v>0</v>
      </c>
      <c r="K70" s="91" t="n">
        <f aca="false">IFERROR(J70/J$5,0)</f>
        <v>0</v>
      </c>
      <c r="M70" s="75" t="n">
        <f aca="false">SUMIFS('Dados Mov Financeira'!$N:$N,'Dados Mov Financeira'!$O:$O,'DRE 2019'!$B70,'Dados Mov Financeira'!$A:$A,'DRE 2019'!M$1)</f>
        <v>0</v>
      </c>
      <c r="N70" s="91" t="n">
        <f aca="false">IFERROR(M70/M$5,0)</f>
        <v>0</v>
      </c>
      <c r="P70" s="75" t="n">
        <f aca="false">SUMIFS('Dados Mov Financeira'!$N:$N,'Dados Mov Financeira'!$O:$O,'DRE 2019'!$B70,'Dados Mov Financeira'!$A:$A,'DRE 2019'!P$1)</f>
        <v>0</v>
      </c>
      <c r="Q70" s="91" t="n">
        <f aca="false">IFERROR(P70/P$5,0)</f>
        <v>0</v>
      </c>
      <c r="S70" s="75" t="n">
        <f aca="false">SUMIFS('Dados Mov Financeira'!$N:$N,'Dados Mov Financeira'!$O:$O,'DRE 2019'!$B70,'Dados Mov Financeira'!$A:$A,'DRE 2019'!S$1)</f>
        <v>0</v>
      </c>
      <c r="T70" s="91" t="n">
        <f aca="false">IFERROR(S70/S$5,0)</f>
        <v>0</v>
      </c>
      <c r="V70" s="75" t="n">
        <f aca="false">SUMIFS('Dados Mov Financeira'!$N:$N,'Dados Mov Financeira'!$O:$O,'DRE 2019'!$B70,'Dados Mov Financeira'!$A:$A,'DRE 2019'!V$1)</f>
        <v>0</v>
      </c>
      <c r="W70" s="91" t="n">
        <f aca="false">IFERROR(V70/V$5,0)</f>
        <v>0</v>
      </c>
      <c r="Y70" s="75" t="n">
        <f aca="false">SUMIFS('Dados Mov Financeira'!$N:$N,'Dados Mov Financeira'!$O:$O,'DRE 2019'!$B70,'Dados Mov Financeira'!$A:$A,'DRE 2019'!Y$1)</f>
        <v>0</v>
      </c>
      <c r="Z70" s="91" t="n">
        <f aca="false">IFERROR(Y70/Y$5,0)</f>
        <v>0</v>
      </c>
      <c r="AB70" s="75" t="n">
        <f aca="false">SUMIFS('Dados Mov Financeira'!$N:$N,'Dados Mov Financeira'!$O:$O,'DRE 2019'!$B70,'Dados Mov Financeira'!$A:$A,'DRE 2019'!AB$1)</f>
        <v>0</v>
      </c>
      <c r="AC70" s="91" t="n">
        <f aca="false">IFERROR(AB70/AB$5,0)</f>
        <v>0</v>
      </c>
      <c r="AE70" s="75" t="n">
        <f aca="false">SUMIFS('Dados Mov Financeira'!$N:$N,'Dados Mov Financeira'!$O:$O,'DRE 2019'!$B70,'Dados Mov Financeira'!$A:$A,'DRE 2019'!AE$1)</f>
        <v>0</v>
      </c>
      <c r="AF70" s="91" t="n">
        <f aca="false">IFERROR(AE70/AE$5,0)</f>
        <v>0</v>
      </c>
      <c r="AH70" s="75" t="n">
        <f aca="false">SUMIFS('Dados Mov Financeira'!$N:$N,'Dados Mov Financeira'!$O:$O,'DRE 2019'!$B70,'Dados Mov Financeira'!$A:$A,'DRE 2019'!AH$1)</f>
        <v>0</v>
      </c>
      <c r="AI70" s="91" t="n">
        <f aca="false">IFERROR(AH70/AH$5,0)</f>
        <v>0</v>
      </c>
      <c r="AK70" s="75" t="n">
        <f aca="false">SUMIFS('Dados Mov Financeira'!$N:$N,'Dados Mov Financeira'!$O:$O,'DRE 2019'!$B70,'Dados Mov Financeira'!$A:$A,'DRE 2019'!AK$1)</f>
        <v>0</v>
      </c>
      <c r="AL70" s="91" t="n">
        <f aca="false">IFERROR(AK70/AK$5,0)</f>
        <v>0</v>
      </c>
      <c r="AN70" s="92" t="n">
        <f aca="false">SUM(D70,G70,J70,M70,P70,S70,V70,Y70,AB70,AE70,AH70,AK70)</f>
        <v>0</v>
      </c>
      <c r="AO70" s="91" t="n">
        <f aca="false">IFERROR(AN70/AN$5,0)</f>
        <v>0</v>
      </c>
      <c r="AQ70" s="93" t="n">
        <f aca="false">AN70/$AR$1</f>
        <v>0</v>
      </c>
      <c r="AR70" s="94" t="n">
        <f aca="false">IFERROR(AQ70/AQ$5,0)</f>
        <v>0</v>
      </c>
      <c r="AT70" s="111"/>
    </row>
    <row r="71" customFormat="false" ht="15.75" hidden="true" customHeight="true" outlineLevel="1" collapsed="false">
      <c r="B71" s="89" t="s">
        <v>92</v>
      </c>
      <c r="D71" s="75" t="n">
        <f aca="false">SUMIFS('Dados Mov Financeira'!$N:$N,'Dados Mov Financeira'!$O:$O,'DRE 2019'!$B71,'Dados Mov Financeira'!$A:$A,'DRE 2019'!D$1)</f>
        <v>0</v>
      </c>
      <c r="E71" s="91" t="n">
        <f aca="false">IFERROR(D71/D$5,0)</f>
        <v>0</v>
      </c>
      <c r="G71" s="75" t="n">
        <f aca="false">SUMIFS('Dados Mov Financeira'!$N:$N,'Dados Mov Financeira'!$O:$O,'DRE 2019'!$B71,'Dados Mov Financeira'!$A:$A,'DRE 2019'!G$1)</f>
        <v>0</v>
      </c>
      <c r="H71" s="91" t="n">
        <f aca="false">IFERROR(G71/G$5,0)</f>
        <v>0</v>
      </c>
      <c r="J71" s="75" t="n">
        <f aca="false">SUMIFS('Dados Mov Financeira'!$N:$N,'Dados Mov Financeira'!$O:$O,'DRE 2019'!$B71,'Dados Mov Financeira'!$A:$A,'DRE 2019'!J$1)</f>
        <v>0</v>
      </c>
      <c r="K71" s="91" t="n">
        <f aca="false">IFERROR(J71/J$5,0)</f>
        <v>0</v>
      </c>
      <c r="M71" s="75" t="n">
        <f aca="false">SUMIFS('Dados Mov Financeira'!$N:$N,'Dados Mov Financeira'!$O:$O,'DRE 2019'!$B71,'Dados Mov Financeira'!$A:$A,'DRE 2019'!M$1)</f>
        <v>0</v>
      </c>
      <c r="N71" s="91" t="n">
        <f aca="false">IFERROR(M71/M$5,0)</f>
        <v>0</v>
      </c>
      <c r="P71" s="75" t="n">
        <f aca="false">SUMIFS('Dados Mov Financeira'!$N:$N,'Dados Mov Financeira'!$O:$O,'DRE 2019'!$B71,'Dados Mov Financeira'!$A:$A,'DRE 2019'!P$1)</f>
        <v>0</v>
      </c>
      <c r="Q71" s="91" t="n">
        <f aca="false">IFERROR(P71/P$5,0)</f>
        <v>0</v>
      </c>
      <c r="S71" s="75" t="n">
        <f aca="false">SUMIFS('Dados Mov Financeira'!$N:$N,'Dados Mov Financeira'!$O:$O,'DRE 2019'!$B71,'Dados Mov Financeira'!$A:$A,'DRE 2019'!S$1)</f>
        <v>0</v>
      </c>
      <c r="T71" s="91" t="n">
        <f aca="false">IFERROR(S71/S$5,0)</f>
        <v>0</v>
      </c>
      <c r="V71" s="75" t="n">
        <f aca="false">SUMIFS('Dados Mov Financeira'!$N:$N,'Dados Mov Financeira'!$O:$O,'DRE 2019'!$B71,'Dados Mov Financeira'!$A:$A,'DRE 2019'!V$1)</f>
        <v>0</v>
      </c>
      <c r="W71" s="91" t="n">
        <f aca="false">IFERROR(V71/V$5,0)</f>
        <v>0</v>
      </c>
      <c r="Y71" s="75" t="n">
        <f aca="false">SUMIFS('Dados Mov Financeira'!$N:$N,'Dados Mov Financeira'!$O:$O,'DRE 2019'!$B71,'Dados Mov Financeira'!$A:$A,'DRE 2019'!Y$1)</f>
        <v>0</v>
      </c>
      <c r="Z71" s="91" t="n">
        <f aca="false">IFERROR(Y71/Y$5,0)</f>
        <v>0</v>
      </c>
      <c r="AB71" s="75" t="n">
        <f aca="false">SUMIFS('Dados Mov Financeira'!$N:$N,'Dados Mov Financeira'!$O:$O,'DRE 2019'!$B71,'Dados Mov Financeira'!$A:$A,'DRE 2019'!AB$1)</f>
        <v>0</v>
      </c>
      <c r="AC71" s="91" t="n">
        <f aca="false">IFERROR(AB71/AB$5,0)</f>
        <v>0</v>
      </c>
      <c r="AE71" s="75" t="n">
        <f aca="false">SUMIFS('Dados Mov Financeira'!$N:$N,'Dados Mov Financeira'!$O:$O,'DRE 2019'!$B71,'Dados Mov Financeira'!$A:$A,'DRE 2019'!AE$1)</f>
        <v>0</v>
      </c>
      <c r="AF71" s="91" t="n">
        <f aca="false">IFERROR(AE71/AE$5,0)</f>
        <v>0</v>
      </c>
      <c r="AH71" s="75" t="n">
        <f aca="false">SUMIFS('Dados Mov Financeira'!$N:$N,'Dados Mov Financeira'!$O:$O,'DRE 2019'!$B71,'Dados Mov Financeira'!$A:$A,'DRE 2019'!AH$1)</f>
        <v>0</v>
      </c>
      <c r="AI71" s="91" t="n">
        <f aca="false">IFERROR(AH71/AH$5,0)</f>
        <v>0</v>
      </c>
      <c r="AK71" s="75" t="n">
        <f aca="false">SUMIFS('Dados Mov Financeira'!$N:$N,'Dados Mov Financeira'!$O:$O,'DRE 2019'!$B71,'Dados Mov Financeira'!$A:$A,'DRE 2019'!AK$1)</f>
        <v>0</v>
      </c>
      <c r="AL71" s="91" t="n">
        <f aca="false">IFERROR(AK71/AK$5,0)</f>
        <v>0</v>
      </c>
      <c r="AN71" s="92" t="n">
        <f aca="false">SUM(D71,G71,J71,M71,P71,S71,V71,Y71,AB71,AE71,AH71,AK71)</f>
        <v>0</v>
      </c>
      <c r="AO71" s="91" t="n">
        <f aca="false">IFERROR(AN71/AN$5,0)</f>
        <v>0</v>
      </c>
      <c r="AQ71" s="93" t="n">
        <f aca="false">AN71/$AR$1</f>
        <v>0</v>
      </c>
      <c r="AR71" s="94" t="n">
        <f aca="false">IFERROR(AQ71/AQ$5,0)</f>
        <v>0</v>
      </c>
      <c r="AT71" s="111"/>
    </row>
    <row r="72" customFormat="false" ht="15.75" hidden="true" customHeight="true" outlineLevel="1" collapsed="false">
      <c r="B72" s="89" t="s">
        <v>93</v>
      </c>
      <c r="D72" s="75" t="n">
        <f aca="false">SUMIFS('Dados Mov Financeira'!$N:$N,'Dados Mov Financeira'!$O:$O,'DRE 2019'!$B72,'Dados Mov Financeira'!$A:$A,'DRE 2019'!D$1)</f>
        <v>0</v>
      </c>
      <c r="E72" s="91" t="n">
        <f aca="false">IFERROR(D72/D$5,0)</f>
        <v>0</v>
      </c>
      <c r="G72" s="75" t="n">
        <f aca="false">SUMIFS('Dados Mov Financeira'!$N:$N,'Dados Mov Financeira'!$O:$O,'DRE 2019'!$B72,'Dados Mov Financeira'!$A:$A,'DRE 2019'!G$1)</f>
        <v>0</v>
      </c>
      <c r="H72" s="91" t="n">
        <f aca="false">IFERROR(G72/G$5,0)</f>
        <v>0</v>
      </c>
      <c r="J72" s="75" t="n">
        <f aca="false">SUMIFS('Dados Mov Financeira'!$N:$N,'Dados Mov Financeira'!$O:$O,'DRE 2019'!$B72,'Dados Mov Financeira'!$A:$A,'DRE 2019'!J$1)</f>
        <v>0</v>
      </c>
      <c r="K72" s="91" t="n">
        <f aca="false">IFERROR(J72/J$5,0)</f>
        <v>0</v>
      </c>
      <c r="M72" s="75" t="n">
        <f aca="false">SUMIFS('Dados Mov Financeira'!$N:$N,'Dados Mov Financeira'!$O:$O,'DRE 2019'!$B72,'Dados Mov Financeira'!$A:$A,'DRE 2019'!M$1)</f>
        <v>0</v>
      </c>
      <c r="N72" s="91" t="n">
        <f aca="false">IFERROR(M72/M$5,0)</f>
        <v>0</v>
      </c>
      <c r="P72" s="75" t="n">
        <f aca="false">SUMIFS('Dados Mov Financeira'!$N:$N,'Dados Mov Financeira'!$O:$O,'DRE 2019'!$B72,'Dados Mov Financeira'!$A:$A,'DRE 2019'!P$1)</f>
        <v>0</v>
      </c>
      <c r="Q72" s="91" t="n">
        <f aca="false">IFERROR(P72/P$5,0)</f>
        <v>0</v>
      </c>
      <c r="S72" s="75" t="n">
        <f aca="false">SUMIFS('Dados Mov Financeira'!$N:$N,'Dados Mov Financeira'!$O:$O,'DRE 2019'!$B72,'Dados Mov Financeira'!$A:$A,'DRE 2019'!S$1)</f>
        <v>0</v>
      </c>
      <c r="T72" s="91" t="n">
        <f aca="false">IFERROR(S72/S$5,0)</f>
        <v>0</v>
      </c>
      <c r="V72" s="75" t="n">
        <f aca="false">SUMIFS('Dados Mov Financeira'!$N:$N,'Dados Mov Financeira'!$O:$O,'DRE 2019'!$B72,'Dados Mov Financeira'!$A:$A,'DRE 2019'!V$1)</f>
        <v>0</v>
      </c>
      <c r="W72" s="91" t="n">
        <f aca="false">IFERROR(V72/V$5,0)</f>
        <v>0</v>
      </c>
      <c r="Y72" s="75" t="n">
        <f aca="false">SUMIFS('Dados Mov Financeira'!$N:$N,'Dados Mov Financeira'!$O:$O,'DRE 2019'!$B72,'Dados Mov Financeira'!$A:$A,'DRE 2019'!Y$1)</f>
        <v>0</v>
      </c>
      <c r="Z72" s="91" t="n">
        <f aca="false">IFERROR(Y72/Y$5,0)</f>
        <v>0</v>
      </c>
      <c r="AB72" s="75" t="n">
        <f aca="false">SUMIFS('Dados Mov Financeira'!$N:$N,'Dados Mov Financeira'!$O:$O,'DRE 2019'!$B72,'Dados Mov Financeira'!$A:$A,'DRE 2019'!AB$1)</f>
        <v>0</v>
      </c>
      <c r="AC72" s="91" t="n">
        <f aca="false">IFERROR(AB72/AB$5,0)</f>
        <v>0</v>
      </c>
      <c r="AE72" s="75" t="n">
        <f aca="false">SUMIFS('Dados Mov Financeira'!$N:$N,'Dados Mov Financeira'!$O:$O,'DRE 2019'!$B72,'Dados Mov Financeira'!$A:$A,'DRE 2019'!AE$1)</f>
        <v>0</v>
      </c>
      <c r="AF72" s="91" t="n">
        <f aca="false">IFERROR(AE72/AE$5,0)</f>
        <v>0</v>
      </c>
      <c r="AH72" s="75" t="n">
        <f aca="false">SUMIFS('Dados Mov Financeira'!$N:$N,'Dados Mov Financeira'!$O:$O,'DRE 2019'!$B72,'Dados Mov Financeira'!$A:$A,'DRE 2019'!AH$1)</f>
        <v>0</v>
      </c>
      <c r="AI72" s="91" t="n">
        <f aca="false">IFERROR(AH72/AH$5,0)</f>
        <v>0</v>
      </c>
      <c r="AK72" s="75" t="n">
        <f aca="false">SUMIFS('Dados Mov Financeira'!$N:$N,'Dados Mov Financeira'!$O:$O,'DRE 2019'!$B72,'Dados Mov Financeira'!$A:$A,'DRE 2019'!AK$1)</f>
        <v>0</v>
      </c>
      <c r="AL72" s="91" t="n">
        <f aca="false">IFERROR(AK72/AK$5,0)</f>
        <v>0</v>
      </c>
      <c r="AN72" s="92" t="n">
        <f aca="false">SUM(D72,G72,J72,M72,P72,S72,V72,Y72,AB72,AE72,AH72,AK72)</f>
        <v>0</v>
      </c>
      <c r="AO72" s="91" t="n">
        <f aca="false">IFERROR(AN72/AN$5,0)</f>
        <v>0</v>
      </c>
      <c r="AQ72" s="93" t="n">
        <f aca="false">AN72/$AR$1</f>
        <v>0</v>
      </c>
      <c r="AR72" s="94" t="n">
        <f aca="false">IFERROR(AQ72/AQ$5,0)</f>
        <v>0</v>
      </c>
      <c r="AT72" s="111"/>
    </row>
    <row r="73" customFormat="false" ht="15.75" hidden="true" customHeight="true" outlineLevel="1" collapsed="false">
      <c r="B73" s="89" t="s">
        <v>94</v>
      </c>
      <c r="D73" s="75" t="n">
        <f aca="false">SUMIFS('Dados Mov Financeira'!$N:$N,'Dados Mov Financeira'!$O:$O,'DRE 2019'!$B73,'Dados Mov Financeira'!$A:$A,'DRE 2019'!D$1)</f>
        <v>0</v>
      </c>
      <c r="E73" s="91" t="n">
        <f aca="false">IFERROR(D73/D$5,0)</f>
        <v>0</v>
      </c>
      <c r="G73" s="75" t="n">
        <f aca="false">SUMIFS('Dados Mov Financeira'!$N:$N,'Dados Mov Financeira'!$O:$O,'DRE 2019'!$B73,'Dados Mov Financeira'!$A:$A,'DRE 2019'!G$1)</f>
        <v>0</v>
      </c>
      <c r="H73" s="91" t="n">
        <f aca="false">IFERROR(G73/G$5,0)</f>
        <v>0</v>
      </c>
      <c r="J73" s="75" t="n">
        <f aca="false">SUMIFS('Dados Mov Financeira'!$N:$N,'Dados Mov Financeira'!$O:$O,'DRE 2019'!$B73,'Dados Mov Financeira'!$A:$A,'DRE 2019'!J$1)</f>
        <v>0</v>
      </c>
      <c r="K73" s="91" t="n">
        <f aca="false">IFERROR(J73/J$5,0)</f>
        <v>0</v>
      </c>
      <c r="M73" s="75" t="n">
        <f aca="false">SUMIFS('Dados Mov Financeira'!$N:$N,'Dados Mov Financeira'!$O:$O,'DRE 2019'!$B73,'Dados Mov Financeira'!$A:$A,'DRE 2019'!M$1)</f>
        <v>0</v>
      </c>
      <c r="N73" s="91" t="n">
        <f aca="false">IFERROR(M73/M$5,0)</f>
        <v>0</v>
      </c>
      <c r="P73" s="75" t="n">
        <f aca="false">SUMIFS('Dados Mov Financeira'!$N:$N,'Dados Mov Financeira'!$O:$O,'DRE 2019'!$B73,'Dados Mov Financeira'!$A:$A,'DRE 2019'!P$1)</f>
        <v>0</v>
      </c>
      <c r="Q73" s="91" t="n">
        <f aca="false">IFERROR(P73/P$5,0)</f>
        <v>0</v>
      </c>
      <c r="S73" s="75" t="n">
        <f aca="false">SUMIFS('Dados Mov Financeira'!$N:$N,'Dados Mov Financeira'!$O:$O,'DRE 2019'!$B73,'Dados Mov Financeira'!$A:$A,'DRE 2019'!S$1)</f>
        <v>0</v>
      </c>
      <c r="T73" s="91" t="n">
        <f aca="false">IFERROR(S73/S$5,0)</f>
        <v>0</v>
      </c>
      <c r="V73" s="75" t="n">
        <f aca="false">SUMIFS('Dados Mov Financeira'!$N:$N,'Dados Mov Financeira'!$O:$O,'DRE 2019'!$B73,'Dados Mov Financeira'!$A:$A,'DRE 2019'!V$1)</f>
        <v>0</v>
      </c>
      <c r="W73" s="91" t="n">
        <f aca="false">IFERROR(V73/V$5,0)</f>
        <v>0</v>
      </c>
      <c r="Y73" s="75" t="n">
        <f aca="false">SUMIFS('Dados Mov Financeira'!$N:$N,'Dados Mov Financeira'!$O:$O,'DRE 2019'!$B73,'Dados Mov Financeira'!$A:$A,'DRE 2019'!Y$1)</f>
        <v>0</v>
      </c>
      <c r="Z73" s="91" t="n">
        <f aca="false">IFERROR(Y73/Y$5,0)</f>
        <v>0</v>
      </c>
      <c r="AB73" s="75" t="n">
        <f aca="false">SUMIFS('Dados Mov Financeira'!$N:$N,'Dados Mov Financeira'!$O:$O,'DRE 2019'!$B73,'Dados Mov Financeira'!$A:$A,'DRE 2019'!AB$1)</f>
        <v>0</v>
      </c>
      <c r="AC73" s="91" t="n">
        <f aca="false">IFERROR(AB73/AB$5,0)</f>
        <v>0</v>
      </c>
      <c r="AE73" s="75" t="n">
        <f aca="false">SUMIFS('Dados Mov Financeira'!$N:$N,'Dados Mov Financeira'!$O:$O,'DRE 2019'!$B73,'Dados Mov Financeira'!$A:$A,'DRE 2019'!AE$1)</f>
        <v>0</v>
      </c>
      <c r="AF73" s="91" t="n">
        <f aca="false">IFERROR(AE73/AE$5,0)</f>
        <v>0</v>
      </c>
      <c r="AH73" s="75" t="n">
        <f aca="false">SUMIFS('Dados Mov Financeira'!$N:$N,'Dados Mov Financeira'!$O:$O,'DRE 2019'!$B73,'Dados Mov Financeira'!$A:$A,'DRE 2019'!AH$1)</f>
        <v>0</v>
      </c>
      <c r="AI73" s="91" t="n">
        <f aca="false">IFERROR(AH73/AH$5,0)</f>
        <v>0</v>
      </c>
      <c r="AK73" s="75" t="n">
        <f aca="false">SUMIFS('Dados Mov Financeira'!$N:$N,'Dados Mov Financeira'!$O:$O,'DRE 2019'!$B73,'Dados Mov Financeira'!$A:$A,'DRE 2019'!AK$1)</f>
        <v>0</v>
      </c>
      <c r="AL73" s="91" t="n">
        <f aca="false">IFERROR(AK73/AK$5,0)</f>
        <v>0</v>
      </c>
      <c r="AN73" s="92" t="n">
        <f aca="false">SUM(D73,G73,J73,M73,P73,S73,V73,Y73,AB73,AE73,AH73,AK73)</f>
        <v>0</v>
      </c>
      <c r="AO73" s="91" t="n">
        <f aca="false">IFERROR(AN73/AN$5,0)</f>
        <v>0</v>
      </c>
      <c r="AQ73" s="93" t="n">
        <f aca="false">AN73/$AR$1</f>
        <v>0</v>
      </c>
      <c r="AR73" s="94" t="n">
        <f aca="false">IFERROR(AQ73/AQ$5,0)</f>
        <v>0</v>
      </c>
      <c r="AT73" s="111"/>
    </row>
    <row r="74" customFormat="false" ht="15.75" hidden="true" customHeight="true" outlineLevel="1" collapsed="false">
      <c r="B74" s="89" t="s">
        <v>95</v>
      </c>
      <c r="D74" s="75" t="n">
        <f aca="false">SUMIFS('Dados Mov Financeira'!$N:$N,'Dados Mov Financeira'!$O:$O,'DRE 2019'!$B74,'Dados Mov Financeira'!$A:$A,'DRE 2019'!D$1)</f>
        <v>0</v>
      </c>
      <c r="E74" s="91" t="n">
        <f aca="false">IFERROR(D74/D$5,0)</f>
        <v>0</v>
      </c>
      <c r="G74" s="75" t="n">
        <f aca="false">SUMIFS('Dados Mov Financeira'!$N:$N,'Dados Mov Financeira'!$O:$O,'DRE 2019'!$B74,'Dados Mov Financeira'!$A:$A,'DRE 2019'!G$1)</f>
        <v>0</v>
      </c>
      <c r="H74" s="91" t="n">
        <f aca="false">IFERROR(G74/G$5,0)</f>
        <v>0</v>
      </c>
      <c r="J74" s="75" t="n">
        <f aca="false">SUMIFS('Dados Mov Financeira'!$N:$N,'Dados Mov Financeira'!$O:$O,'DRE 2019'!$B74,'Dados Mov Financeira'!$A:$A,'DRE 2019'!J$1)</f>
        <v>0</v>
      </c>
      <c r="K74" s="91" t="n">
        <f aca="false">IFERROR(J74/J$5,0)</f>
        <v>0</v>
      </c>
      <c r="M74" s="75" t="n">
        <f aca="false">SUMIFS('Dados Mov Financeira'!$N:$N,'Dados Mov Financeira'!$O:$O,'DRE 2019'!$B74,'Dados Mov Financeira'!$A:$A,'DRE 2019'!M$1)</f>
        <v>0</v>
      </c>
      <c r="N74" s="91" t="n">
        <f aca="false">IFERROR(M74/M$5,0)</f>
        <v>0</v>
      </c>
      <c r="P74" s="75" t="n">
        <f aca="false">SUMIFS('Dados Mov Financeira'!$N:$N,'Dados Mov Financeira'!$O:$O,'DRE 2019'!$B74,'Dados Mov Financeira'!$A:$A,'DRE 2019'!P$1)</f>
        <v>0</v>
      </c>
      <c r="Q74" s="91" t="n">
        <f aca="false">IFERROR(P74/P$5,0)</f>
        <v>0</v>
      </c>
      <c r="S74" s="75" t="n">
        <f aca="false">SUMIFS('Dados Mov Financeira'!$N:$N,'Dados Mov Financeira'!$O:$O,'DRE 2019'!$B74,'Dados Mov Financeira'!$A:$A,'DRE 2019'!S$1)</f>
        <v>0</v>
      </c>
      <c r="T74" s="91" t="n">
        <f aca="false">IFERROR(S74/S$5,0)</f>
        <v>0</v>
      </c>
      <c r="V74" s="75" t="n">
        <f aca="false">SUMIFS('Dados Mov Financeira'!$N:$N,'Dados Mov Financeira'!$O:$O,'DRE 2019'!$B74,'Dados Mov Financeira'!$A:$A,'DRE 2019'!V$1)</f>
        <v>0</v>
      </c>
      <c r="W74" s="91" t="n">
        <f aca="false">IFERROR(V74/V$5,0)</f>
        <v>0</v>
      </c>
      <c r="Y74" s="75" t="n">
        <f aca="false">SUMIFS('Dados Mov Financeira'!$N:$N,'Dados Mov Financeira'!$O:$O,'DRE 2019'!$B74,'Dados Mov Financeira'!$A:$A,'DRE 2019'!Y$1)</f>
        <v>0</v>
      </c>
      <c r="Z74" s="91" t="n">
        <f aca="false">IFERROR(Y74/Y$5,0)</f>
        <v>0</v>
      </c>
      <c r="AB74" s="75" t="n">
        <f aca="false">SUMIFS('Dados Mov Financeira'!$N:$N,'Dados Mov Financeira'!$O:$O,'DRE 2019'!$B74,'Dados Mov Financeira'!$A:$A,'DRE 2019'!AB$1)</f>
        <v>0</v>
      </c>
      <c r="AC74" s="91" t="n">
        <f aca="false">IFERROR(AB74/AB$5,0)</f>
        <v>0</v>
      </c>
      <c r="AE74" s="75" t="n">
        <f aca="false">SUMIFS('Dados Mov Financeira'!$N:$N,'Dados Mov Financeira'!$O:$O,'DRE 2019'!$B74,'Dados Mov Financeira'!$A:$A,'DRE 2019'!AE$1)</f>
        <v>0</v>
      </c>
      <c r="AF74" s="91" t="n">
        <f aca="false">IFERROR(AE74/AE$5,0)</f>
        <v>0</v>
      </c>
      <c r="AH74" s="75" t="n">
        <f aca="false">SUMIFS('Dados Mov Financeira'!$N:$N,'Dados Mov Financeira'!$O:$O,'DRE 2019'!$B74,'Dados Mov Financeira'!$A:$A,'DRE 2019'!AH$1)</f>
        <v>0</v>
      </c>
      <c r="AI74" s="91" t="n">
        <f aca="false">IFERROR(AH74/AH$5,0)</f>
        <v>0</v>
      </c>
      <c r="AK74" s="75" t="n">
        <f aca="false">SUMIFS('Dados Mov Financeira'!$N:$N,'Dados Mov Financeira'!$O:$O,'DRE 2019'!$B74,'Dados Mov Financeira'!$A:$A,'DRE 2019'!AK$1)</f>
        <v>0</v>
      </c>
      <c r="AL74" s="91" t="n">
        <f aca="false">IFERROR(AK74/AK$5,0)</f>
        <v>0</v>
      </c>
      <c r="AN74" s="92" t="n">
        <f aca="false">SUM(D74,G74,J74,M74,P74,S74,V74,Y74,AB74,AE74,AH74,AK74)</f>
        <v>0</v>
      </c>
      <c r="AO74" s="91" t="n">
        <f aca="false">IFERROR(AN74/AN$5,0)</f>
        <v>0</v>
      </c>
      <c r="AQ74" s="93" t="n">
        <f aca="false">AN74/$AR$1</f>
        <v>0</v>
      </c>
      <c r="AR74" s="94" t="n">
        <f aca="false">IFERROR(AQ74/AQ$5,0)</f>
        <v>0</v>
      </c>
      <c r="AT74" s="111"/>
    </row>
    <row r="75" customFormat="false" ht="15.75" hidden="true" customHeight="true" outlineLevel="1" collapsed="false">
      <c r="B75" s="89" t="s">
        <v>96</v>
      </c>
      <c r="D75" s="75" t="n">
        <f aca="false">SUMIFS('Dados Mov Financeira'!$N:$N,'Dados Mov Financeira'!$O:$O,'DRE 2019'!$B75,'Dados Mov Financeira'!$A:$A,'DRE 2019'!D$1)</f>
        <v>0</v>
      </c>
      <c r="E75" s="91" t="n">
        <f aca="false">IFERROR(D75/D$5,0)</f>
        <v>0</v>
      </c>
      <c r="G75" s="75" t="n">
        <f aca="false">SUMIFS('Dados Mov Financeira'!$N:$N,'Dados Mov Financeira'!$O:$O,'DRE 2019'!$B75,'Dados Mov Financeira'!$A:$A,'DRE 2019'!G$1)</f>
        <v>0</v>
      </c>
      <c r="H75" s="91" t="n">
        <f aca="false">IFERROR(G75/G$5,0)</f>
        <v>0</v>
      </c>
      <c r="J75" s="75" t="n">
        <f aca="false">SUMIFS('Dados Mov Financeira'!$N:$N,'Dados Mov Financeira'!$O:$O,'DRE 2019'!$B75,'Dados Mov Financeira'!$A:$A,'DRE 2019'!J$1)</f>
        <v>0</v>
      </c>
      <c r="K75" s="91" t="n">
        <f aca="false">IFERROR(J75/J$5,0)</f>
        <v>0</v>
      </c>
      <c r="M75" s="75" t="n">
        <f aca="false">SUMIFS('Dados Mov Financeira'!$N:$N,'Dados Mov Financeira'!$O:$O,'DRE 2019'!$B75,'Dados Mov Financeira'!$A:$A,'DRE 2019'!M$1)</f>
        <v>0</v>
      </c>
      <c r="N75" s="91" t="n">
        <f aca="false">IFERROR(M75/M$5,0)</f>
        <v>0</v>
      </c>
      <c r="P75" s="75" t="n">
        <f aca="false">SUMIFS('Dados Mov Financeira'!$N:$N,'Dados Mov Financeira'!$O:$O,'DRE 2019'!$B75,'Dados Mov Financeira'!$A:$A,'DRE 2019'!P$1)</f>
        <v>0</v>
      </c>
      <c r="Q75" s="91" t="n">
        <f aca="false">IFERROR(P75/P$5,0)</f>
        <v>0</v>
      </c>
      <c r="S75" s="75" t="n">
        <f aca="false">SUMIFS('Dados Mov Financeira'!$N:$N,'Dados Mov Financeira'!$O:$O,'DRE 2019'!$B75,'Dados Mov Financeira'!$A:$A,'DRE 2019'!S$1)</f>
        <v>0</v>
      </c>
      <c r="T75" s="91" t="n">
        <f aca="false">IFERROR(S75/S$5,0)</f>
        <v>0</v>
      </c>
      <c r="V75" s="75" t="n">
        <f aca="false">SUMIFS('Dados Mov Financeira'!$N:$N,'Dados Mov Financeira'!$O:$O,'DRE 2019'!$B75,'Dados Mov Financeira'!$A:$A,'DRE 2019'!V$1)</f>
        <v>0</v>
      </c>
      <c r="W75" s="91" t="n">
        <f aca="false">IFERROR(V75/V$5,0)</f>
        <v>0</v>
      </c>
      <c r="Y75" s="75" t="n">
        <f aca="false">SUMIFS('Dados Mov Financeira'!$N:$N,'Dados Mov Financeira'!$O:$O,'DRE 2019'!$B75,'Dados Mov Financeira'!$A:$A,'DRE 2019'!Y$1)</f>
        <v>0</v>
      </c>
      <c r="Z75" s="91" t="n">
        <f aca="false">IFERROR(Y75/Y$5,0)</f>
        <v>0</v>
      </c>
      <c r="AB75" s="75" t="n">
        <f aca="false">SUMIFS('Dados Mov Financeira'!$N:$N,'Dados Mov Financeira'!$O:$O,'DRE 2019'!$B75,'Dados Mov Financeira'!$A:$A,'DRE 2019'!AB$1)</f>
        <v>0</v>
      </c>
      <c r="AC75" s="91" t="n">
        <f aca="false">IFERROR(AB75/AB$5,0)</f>
        <v>0</v>
      </c>
      <c r="AE75" s="75" t="n">
        <f aca="false">SUMIFS('Dados Mov Financeira'!$N:$N,'Dados Mov Financeira'!$O:$O,'DRE 2019'!$B75,'Dados Mov Financeira'!$A:$A,'DRE 2019'!AE$1)</f>
        <v>0</v>
      </c>
      <c r="AF75" s="91" t="n">
        <f aca="false">IFERROR(AE75/AE$5,0)</f>
        <v>0</v>
      </c>
      <c r="AH75" s="75" t="n">
        <f aca="false">SUMIFS('Dados Mov Financeira'!$N:$N,'Dados Mov Financeira'!$O:$O,'DRE 2019'!$B75,'Dados Mov Financeira'!$A:$A,'DRE 2019'!AH$1)</f>
        <v>0</v>
      </c>
      <c r="AI75" s="91" t="n">
        <f aca="false">IFERROR(AH75/AH$5,0)</f>
        <v>0</v>
      </c>
      <c r="AK75" s="75" t="n">
        <f aca="false">SUMIFS('Dados Mov Financeira'!$N:$N,'Dados Mov Financeira'!$O:$O,'DRE 2019'!$B75,'Dados Mov Financeira'!$A:$A,'DRE 2019'!AK$1)</f>
        <v>0</v>
      </c>
      <c r="AL75" s="91" t="n">
        <f aca="false">IFERROR(AK75/AK$5,0)</f>
        <v>0</v>
      </c>
      <c r="AN75" s="92" t="n">
        <f aca="false">SUM(D75,G75,J75,M75,P75,S75,V75,Y75,AB75,AE75,AH75,AK75)</f>
        <v>0</v>
      </c>
      <c r="AO75" s="91" t="n">
        <f aca="false">IFERROR(AN75/AN$5,0)</f>
        <v>0</v>
      </c>
      <c r="AQ75" s="93" t="n">
        <f aca="false">AN75/$AR$1</f>
        <v>0</v>
      </c>
      <c r="AR75" s="94" t="n">
        <f aca="false">IFERROR(AQ75/AQ$5,0)</f>
        <v>0</v>
      </c>
      <c r="AT75" s="111"/>
    </row>
    <row r="76" customFormat="false" ht="15.75" hidden="true" customHeight="true" outlineLevel="1" collapsed="false">
      <c r="B76" s="89" t="s">
        <v>97</v>
      </c>
      <c r="D76" s="75" t="n">
        <f aca="false">SUMIFS('Dados Mov Financeira'!$N:$N,'Dados Mov Financeira'!$O:$O,'DRE 2019'!$B76,'Dados Mov Financeira'!$A:$A,'DRE 2019'!D$1)</f>
        <v>0</v>
      </c>
      <c r="E76" s="91" t="n">
        <f aca="false">IFERROR(D76/D$5,0)</f>
        <v>0</v>
      </c>
      <c r="G76" s="75" t="n">
        <f aca="false">SUMIFS('Dados Mov Financeira'!$N:$N,'Dados Mov Financeira'!$O:$O,'DRE 2019'!$B76,'Dados Mov Financeira'!$A:$A,'DRE 2019'!G$1)</f>
        <v>0</v>
      </c>
      <c r="H76" s="91" t="n">
        <f aca="false">IFERROR(G76/G$5,0)</f>
        <v>0</v>
      </c>
      <c r="J76" s="75" t="n">
        <f aca="false">SUMIFS('Dados Mov Financeira'!$N:$N,'Dados Mov Financeira'!$O:$O,'DRE 2019'!$B76,'Dados Mov Financeira'!$A:$A,'DRE 2019'!J$1)</f>
        <v>0</v>
      </c>
      <c r="K76" s="91" t="n">
        <f aca="false">IFERROR(J76/J$5,0)</f>
        <v>0</v>
      </c>
      <c r="M76" s="75" t="n">
        <f aca="false">SUMIFS('Dados Mov Financeira'!$N:$N,'Dados Mov Financeira'!$O:$O,'DRE 2019'!$B76,'Dados Mov Financeira'!$A:$A,'DRE 2019'!M$1)</f>
        <v>0</v>
      </c>
      <c r="N76" s="91" t="n">
        <f aca="false">IFERROR(M76/M$5,0)</f>
        <v>0</v>
      </c>
      <c r="P76" s="75" t="n">
        <f aca="false">SUMIFS('Dados Mov Financeira'!$N:$N,'Dados Mov Financeira'!$O:$O,'DRE 2019'!$B76,'Dados Mov Financeira'!$A:$A,'DRE 2019'!P$1)</f>
        <v>0</v>
      </c>
      <c r="Q76" s="91" t="n">
        <f aca="false">IFERROR(P76/P$5,0)</f>
        <v>0</v>
      </c>
      <c r="S76" s="75" t="n">
        <f aca="false">SUMIFS('Dados Mov Financeira'!$N:$N,'Dados Mov Financeira'!$O:$O,'DRE 2019'!$B76,'Dados Mov Financeira'!$A:$A,'DRE 2019'!S$1)</f>
        <v>0</v>
      </c>
      <c r="T76" s="91" t="n">
        <f aca="false">IFERROR(S76/S$5,0)</f>
        <v>0</v>
      </c>
      <c r="V76" s="75" t="n">
        <f aca="false">SUMIFS('Dados Mov Financeira'!$N:$N,'Dados Mov Financeira'!$O:$O,'DRE 2019'!$B76,'Dados Mov Financeira'!$A:$A,'DRE 2019'!V$1)</f>
        <v>0</v>
      </c>
      <c r="W76" s="91" t="n">
        <f aca="false">IFERROR(V76/V$5,0)</f>
        <v>0</v>
      </c>
      <c r="Y76" s="75" t="n">
        <f aca="false">SUMIFS('Dados Mov Financeira'!$N:$N,'Dados Mov Financeira'!$O:$O,'DRE 2019'!$B76,'Dados Mov Financeira'!$A:$A,'DRE 2019'!Y$1)</f>
        <v>0</v>
      </c>
      <c r="Z76" s="91" t="n">
        <f aca="false">IFERROR(Y76/Y$5,0)</f>
        <v>0</v>
      </c>
      <c r="AB76" s="75" t="n">
        <f aca="false">SUMIFS('Dados Mov Financeira'!$N:$N,'Dados Mov Financeira'!$O:$O,'DRE 2019'!$B76,'Dados Mov Financeira'!$A:$A,'DRE 2019'!AB$1)</f>
        <v>0</v>
      </c>
      <c r="AC76" s="91" t="n">
        <f aca="false">IFERROR(AB76/AB$5,0)</f>
        <v>0</v>
      </c>
      <c r="AE76" s="75" t="n">
        <f aca="false">SUMIFS('Dados Mov Financeira'!$N:$N,'Dados Mov Financeira'!$O:$O,'DRE 2019'!$B76,'Dados Mov Financeira'!$A:$A,'DRE 2019'!AE$1)</f>
        <v>0</v>
      </c>
      <c r="AF76" s="91" t="n">
        <f aca="false">IFERROR(AE76/AE$5,0)</f>
        <v>0</v>
      </c>
      <c r="AH76" s="75" t="n">
        <f aca="false">SUMIFS('Dados Mov Financeira'!$N:$N,'Dados Mov Financeira'!$O:$O,'DRE 2019'!$B76,'Dados Mov Financeira'!$A:$A,'DRE 2019'!AH$1)</f>
        <v>0</v>
      </c>
      <c r="AI76" s="91" t="n">
        <f aca="false">IFERROR(AH76/AH$5,0)</f>
        <v>0</v>
      </c>
      <c r="AK76" s="75" t="n">
        <f aca="false">SUMIFS('Dados Mov Financeira'!$N:$N,'Dados Mov Financeira'!$O:$O,'DRE 2019'!$B76,'Dados Mov Financeira'!$A:$A,'DRE 2019'!AK$1)</f>
        <v>0</v>
      </c>
      <c r="AL76" s="91" t="n">
        <f aca="false">IFERROR(AK76/AK$5,0)</f>
        <v>0</v>
      </c>
      <c r="AN76" s="92" t="n">
        <f aca="false">SUM(D76,G76,J76,M76,P76,S76,V76,Y76,AB76,AE76,AH76,AK76)</f>
        <v>0</v>
      </c>
      <c r="AO76" s="91" t="n">
        <f aca="false">IFERROR(AN76/AN$5,0)</f>
        <v>0</v>
      </c>
      <c r="AQ76" s="93" t="n">
        <f aca="false">AN76/$AR$1</f>
        <v>0</v>
      </c>
      <c r="AR76" s="94" t="n">
        <f aca="false">IFERROR(AQ76/AQ$5,0)</f>
        <v>0</v>
      </c>
      <c r="AT76" s="111"/>
    </row>
    <row r="77" s="63" customFormat="true" ht="14.25" hidden="false" customHeight="false" outlineLevel="0" collapsed="false">
      <c r="B77" s="106" t="s">
        <v>98</v>
      </c>
      <c r="D77" s="75" t="n">
        <f aca="false">SUM(D78:D94)</f>
        <v>0</v>
      </c>
      <c r="E77" s="88" t="n">
        <f aca="false">IFERROR(D77/D$5,0)</f>
        <v>0</v>
      </c>
      <c r="G77" s="75" t="n">
        <f aca="false">SUM(G78:G94)</f>
        <v>0</v>
      </c>
      <c r="H77" s="88" t="n">
        <f aca="false">IFERROR(G77/G$5,0)</f>
        <v>0</v>
      </c>
      <c r="J77" s="75" t="n">
        <f aca="false">SUM(J78:J94)</f>
        <v>0</v>
      </c>
      <c r="K77" s="88" t="n">
        <f aca="false">IFERROR(J77/J$5,0)</f>
        <v>0</v>
      </c>
      <c r="M77" s="75" t="n">
        <f aca="false">SUM(M78:M94)</f>
        <v>0</v>
      </c>
      <c r="N77" s="88" t="n">
        <f aca="false">IFERROR(M77/M$5,0)</f>
        <v>0</v>
      </c>
      <c r="P77" s="75" t="n">
        <f aca="false">SUM(P78:P94)</f>
        <v>0</v>
      </c>
      <c r="Q77" s="88" t="n">
        <f aca="false">IFERROR(P77/P$5,0)</f>
        <v>0</v>
      </c>
      <c r="S77" s="75" t="n">
        <f aca="false">SUM(S78:S94)</f>
        <v>0</v>
      </c>
      <c r="T77" s="88" t="n">
        <f aca="false">IFERROR(S77/S$5,0)</f>
        <v>0</v>
      </c>
      <c r="V77" s="75" t="n">
        <f aca="false">SUM(V78:V94)</f>
        <v>0</v>
      </c>
      <c r="W77" s="88" t="n">
        <f aca="false">IFERROR(V77/V$5,0)</f>
        <v>0</v>
      </c>
      <c r="Y77" s="75" t="n">
        <f aca="false">SUM(Y78:Y94)</f>
        <v>0</v>
      </c>
      <c r="Z77" s="88" t="n">
        <f aca="false">IFERROR(Y77/Y$5,0)</f>
        <v>0</v>
      </c>
      <c r="AB77" s="75" t="n">
        <f aca="false">SUM(AB78:AB94)</f>
        <v>0</v>
      </c>
      <c r="AC77" s="88" t="n">
        <f aca="false">IFERROR(AB77/AB$5,0)</f>
        <v>0</v>
      </c>
      <c r="AE77" s="75" t="n">
        <f aca="false">SUM(AE78:AE94)</f>
        <v>0</v>
      </c>
      <c r="AF77" s="88" t="n">
        <f aca="false">IFERROR(AE77/AE$5,0)</f>
        <v>0</v>
      </c>
      <c r="AH77" s="75" t="n">
        <f aca="false">SUM(AH78:AH94)</f>
        <v>0</v>
      </c>
      <c r="AI77" s="88" t="n">
        <f aca="false">IFERROR(AH77/AH$5,0)</f>
        <v>0</v>
      </c>
      <c r="AK77" s="75" t="n">
        <f aca="false">SUM(AK78:AK94)</f>
        <v>0</v>
      </c>
      <c r="AL77" s="88" t="n">
        <f aca="false">IFERROR(AK77/AK$5,0)</f>
        <v>0</v>
      </c>
      <c r="AN77" s="75" t="n">
        <f aca="false">SUM(D77,G77,J77,M77,P77,S77,V77,Y77,AB77,AE77,AH77,AK77)</f>
        <v>0</v>
      </c>
      <c r="AO77" s="88" t="n">
        <f aca="false">IFERROR(AN77/AN$5,0)</f>
        <v>0</v>
      </c>
      <c r="AQ77" s="77" t="n">
        <f aca="false">AN77/$AR$1</f>
        <v>0</v>
      </c>
      <c r="AR77" s="76" t="n">
        <f aca="false">IFERROR(AQ77/AQ$5,0)</f>
        <v>0</v>
      </c>
      <c r="AT77" s="112" t="n">
        <v>-0.09</v>
      </c>
    </row>
    <row r="78" customFormat="false" ht="14.25" hidden="true" customHeight="false" outlineLevel="1" collapsed="false">
      <c r="B78" s="89" t="s">
        <v>99</v>
      </c>
      <c r="D78" s="75" t="n">
        <f aca="false">SUMIFS('Dados Mov Financeira'!$N:$N,'Dados Mov Financeira'!$O:$O,'DRE 2019'!$B78,'Dados Mov Financeira'!$A:$A,'DRE 2019'!D$1)</f>
        <v>0</v>
      </c>
      <c r="E78" s="91" t="n">
        <f aca="false">IFERROR(D78/D$5,0)</f>
        <v>0</v>
      </c>
      <c r="G78" s="75" t="n">
        <f aca="false">SUMIFS('Dados Mov Financeira'!$N:$N,'Dados Mov Financeira'!$O:$O,'DRE 2019'!$B78,'Dados Mov Financeira'!$A:$A,'DRE 2019'!G$1)</f>
        <v>0</v>
      </c>
      <c r="H78" s="91" t="n">
        <f aca="false">IFERROR(G78/G$5,0)</f>
        <v>0</v>
      </c>
      <c r="J78" s="75" t="n">
        <f aca="false">SUMIFS('Dados Mov Financeira'!$N:$N,'Dados Mov Financeira'!$O:$O,'DRE 2019'!$B78,'Dados Mov Financeira'!$A:$A,'DRE 2019'!J$1)</f>
        <v>0</v>
      </c>
      <c r="K78" s="91" t="n">
        <f aca="false">IFERROR(J78/J$5,0)</f>
        <v>0</v>
      </c>
      <c r="M78" s="75" t="n">
        <f aca="false">SUMIFS('Dados Mov Financeira'!$N:$N,'Dados Mov Financeira'!$O:$O,'DRE 2019'!$B78,'Dados Mov Financeira'!$A:$A,'DRE 2019'!M$1)</f>
        <v>0</v>
      </c>
      <c r="N78" s="91" t="n">
        <f aca="false">IFERROR(M78/M$5,0)</f>
        <v>0</v>
      </c>
      <c r="P78" s="75" t="n">
        <f aca="false">SUMIFS('Dados Mov Financeira'!$N:$N,'Dados Mov Financeira'!$O:$O,'DRE 2019'!$B78,'Dados Mov Financeira'!$A:$A,'DRE 2019'!P$1)</f>
        <v>0</v>
      </c>
      <c r="Q78" s="91" t="n">
        <f aca="false">IFERROR(P78/P$5,0)</f>
        <v>0</v>
      </c>
      <c r="S78" s="75" t="n">
        <f aca="false">SUMIFS('Dados Mov Financeira'!$N:$N,'Dados Mov Financeira'!$O:$O,'DRE 2019'!$B78,'Dados Mov Financeira'!$A:$A,'DRE 2019'!S$1)</f>
        <v>0</v>
      </c>
      <c r="T78" s="91" t="n">
        <f aca="false">IFERROR(S78/S$5,0)</f>
        <v>0</v>
      </c>
      <c r="V78" s="75" t="n">
        <f aca="false">SUMIFS('Dados Mov Financeira'!$N:$N,'Dados Mov Financeira'!$O:$O,'DRE 2019'!$B78,'Dados Mov Financeira'!$A:$A,'DRE 2019'!V$1)</f>
        <v>0</v>
      </c>
      <c r="W78" s="91" t="n">
        <f aca="false">IFERROR(V78/V$5,0)</f>
        <v>0</v>
      </c>
      <c r="Y78" s="75" t="n">
        <f aca="false">SUMIFS('Dados Mov Financeira'!$N:$N,'Dados Mov Financeira'!$O:$O,'DRE 2019'!$B78,'Dados Mov Financeira'!$A:$A,'DRE 2019'!Y$1)</f>
        <v>0</v>
      </c>
      <c r="Z78" s="91" t="n">
        <f aca="false">IFERROR(Y78/Y$5,0)</f>
        <v>0</v>
      </c>
      <c r="AB78" s="75" t="n">
        <f aca="false">SUMIFS('Dados Mov Financeira'!$N:$N,'Dados Mov Financeira'!$O:$O,'DRE 2019'!$B78,'Dados Mov Financeira'!$A:$A,'DRE 2019'!AB$1)</f>
        <v>0</v>
      </c>
      <c r="AC78" s="91" t="n">
        <f aca="false">IFERROR(AB78/AB$5,0)</f>
        <v>0</v>
      </c>
      <c r="AE78" s="75" t="n">
        <f aca="false">SUMIFS('Dados Mov Financeira'!$N:$N,'Dados Mov Financeira'!$O:$O,'DRE 2019'!$B78,'Dados Mov Financeira'!$A:$A,'DRE 2019'!AE$1)</f>
        <v>0</v>
      </c>
      <c r="AF78" s="91" t="n">
        <f aca="false">IFERROR(AE78/AE$5,0)</f>
        <v>0</v>
      </c>
      <c r="AH78" s="75" t="n">
        <f aca="false">SUMIFS('Dados Mov Financeira'!$N:$N,'Dados Mov Financeira'!$O:$O,'DRE 2019'!$B78,'Dados Mov Financeira'!$A:$A,'DRE 2019'!AH$1)</f>
        <v>0</v>
      </c>
      <c r="AI78" s="91" t="n">
        <f aca="false">IFERROR(AH78/AH$5,0)</f>
        <v>0</v>
      </c>
      <c r="AK78" s="75" t="n">
        <f aca="false">SUMIFS('Dados Mov Financeira'!$N:$N,'Dados Mov Financeira'!$O:$O,'DRE 2019'!$B78,'Dados Mov Financeira'!$A:$A,'DRE 2019'!AK$1)</f>
        <v>0</v>
      </c>
      <c r="AL78" s="91" t="n">
        <f aca="false">IFERROR(AK78/AK$5,0)</f>
        <v>0</v>
      </c>
      <c r="AN78" s="92" t="n">
        <f aca="false">SUM(D78,G78,J78,M78,P78,S78,V78,Y78,AB78,AE78,AH78,AK78)</f>
        <v>0</v>
      </c>
      <c r="AO78" s="91" t="n">
        <f aca="false">IFERROR(AN78/AN$5,0)</f>
        <v>0</v>
      </c>
      <c r="AQ78" s="93" t="n">
        <f aca="false">AN78/$AR$1</f>
        <v>0</v>
      </c>
      <c r="AR78" s="94" t="n">
        <f aca="false">IFERROR(AQ78/AQ$5,0)</f>
        <v>0</v>
      </c>
      <c r="AT78" s="110"/>
    </row>
    <row r="79" customFormat="false" ht="14.25" hidden="true" customHeight="false" outlineLevel="1" collapsed="false">
      <c r="B79" s="89" t="s">
        <v>100</v>
      </c>
      <c r="D79" s="75" t="n">
        <f aca="false">SUMIFS('Dados Mov Financeira'!$N:$N,'Dados Mov Financeira'!$O:$O,'DRE 2019'!$B79,'Dados Mov Financeira'!$A:$A,'DRE 2019'!D$1)</f>
        <v>0</v>
      </c>
      <c r="E79" s="91" t="n">
        <f aca="false">IFERROR(D79/D$5,0)</f>
        <v>0</v>
      </c>
      <c r="G79" s="75" t="n">
        <f aca="false">SUMIFS('Dados Mov Financeira'!$N:$N,'Dados Mov Financeira'!$O:$O,'DRE 2019'!$B79,'Dados Mov Financeira'!$A:$A,'DRE 2019'!G$1)</f>
        <v>0</v>
      </c>
      <c r="H79" s="91" t="n">
        <f aca="false">IFERROR(G79/G$5,0)</f>
        <v>0</v>
      </c>
      <c r="J79" s="75" t="n">
        <f aca="false">SUMIFS('Dados Mov Financeira'!$N:$N,'Dados Mov Financeira'!$O:$O,'DRE 2019'!$B79,'Dados Mov Financeira'!$A:$A,'DRE 2019'!J$1)</f>
        <v>0</v>
      </c>
      <c r="K79" s="91" t="n">
        <f aca="false">IFERROR(J79/J$5,0)</f>
        <v>0</v>
      </c>
      <c r="M79" s="75" t="n">
        <f aca="false">SUMIFS('Dados Mov Financeira'!$N:$N,'Dados Mov Financeira'!$O:$O,'DRE 2019'!$B79,'Dados Mov Financeira'!$A:$A,'DRE 2019'!M$1)</f>
        <v>0</v>
      </c>
      <c r="N79" s="91" t="n">
        <f aca="false">IFERROR(M79/M$5,0)</f>
        <v>0</v>
      </c>
      <c r="P79" s="75" t="n">
        <f aca="false">SUMIFS('Dados Mov Financeira'!$N:$N,'Dados Mov Financeira'!$O:$O,'DRE 2019'!$B79,'Dados Mov Financeira'!$A:$A,'DRE 2019'!P$1)</f>
        <v>0</v>
      </c>
      <c r="Q79" s="91" t="n">
        <f aca="false">IFERROR(P79/P$5,0)</f>
        <v>0</v>
      </c>
      <c r="S79" s="75" t="n">
        <f aca="false">SUMIFS('Dados Mov Financeira'!$N:$N,'Dados Mov Financeira'!$O:$O,'DRE 2019'!$B79,'Dados Mov Financeira'!$A:$A,'DRE 2019'!S$1)</f>
        <v>0</v>
      </c>
      <c r="T79" s="91" t="n">
        <f aca="false">IFERROR(S79/S$5,0)</f>
        <v>0</v>
      </c>
      <c r="V79" s="75" t="n">
        <f aca="false">SUMIFS('Dados Mov Financeira'!$N:$N,'Dados Mov Financeira'!$O:$O,'DRE 2019'!$B79,'Dados Mov Financeira'!$A:$A,'DRE 2019'!V$1)</f>
        <v>0</v>
      </c>
      <c r="W79" s="91" t="n">
        <f aca="false">IFERROR(V79/V$5,0)</f>
        <v>0</v>
      </c>
      <c r="Y79" s="75" t="n">
        <f aca="false">SUMIFS('Dados Mov Financeira'!$N:$N,'Dados Mov Financeira'!$O:$O,'DRE 2019'!$B79,'Dados Mov Financeira'!$A:$A,'DRE 2019'!Y$1)</f>
        <v>0</v>
      </c>
      <c r="Z79" s="91" t="n">
        <f aca="false">IFERROR(Y79/Y$5,0)</f>
        <v>0</v>
      </c>
      <c r="AB79" s="75" t="n">
        <f aca="false">SUMIFS('Dados Mov Financeira'!$N:$N,'Dados Mov Financeira'!$O:$O,'DRE 2019'!$B79,'Dados Mov Financeira'!$A:$A,'DRE 2019'!AB$1)</f>
        <v>0</v>
      </c>
      <c r="AC79" s="91" t="n">
        <f aca="false">IFERROR(AB79/AB$5,0)</f>
        <v>0</v>
      </c>
      <c r="AE79" s="75" t="n">
        <f aca="false">SUMIFS('Dados Mov Financeira'!$N:$N,'Dados Mov Financeira'!$O:$O,'DRE 2019'!$B79,'Dados Mov Financeira'!$A:$A,'DRE 2019'!AE$1)</f>
        <v>0</v>
      </c>
      <c r="AF79" s="91" t="n">
        <f aca="false">IFERROR(AE79/AE$5,0)</f>
        <v>0</v>
      </c>
      <c r="AH79" s="75" t="n">
        <f aca="false">SUMIFS('Dados Mov Financeira'!$N:$N,'Dados Mov Financeira'!$O:$O,'DRE 2019'!$B79,'Dados Mov Financeira'!$A:$A,'DRE 2019'!AH$1)</f>
        <v>0</v>
      </c>
      <c r="AI79" s="91" t="n">
        <f aca="false">IFERROR(AH79/AH$5,0)</f>
        <v>0</v>
      </c>
      <c r="AK79" s="75" t="n">
        <f aca="false">SUMIFS('Dados Mov Financeira'!$N:$N,'Dados Mov Financeira'!$O:$O,'DRE 2019'!$B79,'Dados Mov Financeira'!$A:$A,'DRE 2019'!AK$1)</f>
        <v>0</v>
      </c>
      <c r="AL79" s="91" t="n">
        <f aca="false">IFERROR(AK79/AK$5,0)</f>
        <v>0</v>
      </c>
      <c r="AN79" s="92" t="n">
        <f aca="false">SUM(D79,G79,J79,M79,P79,S79,V79,Y79,AB79,AE79,AH79,AK79)</f>
        <v>0</v>
      </c>
      <c r="AO79" s="91" t="n">
        <f aca="false">IFERROR(AN79/AN$5,0)</f>
        <v>0</v>
      </c>
      <c r="AQ79" s="93" t="n">
        <f aca="false">AN79/$AR$1</f>
        <v>0</v>
      </c>
      <c r="AR79" s="94" t="n">
        <f aca="false">IFERROR(AQ79/AQ$5,0)</f>
        <v>0</v>
      </c>
      <c r="AT79" s="111"/>
    </row>
    <row r="80" customFormat="false" ht="14.25" hidden="true" customHeight="false" outlineLevel="1" collapsed="false">
      <c r="B80" s="89" t="s">
        <v>101</v>
      </c>
      <c r="D80" s="75" t="n">
        <f aca="false">SUMIFS('Dados Mov Financeira'!$N:$N,'Dados Mov Financeira'!$O:$O,'DRE 2019'!$B80,'Dados Mov Financeira'!$A:$A,'DRE 2019'!D$1)</f>
        <v>0</v>
      </c>
      <c r="E80" s="91" t="n">
        <f aca="false">IFERROR(D80/D$5,0)</f>
        <v>0</v>
      </c>
      <c r="G80" s="75" t="n">
        <f aca="false">SUMIFS('Dados Mov Financeira'!$N:$N,'Dados Mov Financeira'!$O:$O,'DRE 2019'!$B80,'Dados Mov Financeira'!$A:$A,'DRE 2019'!G$1)</f>
        <v>0</v>
      </c>
      <c r="H80" s="91" t="n">
        <f aca="false">IFERROR(G80/G$5,0)</f>
        <v>0</v>
      </c>
      <c r="J80" s="75" t="n">
        <f aca="false">SUMIFS('Dados Mov Financeira'!$N:$N,'Dados Mov Financeira'!$O:$O,'DRE 2019'!$B80,'Dados Mov Financeira'!$A:$A,'DRE 2019'!J$1)</f>
        <v>0</v>
      </c>
      <c r="K80" s="91" t="n">
        <f aca="false">IFERROR(J80/J$5,0)</f>
        <v>0</v>
      </c>
      <c r="M80" s="75" t="n">
        <f aca="false">SUMIFS('Dados Mov Financeira'!$N:$N,'Dados Mov Financeira'!$O:$O,'DRE 2019'!$B80,'Dados Mov Financeira'!$A:$A,'DRE 2019'!M$1)</f>
        <v>0</v>
      </c>
      <c r="N80" s="91" t="n">
        <f aca="false">IFERROR(M80/M$5,0)</f>
        <v>0</v>
      </c>
      <c r="P80" s="75" t="n">
        <f aca="false">SUMIFS('Dados Mov Financeira'!$N:$N,'Dados Mov Financeira'!$O:$O,'DRE 2019'!$B80,'Dados Mov Financeira'!$A:$A,'DRE 2019'!P$1)</f>
        <v>0</v>
      </c>
      <c r="Q80" s="91" t="n">
        <f aca="false">IFERROR(P80/P$5,0)</f>
        <v>0</v>
      </c>
      <c r="S80" s="75" t="n">
        <f aca="false">SUMIFS('Dados Mov Financeira'!$N:$N,'Dados Mov Financeira'!$O:$O,'DRE 2019'!$B80,'Dados Mov Financeira'!$A:$A,'DRE 2019'!S$1)</f>
        <v>0</v>
      </c>
      <c r="T80" s="91" t="n">
        <f aca="false">IFERROR(S80/S$5,0)</f>
        <v>0</v>
      </c>
      <c r="V80" s="75" t="n">
        <f aca="false">SUMIFS('Dados Mov Financeira'!$N:$N,'Dados Mov Financeira'!$O:$O,'DRE 2019'!$B80,'Dados Mov Financeira'!$A:$A,'DRE 2019'!V$1)</f>
        <v>0</v>
      </c>
      <c r="W80" s="91" t="n">
        <f aca="false">IFERROR(V80/V$5,0)</f>
        <v>0</v>
      </c>
      <c r="Y80" s="75" t="n">
        <f aca="false">SUMIFS('Dados Mov Financeira'!$N:$N,'Dados Mov Financeira'!$O:$O,'DRE 2019'!$B80,'Dados Mov Financeira'!$A:$A,'DRE 2019'!Y$1)</f>
        <v>0</v>
      </c>
      <c r="Z80" s="91" t="n">
        <f aca="false">IFERROR(Y80/Y$5,0)</f>
        <v>0</v>
      </c>
      <c r="AB80" s="75" t="n">
        <f aca="false">SUMIFS('Dados Mov Financeira'!$N:$N,'Dados Mov Financeira'!$O:$O,'DRE 2019'!$B80,'Dados Mov Financeira'!$A:$A,'DRE 2019'!AB$1)</f>
        <v>0</v>
      </c>
      <c r="AC80" s="91" t="n">
        <f aca="false">IFERROR(AB80/AB$5,0)</f>
        <v>0</v>
      </c>
      <c r="AE80" s="75" t="n">
        <f aca="false">SUMIFS('Dados Mov Financeira'!$N:$N,'Dados Mov Financeira'!$O:$O,'DRE 2019'!$B80,'Dados Mov Financeira'!$A:$A,'DRE 2019'!AE$1)</f>
        <v>0</v>
      </c>
      <c r="AF80" s="91" t="n">
        <f aca="false">IFERROR(AE80/AE$5,0)</f>
        <v>0</v>
      </c>
      <c r="AH80" s="75" t="n">
        <f aca="false">SUMIFS('Dados Mov Financeira'!$N:$N,'Dados Mov Financeira'!$O:$O,'DRE 2019'!$B80,'Dados Mov Financeira'!$A:$A,'DRE 2019'!AH$1)</f>
        <v>0</v>
      </c>
      <c r="AI80" s="91" t="n">
        <f aca="false">IFERROR(AH80/AH$5,0)</f>
        <v>0</v>
      </c>
      <c r="AK80" s="75" t="n">
        <f aca="false">SUMIFS('Dados Mov Financeira'!$N:$N,'Dados Mov Financeira'!$O:$O,'DRE 2019'!$B80,'Dados Mov Financeira'!$A:$A,'DRE 2019'!AK$1)</f>
        <v>0</v>
      </c>
      <c r="AL80" s="91" t="n">
        <f aca="false">IFERROR(AK80/AK$5,0)</f>
        <v>0</v>
      </c>
      <c r="AN80" s="92" t="n">
        <f aca="false">SUM(D80,G80,J80,M80,P80,S80,V80,Y80,AB80,AE80,AH80,AK80)</f>
        <v>0</v>
      </c>
      <c r="AO80" s="91" t="n">
        <f aca="false">IFERROR(AN80/AN$5,0)</f>
        <v>0</v>
      </c>
      <c r="AQ80" s="93" t="n">
        <f aca="false">AN80/$AR$1</f>
        <v>0</v>
      </c>
      <c r="AR80" s="94" t="n">
        <f aca="false">IFERROR(AQ80/AQ$5,0)</f>
        <v>0</v>
      </c>
      <c r="AT80" s="111"/>
    </row>
    <row r="81" customFormat="false" ht="14.25" hidden="true" customHeight="false" outlineLevel="1" collapsed="false">
      <c r="B81" s="89" t="s">
        <v>102</v>
      </c>
      <c r="D81" s="75" t="n">
        <f aca="false">SUMIFS('Dados Mov Financeira'!$N:$N,'Dados Mov Financeira'!$O:$O,'DRE 2019'!$B81,'Dados Mov Financeira'!$A:$A,'DRE 2019'!D$1)</f>
        <v>0</v>
      </c>
      <c r="E81" s="91" t="n">
        <f aca="false">IFERROR(D81/D$5,0)</f>
        <v>0</v>
      </c>
      <c r="G81" s="75" t="n">
        <f aca="false">SUMIFS('Dados Mov Financeira'!$N:$N,'Dados Mov Financeira'!$O:$O,'DRE 2019'!$B81,'Dados Mov Financeira'!$A:$A,'DRE 2019'!G$1)</f>
        <v>0</v>
      </c>
      <c r="H81" s="91" t="n">
        <f aca="false">IFERROR(G81/G$5,0)</f>
        <v>0</v>
      </c>
      <c r="J81" s="75" t="n">
        <f aca="false">SUMIFS('Dados Mov Financeira'!$N:$N,'Dados Mov Financeira'!$O:$O,'DRE 2019'!$B81,'Dados Mov Financeira'!$A:$A,'DRE 2019'!J$1)</f>
        <v>0</v>
      </c>
      <c r="K81" s="91" t="n">
        <f aca="false">IFERROR(J81/J$5,0)</f>
        <v>0</v>
      </c>
      <c r="M81" s="75" t="n">
        <f aca="false">SUMIFS('Dados Mov Financeira'!$N:$N,'Dados Mov Financeira'!$O:$O,'DRE 2019'!$B81,'Dados Mov Financeira'!$A:$A,'DRE 2019'!M$1)</f>
        <v>0</v>
      </c>
      <c r="N81" s="91" t="n">
        <f aca="false">IFERROR(M81/M$5,0)</f>
        <v>0</v>
      </c>
      <c r="P81" s="75" t="n">
        <f aca="false">SUMIFS('Dados Mov Financeira'!$N:$N,'Dados Mov Financeira'!$O:$O,'DRE 2019'!$B81,'Dados Mov Financeira'!$A:$A,'DRE 2019'!P$1)</f>
        <v>0</v>
      </c>
      <c r="Q81" s="91" t="n">
        <f aca="false">IFERROR(P81/P$5,0)</f>
        <v>0</v>
      </c>
      <c r="S81" s="75" t="n">
        <f aca="false">SUMIFS('Dados Mov Financeira'!$N:$N,'Dados Mov Financeira'!$O:$O,'DRE 2019'!$B81,'Dados Mov Financeira'!$A:$A,'DRE 2019'!S$1)</f>
        <v>0</v>
      </c>
      <c r="T81" s="91" t="n">
        <f aca="false">IFERROR(S81/S$5,0)</f>
        <v>0</v>
      </c>
      <c r="V81" s="75" t="n">
        <f aca="false">SUMIFS('Dados Mov Financeira'!$N:$N,'Dados Mov Financeira'!$O:$O,'DRE 2019'!$B81,'Dados Mov Financeira'!$A:$A,'DRE 2019'!V$1)</f>
        <v>0</v>
      </c>
      <c r="W81" s="91" t="n">
        <f aca="false">IFERROR(V81/V$5,0)</f>
        <v>0</v>
      </c>
      <c r="Y81" s="75" t="n">
        <f aca="false">SUMIFS('Dados Mov Financeira'!$N:$N,'Dados Mov Financeira'!$O:$O,'DRE 2019'!$B81,'Dados Mov Financeira'!$A:$A,'DRE 2019'!Y$1)</f>
        <v>0</v>
      </c>
      <c r="Z81" s="91" t="n">
        <f aca="false">IFERROR(Y81/Y$5,0)</f>
        <v>0</v>
      </c>
      <c r="AB81" s="75" t="n">
        <f aca="false">SUMIFS('Dados Mov Financeira'!$N:$N,'Dados Mov Financeira'!$O:$O,'DRE 2019'!$B81,'Dados Mov Financeira'!$A:$A,'DRE 2019'!AB$1)</f>
        <v>0</v>
      </c>
      <c r="AC81" s="91" t="n">
        <f aca="false">IFERROR(AB81/AB$5,0)</f>
        <v>0</v>
      </c>
      <c r="AE81" s="75" t="n">
        <f aca="false">SUMIFS('Dados Mov Financeira'!$N:$N,'Dados Mov Financeira'!$O:$O,'DRE 2019'!$B81,'Dados Mov Financeira'!$A:$A,'DRE 2019'!AE$1)</f>
        <v>0</v>
      </c>
      <c r="AF81" s="91" t="n">
        <f aca="false">IFERROR(AE81/AE$5,0)</f>
        <v>0</v>
      </c>
      <c r="AH81" s="75" t="n">
        <f aca="false">SUMIFS('Dados Mov Financeira'!$N:$N,'Dados Mov Financeira'!$O:$O,'DRE 2019'!$B81,'Dados Mov Financeira'!$A:$A,'DRE 2019'!AH$1)</f>
        <v>0</v>
      </c>
      <c r="AI81" s="91" t="n">
        <f aca="false">IFERROR(AH81/AH$5,0)</f>
        <v>0</v>
      </c>
      <c r="AK81" s="75" t="n">
        <f aca="false">SUMIFS('Dados Mov Financeira'!$N:$N,'Dados Mov Financeira'!$O:$O,'DRE 2019'!$B81,'Dados Mov Financeira'!$A:$A,'DRE 2019'!AK$1)</f>
        <v>0</v>
      </c>
      <c r="AL81" s="91" t="n">
        <f aca="false">IFERROR(AK81/AK$5,0)</f>
        <v>0</v>
      </c>
      <c r="AN81" s="92" t="n">
        <f aca="false">SUM(D81,G81,J81,M81,P81,S81,V81,Y81,AB81,AE81,AH81,AK81)</f>
        <v>0</v>
      </c>
      <c r="AO81" s="91" t="n">
        <f aca="false">IFERROR(AN81/AN$5,0)</f>
        <v>0</v>
      </c>
      <c r="AQ81" s="93" t="n">
        <f aca="false">AN81/$AR$1</f>
        <v>0</v>
      </c>
      <c r="AR81" s="94" t="n">
        <f aca="false">IFERROR(AQ81/AQ$5,0)</f>
        <v>0</v>
      </c>
      <c r="AT81" s="111"/>
      <c r="AU81" s="97"/>
    </row>
    <row r="82" customFormat="false" ht="14.25" hidden="true" customHeight="false" outlineLevel="1" collapsed="false">
      <c r="B82" s="89" t="s">
        <v>103</v>
      </c>
      <c r="D82" s="75" t="n">
        <f aca="false">SUMIFS('Dados Mov Financeira'!$N:$N,'Dados Mov Financeira'!$O:$O,'DRE 2019'!$B82,'Dados Mov Financeira'!$A:$A,'DRE 2019'!D$1)</f>
        <v>0</v>
      </c>
      <c r="E82" s="91" t="n">
        <f aca="false">IFERROR(D82/D$5,0)</f>
        <v>0</v>
      </c>
      <c r="G82" s="75" t="n">
        <f aca="false">SUMIFS('Dados Mov Financeira'!$N:$N,'Dados Mov Financeira'!$O:$O,'DRE 2019'!$B82,'Dados Mov Financeira'!$A:$A,'DRE 2019'!G$1)</f>
        <v>0</v>
      </c>
      <c r="H82" s="91" t="n">
        <f aca="false">IFERROR(G82/G$5,0)</f>
        <v>0</v>
      </c>
      <c r="J82" s="75" t="n">
        <f aca="false">SUMIFS('Dados Mov Financeira'!$N:$N,'Dados Mov Financeira'!$O:$O,'DRE 2019'!$B82,'Dados Mov Financeira'!$A:$A,'DRE 2019'!J$1)</f>
        <v>0</v>
      </c>
      <c r="K82" s="91" t="n">
        <f aca="false">IFERROR(J82/J$5,0)</f>
        <v>0</v>
      </c>
      <c r="M82" s="75" t="n">
        <f aca="false">SUMIFS('Dados Mov Financeira'!$N:$N,'Dados Mov Financeira'!$O:$O,'DRE 2019'!$B82,'Dados Mov Financeira'!$A:$A,'DRE 2019'!M$1)</f>
        <v>0</v>
      </c>
      <c r="N82" s="91" t="n">
        <f aca="false">IFERROR(M82/M$5,0)</f>
        <v>0</v>
      </c>
      <c r="P82" s="75" t="n">
        <f aca="false">SUMIFS('Dados Mov Financeira'!$N:$N,'Dados Mov Financeira'!$O:$O,'DRE 2019'!$B82,'Dados Mov Financeira'!$A:$A,'DRE 2019'!P$1)</f>
        <v>0</v>
      </c>
      <c r="Q82" s="91" t="n">
        <f aca="false">IFERROR(P82/P$5,0)</f>
        <v>0</v>
      </c>
      <c r="S82" s="75" t="n">
        <f aca="false">SUMIFS('Dados Mov Financeira'!$N:$N,'Dados Mov Financeira'!$O:$O,'DRE 2019'!$B82,'Dados Mov Financeira'!$A:$A,'DRE 2019'!S$1)</f>
        <v>0</v>
      </c>
      <c r="T82" s="91" t="n">
        <f aca="false">IFERROR(S82/S$5,0)</f>
        <v>0</v>
      </c>
      <c r="V82" s="75" t="n">
        <f aca="false">SUMIFS('Dados Mov Financeira'!$N:$N,'Dados Mov Financeira'!$O:$O,'DRE 2019'!$B82,'Dados Mov Financeira'!$A:$A,'DRE 2019'!V$1)</f>
        <v>0</v>
      </c>
      <c r="W82" s="91" t="n">
        <f aca="false">IFERROR(V82/V$5,0)</f>
        <v>0</v>
      </c>
      <c r="Y82" s="75" t="n">
        <f aca="false">SUMIFS('Dados Mov Financeira'!$N:$N,'Dados Mov Financeira'!$O:$O,'DRE 2019'!$B82,'Dados Mov Financeira'!$A:$A,'DRE 2019'!Y$1)</f>
        <v>0</v>
      </c>
      <c r="Z82" s="91" t="n">
        <f aca="false">IFERROR(Y82/Y$5,0)</f>
        <v>0</v>
      </c>
      <c r="AB82" s="75" t="n">
        <f aca="false">SUMIFS('Dados Mov Financeira'!$N:$N,'Dados Mov Financeira'!$O:$O,'DRE 2019'!$B82,'Dados Mov Financeira'!$A:$A,'DRE 2019'!AB$1)</f>
        <v>0</v>
      </c>
      <c r="AC82" s="91" t="n">
        <f aca="false">IFERROR(AB82/AB$5,0)</f>
        <v>0</v>
      </c>
      <c r="AE82" s="75" t="n">
        <f aca="false">SUMIFS('Dados Mov Financeira'!$N:$N,'Dados Mov Financeira'!$O:$O,'DRE 2019'!$B82,'Dados Mov Financeira'!$A:$A,'DRE 2019'!AE$1)</f>
        <v>0</v>
      </c>
      <c r="AF82" s="91" t="n">
        <f aca="false">IFERROR(AE82/AE$5,0)</f>
        <v>0</v>
      </c>
      <c r="AH82" s="75" t="n">
        <f aca="false">SUMIFS('Dados Mov Financeira'!$N:$N,'Dados Mov Financeira'!$O:$O,'DRE 2019'!$B82,'Dados Mov Financeira'!$A:$A,'DRE 2019'!AH$1)</f>
        <v>0</v>
      </c>
      <c r="AI82" s="91" t="n">
        <f aca="false">IFERROR(AH82/AH$5,0)</f>
        <v>0</v>
      </c>
      <c r="AK82" s="75" t="n">
        <f aca="false">SUMIFS('Dados Mov Financeira'!$N:$N,'Dados Mov Financeira'!$O:$O,'DRE 2019'!$B82,'Dados Mov Financeira'!$A:$A,'DRE 2019'!AK$1)</f>
        <v>0</v>
      </c>
      <c r="AL82" s="91" t="n">
        <f aca="false">IFERROR(AK82/AK$5,0)</f>
        <v>0</v>
      </c>
      <c r="AN82" s="92" t="n">
        <f aca="false">SUM(D82,G82,J82,M82,P82,S82,V82,Y82,AB82,AE82,AH82,AK82)</f>
        <v>0</v>
      </c>
      <c r="AO82" s="91" t="n">
        <f aca="false">IFERROR(AN82/AN$5,0)</f>
        <v>0</v>
      </c>
      <c r="AQ82" s="93" t="n">
        <f aca="false">AN82/$AR$1</f>
        <v>0</v>
      </c>
      <c r="AR82" s="94" t="n">
        <f aca="false">IFERROR(AQ82/AQ$5,0)</f>
        <v>0</v>
      </c>
      <c r="AT82" s="111"/>
      <c r="AU82" s="113"/>
    </row>
    <row r="83" customFormat="false" ht="14.25" hidden="true" customHeight="false" outlineLevel="1" collapsed="false">
      <c r="B83" s="89" t="s">
        <v>104</v>
      </c>
      <c r="D83" s="75" t="n">
        <f aca="false">SUMIFS('Dados Mov Financeira'!$N:$N,'Dados Mov Financeira'!$O:$O,'DRE 2019'!$B83,'Dados Mov Financeira'!$A:$A,'DRE 2019'!D$1)</f>
        <v>0</v>
      </c>
      <c r="E83" s="91" t="n">
        <f aca="false">IFERROR(D83/D$5,0)</f>
        <v>0</v>
      </c>
      <c r="G83" s="75" t="n">
        <f aca="false">SUMIFS('Dados Mov Financeira'!$N:$N,'Dados Mov Financeira'!$O:$O,'DRE 2019'!$B83,'Dados Mov Financeira'!$A:$A,'DRE 2019'!G$1)</f>
        <v>0</v>
      </c>
      <c r="H83" s="91" t="n">
        <f aca="false">IFERROR(G83/G$5,0)</f>
        <v>0</v>
      </c>
      <c r="J83" s="75" t="n">
        <f aca="false">SUMIFS('Dados Mov Financeira'!$N:$N,'Dados Mov Financeira'!$O:$O,'DRE 2019'!$B83,'Dados Mov Financeira'!$A:$A,'DRE 2019'!J$1)</f>
        <v>0</v>
      </c>
      <c r="K83" s="91" t="n">
        <f aca="false">IFERROR(J83/J$5,0)</f>
        <v>0</v>
      </c>
      <c r="M83" s="75" t="n">
        <f aca="false">SUMIFS('Dados Mov Financeira'!$N:$N,'Dados Mov Financeira'!$O:$O,'DRE 2019'!$B83,'Dados Mov Financeira'!$A:$A,'DRE 2019'!M$1)</f>
        <v>0</v>
      </c>
      <c r="N83" s="91" t="n">
        <f aca="false">IFERROR(M83/M$5,0)</f>
        <v>0</v>
      </c>
      <c r="P83" s="75" t="n">
        <f aca="false">SUMIFS('Dados Mov Financeira'!$N:$N,'Dados Mov Financeira'!$O:$O,'DRE 2019'!$B83,'Dados Mov Financeira'!$A:$A,'DRE 2019'!P$1)</f>
        <v>0</v>
      </c>
      <c r="Q83" s="91" t="n">
        <f aca="false">IFERROR(P83/P$5,0)</f>
        <v>0</v>
      </c>
      <c r="S83" s="75" t="n">
        <f aca="false">SUMIFS('Dados Mov Financeira'!$N:$N,'Dados Mov Financeira'!$O:$O,'DRE 2019'!$B83,'Dados Mov Financeira'!$A:$A,'DRE 2019'!S$1)</f>
        <v>0</v>
      </c>
      <c r="T83" s="91" t="n">
        <f aca="false">IFERROR(S83/S$5,0)</f>
        <v>0</v>
      </c>
      <c r="V83" s="75" t="n">
        <f aca="false">SUMIFS('Dados Mov Financeira'!$N:$N,'Dados Mov Financeira'!$O:$O,'DRE 2019'!$B83,'Dados Mov Financeira'!$A:$A,'DRE 2019'!V$1)</f>
        <v>0</v>
      </c>
      <c r="W83" s="91" t="n">
        <f aca="false">IFERROR(V83/V$5,0)</f>
        <v>0</v>
      </c>
      <c r="Y83" s="75" t="n">
        <f aca="false">SUMIFS('Dados Mov Financeira'!$N:$N,'Dados Mov Financeira'!$O:$O,'DRE 2019'!$B83,'Dados Mov Financeira'!$A:$A,'DRE 2019'!Y$1)</f>
        <v>0</v>
      </c>
      <c r="Z83" s="91" t="n">
        <f aca="false">IFERROR(Y83/Y$5,0)</f>
        <v>0</v>
      </c>
      <c r="AB83" s="75" t="n">
        <f aca="false">SUMIFS('Dados Mov Financeira'!$N:$N,'Dados Mov Financeira'!$O:$O,'DRE 2019'!$B83,'Dados Mov Financeira'!$A:$A,'DRE 2019'!AB$1)</f>
        <v>0</v>
      </c>
      <c r="AC83" s="91" t="n">
        <f aca="false">IFERROR(AB83/AB$5,0)</f>
        <v>0</v>
      </c>
      <c r="AE83" s="75" t="n">
        <f aca="false">SUMIFS('Dados Mov Financeira'!$N:$N,'Dados Mov Financeira'!$O:$O,'DRE 2019'!$B83,'Dados Mov Financeira'!$A:$A,'DRE 2019'!AE$1)</f>
        <v>0</v>
      </c>
      <c r="AF83" s="91" t="n">
        <f aca="false">IFERROR(AE83/AE$5,0)</f>
        <v>0</v>
      </c>
      <c r="AH83" s="75" t="n">
        <f aca="false">SUMIFS('Dados Mov Financeira'!$N:$N,'Dados Mov Financeira'!$O:$O,'DRE 2019'!$B83,'Dados Mov Financeira'!$A:$A,'DRE 2019'!AH$1)</f>
        <v>0</v>
      </c>
      <c r="AI83" s="91" t="n">
        <f aca="false">IFERROR(AH83/AH$5,0)</f>
        <v>0</v>
      </c>
      <c r="AK83" s="75" t="n">
        <f aca="false">SUMIFS('Dados Mov Financeira'!$N:$N,'Dados Mov Financeira'!$O:$O,'DRE 2019'!$B83,'Dados Mov Financeira'!$A:$A,'DRE 2019'!AK$1)</f>
        <v>0</v>
      </c>
      <c r="AL83" s="91" t="n">
        <f aca="false">IFERROR(AK83/AK$5,0)</f>
        <v>0</v>
      </c>
      <c r="AN83" s="92" t="n">
        <f aca="false">SUM(D83,G83,J83,M83,P83,S83,V83,Y83,AB83,AE83,AH83,AK83)</f>
        <v>0</v>
      </c>
      <c r="AO83" s="91" t="n">
        <f aca="false">IFERROR(AN83/AN$5,0)</f>
        <v>0</v>
      </c>
      <c r="AQ83" s="93" t="n">
        <f aca="false">AN83/$AR$1</f>
        <v>0</v>
      </c>
      <c r="AR83" s="94" t="n">
        <f aca="false">IFERROR(AQ83/AQ$5,0)</f>
        <v>0</v>
      </c>
      <c r="AT83" s="111"/>
      <c r="AU83" s="113"/>
    </row>
    <row r="84" customFormat="false" ht="14.25" hidden="true" customHeight="false" outlineLevel="1" collapsed="false">
      <c r="B84" s="89" t="s">
        <v>105</v>
      </c>
      <c r="D84" s="75" t="n">
        <f aca="false">SUMIFS('Dados Mov Financeira'!$N:$N,'Dados Mov Financeira'!$O:$O,'DRE 2019'!$B84,'Dados Mov Financeira'!$A:$A,'DRE 2019'!D$1)</f>
        <v>0</v>
      </c>
      <c r="E84" s="91" t="n">
        <f aca="false">IFERROR(D84/D$5,0)</f>
        <v>0</v>
      </c>
      <c r="G84" s="75" t="n">
        <f aca="false">SUMIFS('Dados Mov Financeira'!$N:$N,'Dados Mov Financeira'!$O:$O,'DRE 2019'!$B84,'Dados Mov Financeira'!$A:$A,'DRE 2019'!G$1)</f>
        <v>0</v>
      </c>
      <c r="H84" s="91" t="n">
        <f aca="false">IFERROR(G84/G$5,0)</f>
        <v>0</v>
      </c>
      <c r="J84" s="75" t="n">
        <f aca="false">SUMIFS('Dados Mov Financeira'!$N:$N,'Dados Mov Financeira'!$O:$O,'DRE 2019'!$B84,'Dados Mov Financeira'!$A:$A,'DRE 2019'!J$1)</f>
        <v>0</v>
      </c>
      <c r="K84" s="91" t="n">
        <f aca="false">IFERROR(J84/J$5,0)</f>
        <v>0</v>
      </c>
      <c r="M84" s="75" t="n">
        <f aca="false">SUMIFS('Dados Mov Financeira'!$N:$N,'Dados Mov Financeira'!$O:$O,'DRE 2019'!$B84,'Dados Mov Financeira'!$A:$A,'DRE 2019'!M$1)</f>
        <v>0</v>
      </c>
      <c r="N84" s="91" t="n">
        <f aca="false">IFERROR(M84/M$5,0)</f>
        <v>0</v>
      </c>
      <c r="P84" s="75" t="n">
        <f aca="false">SUMIFS('Dados Mov Financeira'!$N:$N,'Dados Mov Financeira'!$O:$O,'DRE 2019'!$B84,'Dados Mov Financeira'!$A:$A,'DRE 2019'!P$1)</f>
        <v>0</v>
      </c>
      <c r="Q84" s="91" t="n">
        <f aca="false">IFERROR(P84/P$5,0)</f>
        <v>0</v>
      </c>
      <c r="S84" s="75" t="n">
        <f aca="false">SUMIFS('Dados Mov Financeira'!$N:$N,'Dados Mov Financeira'!$O:$O,'DRE 2019'!$B84,'Dados Mov Financeira'!$A:$A,'DRE 2019'!S$1)</f>
        <v>0</v>
      </c>
      <c r="T84" s="91" t="n">
        <f aca="false">IFERROR(S84/S$5,0)</f>
        <v>0</v>
      </c>
      <c r="V84" s="75" t="n">
        <f aca="false">SUMIFS('Dados Mov Financeira'!$N:$N,'Dados Mov Financeira'!$O:$O,'DRE 2019'!$B84,'Dados Mov Financeira'!$A:$A,'DRE 2019'!V$1)</f>
        <v>0</v>
      </c>
      <c r="W84" s="91" t="n">
        <f aca="false">IFERROR(V84/V$5,0)</f>
        <v>0</v>
      </c>
      <c r="Y84" s="75" t="n">
        <f aca="false">SUMIFS('Dados Mov Financeira'!$N:$N,'Dados Mov Financeira'!$O:$O,'DRE 2019'!$B84,'Dados Mov Financeira'!$A:$A,'DRE 2019'!Y$1)</f>
        <v>0</v>
      </c>
      <c r="Z84" s="91" t="n">
        <f aca="false">IFERROR(Y84/Y$5,0)</f>
        <v>0</v>
      </c>
      <c r="AB84" s="75" t="n">
        <f aca="false">SUMIFS('Dados Mov Financeira'!$N:$N,'Dados Mov Financeira'!$O:$O,'DRE 2019'!$B84,'Dados Mov Financeira'!$A:$A,'DRE 2019'!AB$1)</f>
        <v>0</v>
      </c>
      <c r="AC84" s="91" t="n">
        <f aca="false">IFERROR(AB84/AB$5,0)</f>
        <v>0</v>
      </c>
      <c r="AE84" s="75" t="n">
        <f aca="false">SUMIFS('Dados Mov Financeira'!$N:$N,'Dados Mov Financeira'!$O:$O,'DRE 2019'!$B84,'Dados Mov Financeira'!$A:$A,'DRE 2019'!AE$1)</f>
        <v>0</v>
      </c>
      <c r="AF84" s="91" t="n">
        <f aca="false">IFERROR(AE84/AE$5,0)</f>
        <v>0</v>
      </c>
      <c r="AH84" s="75" t="n">
        <f aca="false">SUMIFS('Dados Mov Financeira'!$N:$N,'Dados Mov Financeira'!$O:$O,'DRE 2019'!$B84,'Dados Mov Financeira'!$A:$A,'DRE 2019'!AH$1)</f>
        <v>0</v>
      </c>
      <c r="AI84" s="91" t="n">
        <f aca="false">IFERROR(AH84/AH$5,0)</f>
        <v>0</v>
      </c>
      <c r="AK84" s="75" t="n">
        <f aca="false">SUMIFS('Dados Mov Financeira'!$N:$N,'Dados Mov Financeira'!$O:$O,'DRE 2019'!$B84,'Dados Mov Financeira'!$A:$A,'DRE 2019'!AK$1)</f>
        <v>0</v>
      </c>
      <c r="AL84" s="91" t="n">
        <f aca="false">IFERROR(AK84/AK$5,0)</f>
        <v>0</v>
      </c>
      <c r="AN84" s="92" t="n">
        <f aca="false">SUM(D84,G84,J84,M84,P84,S84,V84,Y84,AB84,AE84,AH84,AK84)</f>
        <v>0</v>
      </c>
      <c r="AO84" s="91" t="n">
        <f aca="false">IFERROR(AN84/AN$5,0)</f>
        <v>0</v>
      </c>
      <c r="AQ84" s="93" t="n">
        <f aca="false">AN84/$AR$1</f>
        <v>0</v>
      </c>
      <c r="AR84" s="94" t="n">
        <f aca="false">IFERROR(AQ84/AQ$5,0)</f>
        <v>0</v>
      </c>
      <c r="AT84" s="111"/>
    </row>
    <row r="85" customFormat="false" ht="14.25" hidden="true" customHeight="false" outlineLevel="1" collapsed="false">
      <c r="B85" s="89" t="s">
        <v>106</v>
      </c>
      <c r="D85" s="75" t="n">
        <f aca="false">SUMIFS('Dados Mov Financeira'!$N:$N,'Dados Mov Financeira'!$O:$O,'DRE 2019'!$B85,'Dados Mov Financeira'!$A:$A,'DRE 2019'!D$1)</f>
        <v>0</v>
      </c>
      <c r="E85" s="91" t="n">
        <f aca="false">IFERROR(D85/D$5,0)</f>
        <v>0</v>
      </c>
      <c r="G85" s="75" t="n">
        <f aca="false">SUMIFS('Dados Mov Financeira'!$N:$N,'Dados Mov Financeira'!$O:$O,'DRE 2019'!$B85,'Dados Mov Financeira'!$A:$A,'DRE 2019'!G$1)</f>
        <v>0</v>
      </c>
      <c r="H85" s="91" t="n">
        <f aca="false">IFERROR(G85/G$5,0)</f>
        <v>0</v>
      </c>
      <c r="J85" s="75" t="n">
        <f aca="false">SUMIFS('Dados Mov Financeira'!$N:$N,'Dados Mov Financeira'!$O:$O,'DRE 2019'!$B85,'Dados Mov Financeira'!$A:$A,'DRE 2019'!J$1)</f>
        <v>0</v>
      </c>
      <c r="K85" s="91" t="n">
        <f aca="false">IFERROR(J85/J$5,0)</f>
        <v>0</v>
      </c>
      <c r="M85" s="75" t="n">
        <f aca="false">SUMIFS('Dados Mov Financeira'!$N:$N,'Dados Mov Financeira'!$O:$O,'DRE 2019'!$B85,'Dados Mov Financeira'!$A:$A,'DRE 2019'!M$1)</f>
        <v>0</v>
      </c>
      <c r="N85" s="91" t="n">
        <f aca="false">IFERROR(M85/M$5,0)</f>
        <v>0</v>
      </c>
      <c r="P85" s="75" t="n">
        <f aca="false">SUMIFS('Dados Mov Financeira'!$N:$N,'Dados Mov Financeira'!$O:$O,'DRE 2019'!$B85,'Dados Mov Financeira'!$A:$A,'DRE 2019'!P$1)</f>
        <v>0</v>
      </c>
      <c r="Q85" s="91" t="n">
        <f aca="false">IFERROR(P85/P$5,0)</f>
        <v>0</v>
      </c>
      <c r="S85" s="75" t="n">
        <f aca="false">SUMIFS('Dados Mov Financeira'!$N:$N,'Dados Mov Financeira'!$O:$O,'DRE 2019'!$B85,'Dados Mov Financeira'!$A:$A,'DRE 2019'!S$1)</f>
        <v>0</v>
      </c>
      <c r="T85" s="91" t="n">
        <f aca="false">IFERROR(S85/S$5,0)</f>
        <v>0</v>
      </c>
      <c r="V85" s="75" t="n">
        <f aca="false">SUMIFS('Dados Mov Financeira'!$N:$N,'Dados Mov Financeira'!$O:$O,'DRE 2019'!$B85,'Dados Mov Financeira'!$A:$A,'DRE 2019'!V$1)</f>
        <v>0</v>
      </c>
      <c r="W85" s="91" t="n">
        <f aca="false">IFERROR(V85/V$5,0)</f>
        <v>0</v>
      </c>
      <c r="Y85" s="75" t="n">
        <f aca="false">SUMIFS('Dados Mov Financeira'!$N:$N,'Dados Mov Financeira'!$O:$O,'DRE 2019'!$B85,'Dados Mov Financeira'!$A:$A,'DRE 2019'!Y$1)</f>
        <v>0</v>
      </c>
      <c r="Z85" s="91" t="n">
        <f aca="false">IFERROR(Y85/Y$5,0)</f>
        <v>0</v>
      </c>
      <c r="AB85" s="75" t="n">
        <f aca="false">SUMIFS('Dados Mov Financeira'!$N:$N,'Dados Mov Financeira'!$O:$O,'DRE 2019'!$B85,'Dados Mov Financeira'!$A:$A,'DRE 2019'!AB$1)</f>
        <v>0</v>
      </c>
      <c r="AC85" s="91" t="n">
        <f aca="false">IFERROR(AB85/AB$5,0)</f>
        <v>0</v>
      </c>
      <c r="AE85" s="75" t="n">
        <f aca="false">SUMIFS('Dados Mov Financeira'!$N:$N,'Dados Mov Financeira'!$O:$O,'DRE 2019'!$B85,'Dados Mov Financeira'!$A:$A,'DRE 2019'!AE$1)</f>
        <v>0</v>
      </c>
      <c r="AF85" s="91" t="n">
        <f aca="false">IFERROR(AE85/AE$5,0)</f>
        <v>0</v>
      </c>
      <c r="AH85" s="75" t="n">
        <f aca="false">SUMIFS('Dados Mov Financeira'!$N:$N,'Dados Mov Financeira'!$O:$O,'DRE 2019'!$B85,'Dados Mov Financeira'!$A:$A,'DRE 2019'!AH$1)</f>
        <v>0</v>
      </c>
      <c r="AI85" s="91" t="n">
        <f aca="false">IFERROR(AH85/AH$5,0)</f>
        <v>0</v>
      </c>
      <c r="AK85" s="75" t="n">
        <f aca="false">SUMIFS('Dados Mov Financeira'!$N:$N,'Dados Mov Financeira'!$O:$O,'DRE 2019'!$B85,'Dados Mov Financeira'!$A:$A,'DRE 2019'!AK$1)</f>
        <v>0</v>
      </c>
      <c r="AL85" s="91" t="n">
        <f aca="false">IFERROR(AK85/AK$5,0)</f>
        <v>0</v>
      </c>
      <c r="AN85" s="92" t="n">
        <f aca="false">SUM(D85,G85,J85,M85,P85,S85,V85,Y85,AB85,AE85,AH85,AK85)</f>
        <v>0</v>
      </c>
      <c r="AO85" s="91" t="n">
        <f aca="false">IFERROR(AN85/AN$5,0)</f>
        <v>0</v>
      </c>
      <c r="AQ85" s="93" t="n">
        <f aca="false">AN85/$AR$1</f>
        <v>0</v>
      </c>
      <c r="AR85" s="94" t="n">
        <f aca="false">IFERROR(AQ85/AQ$5,0)</f>
        <v>0</v>
      </c>
      <c r="AT85" s="111"/>
    </row>
    <row r="86" customFormat="false" ht="14.25" hidden="true" customHeight="false" outlineLevel="1" collapsed="false">
      <c r="B86" s="89" t="s">
        <v>107</v>
      </c>
      <c r="D86" s="75" t="n">
        <f aca="false">SUMIFS('Dados Mov Financeira'!$N:$N,'Dados Mov Financeira'!$O:$O,'DRE 2019'!$B86,'Dados Mov Financeira'!$A:$A,'DRE 2019'!D$1)</f>
        <v>0</v>
      </c>
      <c r="E86" s="91" t="n">
        <f aca="false">IFERROR(D86/D$5,0)</f>
        <v>0</v>
      </c>
      <c r="G86" s="75" t="n">
        <f aca="false">SUMIFS('Dados Mov Financeira'!$N:$N,'Dados Mov Financeira'!$O:$O,'DRE 2019'!$B86,'Dados Mov Financeira'!$A:$A,'DRE 2019'!G$1)</f>
        <v>0</v>
      </c>
      <c r="H86" s="91" t="n">
        <f aca="false">IFERROR(G86/G$5,0)</f>
        <v>0</v>
      </c>
      <c r="J86" s="75" t="n">
        <f aca="false">SUMIFS('Dados Mov Financeira'!$N:$N,'Dados Mov Financeira'!$O:$O,'DRE 2019'!$B86,'Dados Mov Financeira'!$A:$A,'DRE 2019'!J$1)</f>
        <v>0</v>
      </c>
      <c r="K86" s="91" t="n">
        <f aca="false">IFERROR(J86/J$5,0)</f>
        <v>0</v>
      </c>
      <c r="M86" s="75" t="n">
        <f aca="false">SUMIFS('Dados Mov Financeira'!$N:$N,'Dados Mov Financeira'!$O:$O,'DRE 2019'!$B86,'Dados Mov Financeira'!$A:$A,'DRE 2019'!M$1)</f>
        <v>0</v>
      </c>
      <c r="N86" s="91" t="n">
        <f aca="false">IFERROR(M86/M$5,0)</f>
        <v>0</v>
      </c>
      <c r="P86" s="75" t="n">
        <f aca="false">SUMIFS('Dados Mov Financeira'!$N:$N,'Dados Mov Financeira'!$O:$O,'DRE 2019'!$B86,'Dados Mov Financeira'!$A:$A,'DRE 2019'!P$1)</f>
        <v>0</v>
      </c>
      <c r="Q86" s="91" t="n">
        <f aca="false">IFERROR(P86/P$5,0)</f>
        <v>0</v>
      </c>
      <c r="S86" s="75" t="n">
        <f aca="false">SUMIFS('Dados Mov Financeira'!$N:$N,'Dados Mov Financeira'!$O:$O,'DRE 2019'!$B86,'Dados Mov Financeira'!$A:$A,'DRE 2019'!S$1)</f>
        <v>0</v>
      </c>
      <c r="T86" s="91" t="n">
        <f aca="false">IFERROR(S86/S$5,0)</f>
        <v>0</v>
      </c>
      <c r="V86" s="75" t="n">
        <f aca="false">SUMIFS('Dados Mov Financeira'!$N:$N,'Dados Mov Financeira'!$O:$O,'DRE 2019'!$B86,'Dados Mov Financeira'!$A:$A,'DRE 2019'!V$1)</f>
        <v>0</v>
      </c>
      <c r="W86" s="91" t="n">
        <f aca="false">IFERROR(V86/V$5,0)</f>
        <v>0</v>
      </c>
      <c r="Y86" s="75" t="n">
        <f aca="false">SUMIFS('Dados Mov Financeira'!$N:$N,'Dados Mov Financeira'!$O:$O,'DRE 2019'!$B86,'Dados Mov Financeira'!$A:$A,'DRE 2019'!Y$1)</f>
        <v>0</v>
      </c>
      <c r="Z86" s="91" t="n">
        <f aca="false">IFERROR(Y86/Y$5,0)</f>
        <v>0</v>
      </c>
      <c r="AB86" s="75" t="n">
        <f aca="false">SUMIFS('Dados Mov Financeira'!$N:$N,'Dados Mov Financeira'!$O:$O,'DRE 2019'!$B86,'Dados Mov Financeira'!$A:$A,'DRE 2019'!AB$1)</f>
        <v>0</v>
      </c>
      <c r="AC86" s="91" t="n">
        <f aca="false">IFERROR(AB86/AB$5,0)</f>
        <v>0</v>
      </c>
      <c r="AE86" s="75" t="n">
        <f aca="false">SUMIFS('Dados Mov Financeira'!$N:$N,'Dados Mov Financeira'!$O:$O,'DRE 2019'!$B86,'Dados Mov Financeira'!$A:$A,'DRE 2019'!AE$1)</f>
        <v>0</v>
      </c>
      <c r="AF86" s="91" t="n">
        <f aca="false">IFERROR(AE86/AE$5,0)</f>
        <v>0</v>
      </c>
      <c r="AH86" s="75" t="n">
        <f aca="false">SUMIFS('Dados Mov Financeira'!$N:$N,'Dados Mov Financeira'!$O:$O,'DRE 2019'!$B86,'Dados Mov Financeira'!$A:$A,'DRE 2019'!AH$1)</f>
        <v>0</v>
      </c>
      <c r="AI86" s="91" t="n">
        <f aca="false">IFERROR(AH86/AH$5,0)</f>
        <v>0</v>
      </c>
      <c r="AK86" s="75" t="n">
        <f aca="false">SUMIFS('Dados Mov Financeira'!$N:$N,'Dados Mov Financeira'!$O:$O,'DRE 2019'!$B86,'Dados Mov Financeira'!$A:$A,'DRE 2019'!AK$1)</f>
        <v>0</v>
      </c>
      <c r="AL86" s="91" t="n">
        <f aca="false">IFERROR(AK86/AK$5,0)</f>
        <v>0</v>
      </c>
      <c r="AN86" s="92" t="n">
        <f aca="false">SUM(D86,G86,J86,M86,P86,S86,V86,Y86,AB86,AE86,AH86,AK86)</f>
        <v>0</v>
      </c>
      <c r="AO86" s="91" t="n">
        <f aca="false">IFERROR(AN86/AN$5,0)</f>
        <v>0</v>
      </c>
      <c r="AQ86" s="93" t="n">
        <f aca="false">AN86/$AR$1</f>
        <v>0</v>
      </c>
      <c r="AR86" s="94" t="n">
        <f aca="false">IFERROR(AQ86/AQ$5,0)</f>
        <v>0</v>
      </c>
      <c r="AT86" s="111"/>
    </row>
    <row r="87" customFormat="false" ht="14.25" hidden="true" customHeight="false" outlineLevel="1" collapsed="false">
      <c r="B87" s="89" t="s">
        <v>108</v>
      </c>
      <c r="D87" s="75" t="n">
        <f aca="false">SUMIFS('Dados Mov Financeira'!$N:$N,'Dados Mov Financeira'!$O:$O,'DRE 2019'!$B87,'Dados Mov Financeira'!$A:$A,'DRE 2019'!D$1)</f>
        <v>0</v>
      </c>
      <c r="E87" s="91" t="n">
        <f aca="false">IFERROR(D87/D$5,0)</f>
        <v>0</v>
      </c>
      <c r="G87" s="75" t="n">
        <f aca="false">SUMIFS('Dados Mov Financeira'!$N:$N,'Dados Mov Financeira'!$O:$O,'DRE 2019'!$B87,'Dados Mov Financeira'!$A:$A,'DRE 2019'!G$1)</f>
        <v>0</v>
      </c>
      <c r="H87" s="91" t="n">
        <f aca="false">IFERROR(G87/G$5,0)</f>
        <v>0</v>
      </c>
      <c r="J87" s="75" t="n">
        <f aca="false">SUMIFS('Dados Mov Financeira'!$N:$N,'Dados Mov Financeira'!$O:$O,'DRE 2019'!$B87,'Dados Mov Financeira'!$A:$A,'DRE 2019'!J$1)</f>
        <v>0</v>
      </c>
      <c r="K87" s="91" t="n">
        <f aca="false">IFERROR(J87/J$5,0)</f>
        <v>0</v>
      </c>
      <c r="M87" s="75" t="n">
        <f aca="false">SUMIFS('Dados Mov Financeira'!$N:$N,'Dados Mov Financeira'!$O:$O,'DRE 2019'!$B87,'Dados Mov Financeira'!$A:$A,'DRE 2019'!M$1)</f>
        <v>0</v>
      </c>
      <c r="N87" s="91" t="n">
        <f aca="false">IFERROR(M87/M$5,0)</f>
        <v>0</v>
      </c>
      <c r="P87" s="75" t="n">
        <f aca="false">SUMIFS('Dados Mov Financeira'!$N:$N,'Dados Mov Financeira'!$O:$O,'DRE 2019'!$B87,'Dados Mov Financeira'!$A:$A,'DRE 2019'!P$1)</f>
        <v>0</v>
      </c>
      <c r="Q87" s="91" t="n">
        <f aca="false">IFERROR(P87/P$5,0)</f>
        <v>0</v>
      </c>
      <c r="S87" s="75" t="n">
        <f aca="false">SUMIFS('Dados Mov Financeira'!$N:$N,'Dados Mov Financeira'!$O:$O,'DRE 2019'!$B87,'Dados Mov Financeira'!$A:$A,'DRE 2019'!S$1)</f>
        <v>0</v>
      </c>
      <c r="T87" s="91" t="n">
        <f aca="false">IFERROR(S87/S$5,0)</f>
        <v>0</v>
      </c>
      <c r="V87" s="75" t="n">
        <f aca="false">SUMIFS('Dados Mov Financeira'!$N:$N,'Dados Mov Financeira'!$O:$O,'DRE 2019'!$B87,'Dados Mov Financeira'!$A:$A,'DRE 2019'!V$1)</f>
        <v>0</v>
      </c>
      <c r="W87" s="91" t="n">
        <f aca="false">IFERROR(V87/V$5,0)</f>
        <v>0</v>
      </c>
      <c r="Y87" s="75" t="n">
        <f aca="false">SUMIFS('Dados Mov Financeira'!$N:$N,'Dados Mov Financeira'!$O:$O,'DRE 2019'!$B87,'Dados Mov Financeira'!$A:$A,'DRE 2019'!Y$1)</f>
        <v>0</v>
      </c>
      <c r="Z87" s="91" t="n">
        <f aca="false">IFERROR(Y87/Y$5,0)</f>
        <v>0</v>
      </c>
      <c r="AB87" s="75" t="n">
        <f aca="false">SUMIFS('Dados Mov Financeira'!$N:$N,'Dados Mov Financeira'!$O:$O,'DRE 2019'!$B87,'Dados Mov Financeira'!$A:$A,'DRE 2019'!AB$1)</f>
        <v>0</v>
      </c>
      <c r="AC87" s="91" t="n">
        <f aca="false">IFERROR(AB87/AB$5,0)</f>
        <v>0</v>
      </c>
      <c r="AE87" s="75" t="n">
        <f aca="false">SUMIFS('Dados Mov Financeira'!$N:$N,'Dados Mov Financeira'!$O:$O,'DRE 2019'!$B87,'Dados Mov Financeira'!$A:$A,'DRE 2019'!AE$1)</f>
        <v>0</v>
      </c>
      <c r="AF87" s="91" t="n">
        <f aca="false">IFERROR(AE87/AE$5,0)</f>
        <v>0</v>
      </c>
      <c r="AH87" s="75" t="n">
        <f aca="false">SUMIFS('Dados Mov Financeira'!$N:$N,'Dados Mov Financeira'!$O:$O,'DRE 2019'!$B87,'Dados Mov Financeira'!$A:$A,'DRE 2019'!AH$1)</f>
        <v>0</v>
      </c>
      <c r="AI87" s="91" t="n">
        <f aca="false">IFERROR(AH87/AH$5,0)</f>
        <v>0</v>
      </c>
      <c r="AK87" s="75" t="n">
        <f aca="false">SUMIFS('Dados Mov Financeira'!$N:$N,'Dados Mov Financeira'!$O:$O,'DRE 2019'!$B87,'Dados Mov Financeira'!$A:$A,'DRE 2019'!AK$1)</f>
        <v>0</v>
      </c>
      <c r="AL87" s="91" t="n">
        <f aca="false">IFERROR(AK87/AK$5,0)</f>
        <v>0</v>
      </c>
      <c r="AN87" s="92" t="n">
        <f aca="false">SUM(D87,G87,J87,M87,P87,S87,V87,Y87,AB87,AE87,AH87,AK87)</f>
        <v>0</v>
      </c>
      <c r="AO87" s="91" t="n">
        <f aca="false">IFERROR(AN87/AN$5,0)</f>
        <v>0</v>
      </c>
      <c r="AQ87" s="93" t="n">
        <f aca="false">AN87/$AR$1</f>
        <v>0</v>
      </c>
      <c r="AR87" s="94" t="n">
        <f aca="false">IFERROR(AQ87/AQ$5,0)</f>
        <v>0</v>
      </c>
      <c r="AT87" s="111"/>
    </row>
    <row r="88" customFormat="false" ht="14.25" hidden="true" customHeight="false" outlineLevel="1" collapsed="false">
      <c r="B88" s="89" t="s">
        <v>109</v>
      </c>
      <c r="D88" s="75" t="n">
        <f aca="false">SUMIFS('Dados Mov Financeira'!$N:$N,'Dados Mov Financeira'!$O:$O,'DRE 2019'!$B88,'Dados Mov Financeira'!$A:$A,'DRE 2019'!D$1)</f>
        <v>0</v>
      </c>
      <c r="E88" s="91" t="n">
        <f aca="false">IFERROR(D88/D$5,0)</f>
        <v>0</v>
      </c>
      <c r="G88" s="75" t="n">
        <f aca="false">SUMIFS('Dados Mov Financeira'!$N:$N,'Dados Mov Financeira'!$O:$O,'DRE 2019'!$B88,'Dados Mov Financeira'!$A:$A,'DRE 2019'!G$1)</f>
        <v>0</v>
      </c>
      <c r="H88" s="91" t="n">
        <f aca="false">IFERROR(G88/G$5,0)</f>
        <v>0</v>
      </c>
      <c r="J88" s="75" t="n">
        <f aca="false">SUMIFS('Dados Mov Financeira'!$N:$N,'Dados Mov Financeira'!$O:$O,'DRE 2019'!$B88,'Dados Mov Financeira'!$A:$A,'DRE 2019'!J$1)</f>
        <v>0</v>
      </c>
      <c r="K88" s="91" t="n">
        <f aca="false">IFERROR(J88/J$5,0)</f>
        <v>0</v>
      </c>
      <c r="M88" s="75" t="n">
        <f aca="false">SUMIFS('Dados Mov Financeira'!$N:$N,'Dados Mov Financeira'!$O:$O,'DRE 2019'!$B88,'Dados Mov Financeira'!$A:$A,'DRE 2019'!M$1)</f>
        <v>0</v>
      </c>
      <c r="N88" s="91" t="n">
        <f aca="false">IFERROR(M88/M$5,0)</f>
        <v>0</v>
      </c>
      <c r="P88" s="75" t="n">
        <f aca="false">SUMIFS('Dados Mov Financeira'!$N:$N,'Dados Mov Financeira'!$O:$O,'DRE 2019'!$B88,'Dados Mov Financeira'!$A:$A,'DRE 2019'!P$1)</f>
        <v>0</v>
      </c>
      <c r="Q88" s="91" t="n">
        <f aca="false">IFERROR(P88/P$5,0)</f>
        <v>0</v>
      </c>
      <c r="S88" s="75" t="n">
        <f aca="false">SUMIFS('Dados Mov Financeira'!$N:$N,'Dados Mov Financeira'!$O:$O,'DRE 2019'!$B88,'Dados Mov Financeira'!$A:$A,'DRE 2019'!S$1)</f>
        <v>0</v>
      </c>
      <c r="T88" s="91" t="n">
        <f aca="false">IFERROR(S88/S$5,0)</f>
        <v>0</v>
      </c>
      <c r="V88" s="75" t="n">
        <f aca="false">SUMIFS('Dados Mov Financeira'!$N:$N,'Dados Mov Financeira'!$O:$O,'DRE 2019'!$B88,'Dados Mov Financeira'!$A:$A,'DRE 2019'!V$1)</f>
        <v>0</v>
      </c>
      <c r="W88" s="91" t="n">
        <f aca="false">IFERROR(V88/V$5,0)</f>
        <v>0</v>
      </c>
      <c r="Y88" s="75" t="n">
        <f aca="false">SUMIFS('Dados Mov Financeira'!$N:$N,'Dados Mov Financeira'!$O:$O,'DRE 2019'!$B88,'Dados Mov Financeira'!$A:$A,'DRE 2019'!Y$1)</f>
        <v>0</v>
      </c>
      <c r="Z88" s="91" t="n">
        <f aca="false">IFERROR(Y88/Y$5,0)</f>
        <v>0</v>
      </c>
      <c r="AB88" s="75" t="n">
        <f aca="false">SUMIFS('Dados Mov Financeira'!$N:$N,'Dados Mov Financeira'!$O:$O,'DRE 2019'!$B88,'Dados Mov Financeira'!$A:$A,'DRE 2019'!AB$1)</f>
        <v>0</v>
      </c>
      <c r="AC88" s="91" t="n">
        <f aca="false">IFERROR(AB88/AB$5,0)</f>
        <v>0</v>
      </c>
      <c r="AE88" s="75" t="n">
        <f aca="false">SUMIFS('Dados Mov Financeira'!$N:$N,'Dados Mov Financeira'!$O:$O,'DRE 2019'!$B88,'Dados Mov Financeira'!$A:$A,'DRE 2019'!AE$1)</f>
        <v>0</v>
      </c>
      <c r="AF88" s="91" t="n">
        <f aca="false">IFERROR(AE88/AE$5,0)</f>
        <v>0</v>
      </c>
      <c r="AH88" s="75" t="n">
        <f aca="false">SUMIFS('Dados Mov Financeira'!$N:$N,'Dados Mov Financeira'!$O:$O,'DRE 2019'!$B88,'Dados Mov Financeira'!$A:$A,'DRE 2019'!AH$1)</f>
        <v>0</v>
      </c>
      <c r="AI88" s="91" t="n">
        <f aca="false">IFERROR(AH88/AH$5,0)</f>
        <v>0</v>
      </c>
      <c r="AK88" s="75" t="n">
        <f aca="false">SUMIFS('Dados Mov Financeira'!$N:$N,'Dados Mov Financeira'!$O:$O,'DRE 2019'!$B88,'Dados Mov Financeira'!$A:$A,'DRE 2019'!AK$1)</f>
        <v>0</v>
      </c>
      <c r="AL88" s="91" t="n">
        <f aca="false">IFERROR(AK88/AK$5,0)</f>
        <v>0</v>
      </c>
      <c r="AN88" s="92" t="n">
        <f aca="false">SUM(D88,G88,J88,M88,P88,S88,V88,Y88,AB88,AE88,AH88,AK88)</f>
        <v>0</v>
      </c>
      <c r="AO88" s="91" t="n">
        <f aca="false">IFERROR(AN88/AN$5,0)</f>
        <v>0</v>
      </c>
      <c r="AQ88" s="93" t="n">
        <f aca="false">AN88/$AR$1</f>
        <v>0</v>
      </c>
      <c r="AR88" s="94" t="n">
        <f aca="false">IFERROR(AQ88/AQ$5,0)</f>
        <v>0</v>
      </c>
      <c r="AT88" s="111"/>
    </row>
    <row r="89" customFormat="false" ht="14.25" hidden="true" customHeight="false" outlineLevel="1" collapsed="false">
      <c r="B89" s="89" t="s">
        <v>110</v>
      </c>
      <c r="D89" s="75" t="n">
        <f aca="false">SUMIFS('Dados Mov Financeira'!$N:$N,'Dados Mov Financeira'!$O:$O,'DRE 2019'!$B89,'Dados Mov Financeira'!$A:$A,'DRE 2019'!D$1)</f>
        <v>0</v>
      </c>
      <c r="E89" s="91" t="n">
        <f aca="false">IFERROR(D89/D$5,0)</f>
        <v>0</v>
      </c>
      <c r="G89" s="75" t="n">
        <f aca="false">SUMIFS('Dados Mov Financeira'!$N:$N,'Dados Mov Financeira'!$O:$O,'DRE 2019'!$B89,'Dados Mov Financeira'!$A:$A,'DRE 2019'!G$1)</f>
        <v>0</v>
      </c>
      <c r="H89" s="91" t="n">
        <f aca="false">IFERROR(G89/G$5,0)</f>
        <v>0</v>
      </c>
      <c r="J89" s="75" t="n">
        <f aca="false">SUMIFS('Dados Mov Financeira'!$N:$N,'Dados Mov Financeira'!$O:$O,'DRE 2019'!$B89,'Dados Mov Financeira'!$A:$A,'DRE 2019'!J$1)</f>
        <v>0</v>
      </c>
      <c r="K89" s="91" t="n">
        <f aca="false">IFERROR(J89/J$5,0)</f>
        <v>0</v>
      </c>
      <c r="M89" s="75" t="n">
        <f aca="false">SUMIFS('Dados Mov Financeira'!$N:$N,'Dados Mov Financeira'!$O:$O,'DRE 2019'!$B89,'Dados Mov Financeira'!$A:$A,'DRE 2019'!M$1)</f>
        <v>0</v>
      </c>
      <c r="N89" s="91" t="n">
        <f aca="false">IFERROR(M89/M$5,0)</f>
        <v>0</v>
      </c>
      <c r="P89" s="75" t="n">
        <f aca="false">SUMIFS('Dados Mov Financeira'!$N:$N,'Dados Mov Financeira'!$O:$O,'DRE 2019'!$B89,'Dados Mov Financeira'!$A:$A,'DRE 2019'!P$1)</f>
        <v>0</v>
      </c>
      <c r="Q89" s="91" t="n">
        <f aca="false">IFERROR(P89/P$5,0)</f>
        <v>0</v>
      </c>
      <c r="S89" s="75" t="n">
        <f aca="false">SUMIFS('Dados Mov Financeira'!$N:$N,'Dados Mov Financeira'!$O:$O,'DRE 2019'!$B89,'Dados Mov Financeira'!$A:$A,'DRE 2019'!S$1)</f>
        <v>0</v>
      </c>
      <c r="T89" s="91" t="n">
        <f aca="false">IFERROR(S89/S$5,0)</f>
        <v>0</v>
      </c>
      <c r="V89" s="75" t="n">
        <f aca="false">SUMIFS('Dados Mov Financeira'!$N:$N,'Dados Mov Financeira'!$O:$O,'DRE 2019'!$B89,'Dados Mov Financeira'!$A:$A,'DRE 2019'!V$1)</f>
        <v>0</v>
      </c>
      <c r="W89" s="91" t="n">
        <f aca="false">IFERROR(V89/V$5,0)</f>
        <v>0</v>
      </c>
      <c r="Y89" s="75" t="n">
        <f aca="false">SUMIFS('Dados Mov Financeira'!$N:$N,'Dados Mov Financeira'!$O:$O,'DRE 2019'!$B89,'Dados Mov Financeira'!$A:$A,'DRE 2019'!Y$1)</f>
        <v>0</v>
      </c>
      <c r="Z89" s="91" t="n">
        <f aca="false">IFERROR(Y89/Y$5,0)</f>
        <v>0</v>
      </c>
      <c r="AB89" s="75" t="n">
        <f aca="false">SUMIFS('Dados Mov Financeira'!$N:$N,'Dados Mov Financeira'!$O:$O,'DRE 2019'!$B89,'Dados Mov Financeira'!$A:$A,'DRE 2019'!AB$1)</f>
        <v>0</v>
      </c>
      <c r="AC89" s="91" t="n">
        <f aca="false">IFERROR(AB89/AB$5,0)</f>
        <v>0</v>
      </c>
      <c r="AE89" s="75" t="n">
        <f aca="false">SUMIFS('Dados Mov Financeira'!$N:$N,'Dados Mov Financeira'!$O:$O,'DRE 2019'!$B89,'Dados Mov Financeira'!$A:$A,'DRE 2019'!AE$1)</f>
        <v>0</v>
      </c>
      <c r="AF89" s="91" t="n">
        <f aca="false">IFERROR(AE89/AE$5,0)</f>
        <v>0</v>
      </c>
      <c r="AH89" s="75" t="n">
        <f aca="false">SUMIFS('Dados Mov Financeira'!$N:$N,'Dados Mov Financeira'!$O:$O,'DRE 2019'!$B89,'Dados Mov Financeira'!$A:$A,'DRE 2019'!AH$1)</f>
        <v>0</v>
      </c>
      <c r="AI89" s="91" t="n">
        <f aca="false">IFERROR(AH89/AH$5,0)</f>
        <v>0</v>
      </c>
      <c r="AK89" s="75" t="n">
        <f aca="false">SUMIFS('Dados Mov Financeira'!$N:$N,'Dados Mov Financeira'!$O:$O,'DRE 2019'!$B89,'Dados Mov Financeira'!$A:$A,'DRE 2019'!AK$1)</f>
        <v>0</v>
      </c>
      <c r="AL89" s="91" t="n">
        <f aca="false">IFERROR(AK89/AK$5,0)</f>
        <v>0</v>
      </c>
      <c r="AN89" s="92" t="n">
        <f aca="false">SUM(D89,G89,J89,M89,P89,S89,V89,Y89,AB89,AE89,AH89,AK89)</f>
        <v>0</v>
      </c>
      <c r="AO89" s="91" t="n">
        <f aca="false">IFERROR(AN89/AN$5,0)</f>
        <v>0</v>
      </c>
      <c r="AQ89" s="93" t="n">
        <f aca="false">AN89/$AR$1</f>
        <v>0</v>
      </c>
      <c r="AR89" s="94" t="n">
        <f aca="false">IFERROR(AQ89/AQ$5,0)</f>
        <v>0</v>
      </c>
      <c r="AT89" s="111"/>
    </row>
    <row r="90" customFormat="false" ht="14.25" hidden="true" customHeight="false" outlineLevel="1" collapsed="false">
      <c r="B90" s="89" t="s">
        <v>111</v>
      </c>
      <c r="D90" s="75" t="n">
        <f aca="false">SUMIFS('Dados Mov Financeira'!$N:$N,'Dados Mov Financeira'!$O:$O,'DRE 2019'!$B90,'Dados Mov Financeira'!$A:$A,'DRE 2019'!D$1)</f>
        <v>0</v>
      </c>
      <c r="E90" s="91" t="n">
        <f aca="false">IFERROR(D90/D$5,0)</f>
        <v>0</v>
      </c>
      <c r="G90" s="75" t="n">
        <f aca="false">SUMIFS('Dados Mov Financeira'!$N:$N,'Dados Mov Financeira'!$O:$O,'DRE 2019'!$B90,'Dados Mov Financeira'!$A:$A,'DRE 2019'!G$1)</f>
        <v>0</v>
      </c>
      <c r="H90" s="91" t="n">
        <f aca="false">IFERROR(G90/G$5,0)</f>
        <v>0</v>
      </c>
      <c r="J90" s="75" t="n">
        <f aca="false">SUMIFS('Dados Mov Financeira'!$N:$N,'Dados Mov Financeira'!$O:$O,'DRE 2019'!$B90,'Dados Mov Financeira'!$A:$A,'DRE 2019'!J$1)</f>
        <v>0</v>
      </c>
      <c r="K90" s="91" t="n">
        <f aca="false">IFERROR(J90/J$5,0)</f>
        <v>0</v>
      </c>
      <c r="M90" s="75" t="n">
        <f aca="false">SUMIFS('Dados Mov Financeira'!$N:$N,'Dados Mov Financeira'!$O:$O,'DRE 2019'!$B90,'Dados Mov Financeira'!$A:$A,'DRE 2019'!M$1)</f>
        <v>0</v>
      </c>
      <c r="N90" s="91" t="n">
        <f aca="false">IFERROR(M90/M$5,0)</f>
        <v>0</v>
      </c>
      <c r="P90" s="75" t="n">
        <f aca="false">SUMIFS('Dados Mov Financeira'!$N:$N,'Dados Mov Financeira'!$O:$O,'DRE 2019'!$B90,'Dados Mov Financeira'!$A:$A,'DRE 2019'!P$1)</f>
        <v>0</v>
      </c>
      <c r="Q90" s="91" t="n">
        <f aca="false">IFERROR(P90/P$5,0)</f>
        <v>0</v>
      </c>
      <c r="S90" s="75" t="n">
        <f aca="false">SUMIFS('Dados Mov Financeira'!$N:$N,'Dados Mov Financeira'!$O:$O,'DRE 2019'!$B90,'Dados Mov Financeira'!$A:$A,'DRE 2019'!S$1)</f>
        <v>0</v>
      </c>
      <c r="T90" s="91" t="n">
        <f aca="false">IFERROR(S90/S$5,0)</f>
        <v>0</v>
      </c>
      <c r="V90" s="75" t="n">
        <f aca="false">SUMIFS('Dados Mov Financeira'!$N:$N,'Dados Mov Financeira'!$O:$O,'DRE 2019'!$B90,'Dados Mov Financeira'!$A:$A,'DRE 2019'!V$1)</f>
        <v>0</v>
      </c>
      <c r="W90" s="91" t="n">
        <f aca="false">IFERROR(V90/V$5,0)</f>
        <v>0</v>
      </c>
      <c r="Y90" s="75" t="n">
        <f aca="false">SUMIFS('Dados Mov Financeira'!$N:$N,'Dados Mov Financeira'!$O:$O,'DRE 2019'!$B90,'Dados Mov Financeira'!$A:$A,'DRE 2019'!Y$1)</f>
        <v>0</v>
      </c>
      <c r="Z90" s="91" t="n">
        <f aca="false">IFERROR(Y90/Y$5,0)</f>
        <v>0</v>
      </c>
      <c r="AB90" s="75" t="n">
        <f aca="false">SUMIFS('Dados Mov Financeira'!$N:$N,'Dados Mov Financeira'!$O:$O,'DRE 2019'!$B90,'Dados Mov Financeira'!$A:$A,'DRE 2019'!AB$1)</f>
        <v>0</v>
      </c>
      <c r="AC90" s="91" t="n">
        <f aca="false">IFERROR(AB90/AB$5,0)</f>
        <v>0</v>
      </c>
      <c r="AE90" s="75" t="n">
        <f aca="false">SUMIFS('Dados Mov Financeira'!$N:$N,'Dados Mov Financeira'!$O:$O,'DRE 2019'!$B90,'Dados Mov Financeira'!$A:$A,'DRE 2019'!AE$1)</f>
        <v>0</v>
      </c>
      <c r="AF90" s="91" t="n">
        <f aca="false">IFERROR(AE90/AE$5,0)</f>
        <v>0</v>
      </c>
      <c r="AH90" s="75" t="n">
        <f aca="false">SUMIFS('Dados Mov Financeira'!$N:$N,'Dados Mov Financeira'!$O:$O,'DRE 2019'!$B90,'Dados Mov Financeira'!$A:$A,'DRE 2019'!AH$1)</f>
        <v>0</v>
      </c>
      <c r="AI90" s="91" t="n">
        <f aca="false">IFERROR(AH90/AH$5,0)</f>
        <v>0</v>
      </c>
      <c r="AK90" s="75" t="n">
        <f aca="false">SUMIFS('Dados Mov Financeira'!$N:$N,'Dados Mov Financeira'!$O:$O,'DRE 2019'!$B90,'Dados Mov Financeira'!$A:$A,'DRE 2019'!AK$1)</f>
        <v>0</v>
      </c>
      <c r="AL90" s="91" t="n">
        <f aca="false">IFERROR(AK90/AK$5,0)</f>
        <v>0</v>
      </c>
      <c r="AN90" s="92" t="n">
        <f aca="false">SUM(D90,G90,J90,M90,P90,S90,V90,Y90,AB90,AE90,AH90,AK90)</f>
        <v>0</v>
      </c>
      <c r="AO90" s="91" t="n">
        <f aca="false">IFERROR(AN90/AN$5,0)</f>
        <v>0</v>
      </c>
      <c r="AQ90" s="93" t="n">
        <f aca="false">AN90/$AR$1</f>
        <v>0</v>
      </c>
      <c r="AR90" s="94" t="n">
        <f aca="false">IFERROR(AQ90/AQ$5,0)</f>
        <v>0</v>
      </c>
      <c r="AT90" s="111"/>
    </row>
    <row r="91" customFormat="false" ht="14.25" hidden="true" customHeight="false" outlineLevel="1" collapsed="false">
      <c r="B91" s="89" t="s">
        <v>112</v>
      </c>
      <c r="D91" s="75" t="n">
        <f aca="false">SUMIFS('Dados Mov Financeira'!$N:$N,'Dados Mov Financeira'!$O:$O,'DRE 2019'!$B91,'Dados Mov Financeira'!$A:$A,'DRE 2019'!D$1)</f>
        <v>0</v>
      </c>
      <c r="E91" s="91" t="n">
        <f aca="false">IFERROR(D91/D$5,0)</f>
        <v>0</v>
      </c>
      <c r="G91" s="75" t="n">
        <f aca="false">SUMIFS('Dados Mov Financeira'!$N:$N,'Dados Mov Financeira'!$O:$O,'DRE 2019'!$B91,'Dados Mov Financeira'!$A:$A,'DRE 2019'!G$1)</f>
        <v>0</v>
      </c>
      <c r="H91" s="91" t="n">
        <f aca="false">IFERROR(G91/G$5,0)</f>
        <v>0</v>
      </c>
      <c r="J91" s="75" t="n">
        <f aca="false">SUMIFS('Dados Mov Financeira'!$N:$N,'Dados Mov Financeira'!$O:$O,'DRE 2019'!$B91,'Dados Mov Financeira'!$A:$A,'DRE 2019'!J$1)</f>
        <v>0</v>
      </c>
      <c r="K91" s="91" t="n">
        <f aca="false">IFERROR(J91/J$5,0)</f>
        <v>0</v>
      </c>
      <c r="M91" s="75" t="n">
        <f aca="false">SUMIFS('Dados Mov Financeira'!$N:$N,'Dados Mov Financeira'!$O:$O,'DRE 2019'!$B91,'Dados Mov Financeira'!$A:$A,'DRE 2019'!M$1)</f>
        <v>0</v>
      </c>
      <c r="N91" s="91" t="n">
        <f aca="false">IFERROR(M91/M$5,0)</f>
        <v>0</v>
      </c>
      <c r="P91" s="75" t="n">
        <f aca="false">SUMIFS('Dados Mov Financeira'!$N:$N,'Dados Mov Financeira'!$O:$O,'DRE 2019'!$B91,'Dados Mov Financeira'!$A:$A,'DRE 2019'!P$1)</f>
        <v>0</v>
      </c>
      <c r="Q91" s="91" t="n">
        <f aca="false">IFERROR(P91/P$5,0)</f>
        <v>0</v>
      </c>
      <c r="S91" s="75" t="n">
        <f aca="false">SUMIFS('Dados Mov Financeira'!$N:$N,'Dados Mov Financeira'!$O:$O,'DRE 2019'!$B91,'Dados Mov Financeira'!$A:$A,'DRE 2019'!S$1)</f>
        <v>0</v>
      </c>
      <c r="T91" s="91" t="n">
        <f aca="false">IFERROR(S91/S$5,0)</f>
        <v>0</v>
      </c>
      <c r="V91" s="75" t="n">
        <f aca="false">SUMIFS('Dados Mov Financeira'!$N:$N,'Dados Mov Financeira'!$O:$O,'DRE 2019'!$B91,'Dados Mov Financeira'!$A:$A,'DRE 2019'!V$1)</f>
        <v>0</v>
      </c>
      <c r="W91" s="91" t="n">
        <f aca="false">IFERROR(V91/V$5,0)</f>
        <v>0</v>
      </c>
      <c r="Y91" s="75" t="n">
        <f aca="false">SUMIFS('Dados Mov Financeira'!$N:$N,'Dados Mov Financeira'!$O:$O,'DRE 2019'!$B91,'Dados Mov Financeira'!$A:$A,'DRE 2019'!Y$1)</f>
        <v>0</v>
      </c>
      <c r="Z91" s="91" t="n">
        <f aca="false">IFERROR(Y91/Y$5,0)</f>
        <v>0</v>
      </c>
      <c r="AB91" s="75" t="n">
        <f aca="false">SUMIFS('Dados Mov Financeira'!$N:$N,'Dados Mov Financeira'!$O:$O,'DRE 2019'!$B91,'Dados Mov Financeira'!$A:$A,'DRE 2019'!AB$1)</f>
        <v>0</v>
      </c>
      <c r="AC91" s="91" t="n">
        <f aca="false">IFERROR(AB91/AB$5,0)</f>
        <v>0</v>
      </c>
      <c r="AE91" s="75" t="n">
        <f aca="false">SUMIFS('Dados Mov Financeira'!$N:$N,'Dados Mov Financeira'!$O:$O,'DRE 2019'!$B91,'Dados Mov Financeira'!$A:$A,'DRE 2019'!AE$1)</f>
        <v>0</v>
      </c>
      <c r="AF91" s="91" t="n">
        <f aca="false">IFERROR(AE91/AE$5,0)</f>
        <v>0</v>
      </c>
      <c r="AH91" s="75" t="n">
        <f aca="false">SUMIFS('Dados Mov Financeira'!$N:$N,'Dados Mov Financeira'!$O:$O,'DRE 2019'!$B91,'Dados Mov Financeira'!$A:$A,'DRE 2019'!AH$1)</f>
        <v>0</v>
      </c>
      <c r="AI91" s="91" t="n">
        <f aca="false">IFERROR(AH91/AH$5,0)</f>
        <v>0</v>
      </c>
      <c r="AK91" s="75" t="n">
        <f aca="false">SUMIFS('Dados Mov Financeira'!$N:$N,'Dados Mov Financeira'!$O:$O,'DRE 2019'!$B91,'Dados Mov Financeira'!$A:$A,'DRE 2019'!AK$1)</f>
        <v>0</v>
      </c>
      <c r="AL91" s="91" t="n">
        <f aca="false">IFERROR(AK91/AK$5,0)</f>
        <v>0</v>
      </c>
      <c r="AN91" s="92" t="n">
        <f aca="false">SUM(D91,G91,J91,M91,P91,S91,V91,Y91,AB91,AE91,AH91,AK91)</f>
        <v>0</v>
      </c>
      <c r="AO91" s="91" t="n">
        <f aca="false">IFERROR(AN91/AN$5,0)</f>
        <v>0</v>
      </c>
      <c r="AQ91" s="93" t="n">
        <f aca="false">AN91/$AR$1</f>
        <v>0</v>
      </c>
      <c r="AR91" s="94" t="n">
        <f aca="false">IFERROR(AQ91/AQ$5,0)</f>
        <v>0</v>
      </c>
      <c r="AT91" s="111"/>
    </row>
    <row r="92" customFormat="false" ht="14.25" hidden="true" customHeight="false" outlineLevel="1" collapsed="false">
      <c r="B92" s="89" t="s">
        <v>113</v>
      </c>
      <c r="D92" s="75" t="n">
        <f aca="false">SUMIFS('Dados Mov Financeira'!$N:$N,'Dados Mov Financeira'!$O:$O,'DRE 2019'!$B92,'Dados Mov Financeira'!$A:$A,'DRE 2019'!D$1)</f>
        <v>0</v>
      </c>
      <c r="E92" s="91" t="n">
        <f aca="false">IFERROR(D92/D$5,0)</f>
        <v>0</v>
      </c>
      <c r="G92" s="75" t="n">
        <f aca="false">SUMIFS('Dados Mov Financeira'!$N:$N,'Dados Mov Financeira'!$O:$O,'DRE 2019'!$B92,'Dados Mov Financeira'!$A:$A,'DRE 2019'!G$1)</f>
        <v>0</v>
      </c>
      <c r="H92" s="91" t="n">
        <f aca="false">IFERROR(G92/G$5,0)</f>
        <v>0</v>
      </c>
      <c r="J92" s="75" t="n">
        <f aca="false">SUMIFS('Dados Mov Financeira'!$N:$N,'Dados Mov Financeira'!$O:$O,'DRE 2019'!$B92,'Dados Mov Financeira'!$A:$A,'DRE 2019'!J$1)</f>
        <v>0</v>
      </c>
      <c r="K92" s="91" t="n">
        <f aca="false">IFERROR(J92/J$5,0)</f>
        <v>0</v>
      </c>
      <c r="M92" s="75" t="n">
        <f aca="false">SUMIFS('Dados Mov Financeira'!$N:$N,'Dados Mov Financeira'!$O:$O,'DRE 2019'!$B92,'Dados Mov Financeira'!$A:$A,'DRE 2019'!M$1)</f>
        <v>0</v>
      </c>
      <c r="N92" s="91" t="n">
        <f aca="false">IFERROR(M92/M$5,0)</f>
        <v>0</v>
      </c>
      <c r="P92" s="75" t="n">
        <f aca="false">SUMIFS('Dados Mov Financeira'!$N:$N,'Dados Mov Financeira'!$O:$O,'DRE 2019'!$B92,'Dados Mov Financeira'!$A:$A,'DRE 2019'!P$1)</f>
        <v>0</v>
      </c>
      <c r="Q92" s="91" t="n">
        <f aca="false">IFERROR(P92/P$5,0)</f>
        <v>0</v>
      </c>
      <c r="S92" s="75" t="n">
        <f aca="false">SUMIFS('Dados Mov Financeira'!$N:$N,'Dados Mov Financeira'!$O:$O,'DRE 2019'!$B92,'Dados Mov Financeira'!$A:$A,'DRE 2019'!S$1)</f>
        <v>0</v>
      </c>
      <c r="T92" s="91" t="n">
        <f aca="false">IFERROR(S92/S$5,0)</f>
        <v>0</v>
      </c>
      <c r="V92" s="75" t="n">
        <f aca="false">SUMIFS('Dados Mov Financeira'!$N:$N,'Dados Mov Financeira'!$O:$O,'DRE 2019'!$B92,'Dados Mov Financeira'!$A:$A,'DRE 2019'!V$1)</f>
        <v>0</v>
      </c>
      <c r="W92" s="91" t="n">
        <f aca="false">IFERROR(V92/V$5,0)</f>
        <v>0</v>
      </c>
      <c r="Y92" s="75" t="n">
        <f aca="false">SUMIFS('Dados Mov Financeira'!$N:$N,'Dados Mov Financeira'!$O:$O,'DRE 2019'!$B92,'Dados Mov Financeira'!$A:$A,'DRE 2019'!Y$1)</f>
        <v>0</v>
      </c>
      <c r="Z92" s="91" t="n">
        <f aca="false">IFERROR(Y92/Y$5,0)</f>
        <v>0</v>
      </c>
      <c r="AB92" s="75" t="n">
        <f aca="false">SUMIFS('Dados Mov Financeira'!$N:$N,'Dados Mov Financeira'!$O:$O,'DRE 2019'!$B92,'Dados Mov Financeira'!$A:$A,'DRE 2019'!AB$1)</f>
        <v>0</v>
      </c>
      <c r="AC92" s="91" t="n">
        <f aca="false">IFERROR(AB92/AB$5,0)</f>
        <v>0</v>
      </c>
      <c r="AE92" s="75" t="n">
        <f aca="false">SUMIFS('Dados Mov Financeira'!$N:$N,'Dados Mov Financeira'!$O:$O,'DRE 2019'!$B92,'Dados Mov Financeira'!$A:$A,'DRE 2019'!AE$1)</f>
        <v>0</v>
      </c>
      <c r="AF92" s="91" t="n">
        <f aca="false">IFERROR(AE92/AE$5,0)</f>
        <v>0</v>
      </c>
      <c r="AH92" s="75" t="n">
        <f aca="false">SUMIFS('Dados Mov Financeira'!$N:$N,'Dados Mov Financeira'!$O:$O,'DRE 2019'!$B92,'Dados Mov Financeira'!$A:$A,'DRE 2019'!AH$1)</f>
        <v>0</v>
      </c>
      <c r="AI92" s="91" t="n">
        <f aca="false">IFERROR(AH92/AH$5,0)</f>
        <v>0</v>
      </c>
      <c r="AK92" s="75" t="n">
        <f aca="false">SUMIFS('Dados Mov Financeira'!$N:$N,'Dados Mov Financeira'!$O:$O,'DRE 2019'!$B92,'Dados Mov Financeira'!$A:$A,'DRE 2019'!AK$1)</f>
        <v>0</v>
      </c>
      <c r="AL92" s="91" t="n">
        <f aca="false">IFERROR(AK92/AK$5,0)</f>
        <v>0</v>
      </c>
      <c r="AN92" s="92" t="n">
        <f aca="false">SUM(D92,G92,J92,M92,P92,S92,V92,Y92,AB92,AE92,AH92,AK92)</f>
        <v>0</v>
      </c>
      <c r="AO92" s="91" t="n">
        <f aca="false">IFERROR(AN92/AN$5,0)</f>
        <v>0</v>
      </c>
      <c r="AQ92" s="93" t="n">
        <f aca="false">AN92/$AR$1</f>
        <v>0</v>
      </c>
      <c r="AR92" s="94" t="n">
        <f aca="false">IFERROR(AQ92/AQ$5,0)</f>
        <v>0</v>
      </c>
      <c r="AT92" s="111"/>
    </row>
    <row r="93" customFormat="false" ht="14.25" hidden="true" customHeight="false" outlineLevel="1" collapsed="false">
      <c r="B93" s="89" t="s">
        <v>114</v>
      </c>
      <c r="D93" s="75" t="n">
        <f aca="false">SUMIFS('Dados Mov Financeira'!$N:$N,'Dados Mov Financeira'!$O:$O,'DRE 2019'!$B93,'Dados Mov Financeira'!$A:$A,'DRE 2019'!D$1)</f>
        <v>0</v>
      </c>
      <c r="E93" s="91" t="n">
        <f aca="false">IFERROR(D93/D$5,0)</f>
        <v>0</v>
      </c>
      <c r="G93" s="75" t="n">
        <f aca="false">SUMIFS('Dados Mov Financeira'!$N:$N,'Dados Mov Financeira'!$O:$O,'DRE 2019'!$B93,'Dados Mov Financeira'!$A:$A,'DRE 2019'!G$1)</f>
        <v>0</v>
      </c>
      <c r="H93" s="91" t="n">
        <f aca="false">IFERROR(G93/G$5,0)</f>
        <v>0</v>
      </c>
      <c r="J93" s="75" t="n">
        <f aca="false">SUMIFS('Dados Mov Financeira'!$N:$N,'Dados Mov Financeira'!$O:$O,'DRE 2019'!$B93,'Dados Mov Financeira'!$A:$A,'DRE 2019'!J$1)</f>
        <v>0</v>
      </c>
      <c r="K93" s="91" t="n">
        <f aca="false">IFERROR(J93/J$5,0)</f>
        <v>0</v>
      </c>
      <c r="M93" s="75" t="n">
        <f aca="false">SUMIFS('Dados Mov Financeira'!$N:$N,'Dados Mov Financeira'!$O:$O,'DRE 2019'!$B93,'Dados Mov Financeira'!$A:$A,'DRE 2019'!M$1)</f>
        <v>0</v>
      </c>
      <c r="N93" s="91" t="n">
        <f aca="false">IFERROR(M93/M$5,0)</f>
        <v>0</v>
      </c>
      <c r="P93" s="75" t="n">
        <f aca="false">SUMIFS('Dados Mov Financeira'!$N:$N,'Dados Mov Financeira'!$O:$O,'DRE 2019'!$B93,'Dados Mov Financeira'!$A:$A,'DRE 2019'!P$1)</f>
        <v>0</v>
      </c>
      <c r="Q93" s="91" t="n">
        <f aca="false">IFERROR(P93/P$5,0)</f>
        <v>0</v>
      </c>
      <c r="S93" s="75" t="n">
        <f aca="false">SUMIFS('Dados Mov Financeira'!$N:$N,'Dados Mov Financeira'!$O:$O,'DRE 2019'!$B93,'Dados Mov Financeira'!$A:$A,'DRE 2019'!S$1)</f>
        <v>0</v>
      </c>
      <c r="T93" s="91" t="n">
        <f aca="false">IFERROR(S93/S$5,0)</f>
        <v>0</v>
      </c>
      <c r="V93" s="75" t="n">
        <f aca="false">SUMIFS('Dados Mov Financeira'!$N:$N,'Dados Mov Financeira'!$O:$O,'DRE 2019'!$B93,'Dados Mov Financeira'!$A:$A,'DRE 2019'!V$1)</f>
        <v>0</v>
      </c>
      <c r="W93" s="91" t="n">
        <f aca="false">IFERROR(V93/V$5,0)</f>
        <v>0</v>
      </c>
      <c r="Y93" s="75" t="n">
        <f aca="false">SUMIFS('Dados Mov Financeira'!$N:$N,'Dados Mov Financeira'!$O:$O,'DRE 2019'!$B93,'Dados Mov Financeira'!$A:$A,'DRE 2019'!Y$1)</f>
        <v>0</v>
      </c>
      <c r="Z93" s="91" t="n">
        <f aca="false">IFERROR(Y93/Y$5,0)</f>
        <v>0</v>
      </c>
      <c r="AB93" s="75" t="n">
        <f aca="false">SUMIFS('Dados Mov Financeira'!$N:$N,'Dados Mov Financeira'!$O:$O,'DRE 2019'!$B93,'Dados Mov Financeira'!$A:$A,'DRE 2019'!AB$1)</f>
        <v>0</v>
      </c>
      <c r="AC93" s="91" t="n">
        <f aca="false">IFERROR(AB93/AB$5,0)</f>
        <v>0</v>
      </c>
      <c r="AE93" s="75" t="n">
        <f aca="false">SUMIFS('Dados Mov Financeira'!$N:$N,'Dados Mov Financeira'!$O:$O,'DRE 2019'!$B93,'Dados Mov Financeira'!$A:$A,'DRE 2019'!AE$1)</f>
        <v>0</v>
      </c>
      <c r="AF93" s="91" t="n">
        <f aca="false">IFERROR(AE93/AE$5,0)</f>
        <v>0</v>
      </c>
      <c r="AH93" s="75" t="n">
        <f aca="false">SUMIFS('Dados Mov Financeira'!$N:$N,'Dados Mov Financeira'!$O:$O,'DRE 2019'!$B93,'Dados Mov Financeira'!$A:$A,'DRE 2019'!AH$1)</f>
        <v>0</v>
      </c>
      <c r="AI93" s="91" t="n">
        <f aca="false">IFERROR(AH93/AH$5,0)</f>
        <v>0</v>
      </c>
      <c r="AK93" s="75" t="n">
        <f aca="false">SUMIFS('Dados Mov Financeira'!$N:$N,'Dados Mov Financeira'!$O:$O,'DRE 2019'!$B93,'Dados Mov Financeira'!$A:$A,'DRE 2019'!AK$1)</f>
        <v>0</v>
      </c>
      <c r="AL93" s="91" t="n">
        <f aca="false">IFERROR(AK93/AK$5,0)</f>
        <v>0</v>
      </c>
      <c r="AN93" s="92" t="n">
        <f aca="false">SUM(D93,G93,J93,M93,P93,S93,V93,Y93,AB93,AE93,AH93,AK93)</f>
        <v>0</v>
      </c>
      <c r="AO93" s="91" t="n">
        <f aca="false">IFERROR(AN93/AN$5,0)</f>
        <v>0</v>
      </c>
      <c r="AQ93" s="93" t="n">
        <f aca="false">AN93/$AR$1</f>
        <v>0</v>
      </c>
      <c r="AR93" s="94" t="n">
        <f aca="false">IFERROR(AQ93/AQ$5,0)</f>
        <v>0</v>
      </c>
      <c r="AT93" s="111"/>
    </row>
    <row r="94" customFormat="false" ht="14.25" hidden="true" customHeight="false" outlineLevel="1" collapsed="false">
      <c r="B94" s="89" t="s">
        <v>115</v>
      </c>
      <c r="D94" s="75" t="n">
        <f aca="false">SUMIFS('Dados Mov Financeira'!$N:$N,'Dados Mov Financeira'!$O:$O,'DRE 2019'!$B94,'Dados Mov Financeira'!$A:$A,'DRE 2019'!D$1)</f>
        <v>0</v>
      </c>
      <c r="E94" s="91" t="n">
        <f aca="false">IFERROR(D94/D$5,0)</f>
        <v>0</v>
      </c>
      <c r="G94" s="75" t="n">
        <f aca="false">SUMIFS('Dados Mov Financeira'!$N:$N,'Dados Mov Financeira'!$O:$O,'DRE 2019'!$B94,'Dados Mov Financeira'!$A:$A,'DRE 2019'!G$1)</f>
        <v>0</v>
      </c>
      <c r="H94" s="91" t="n">
        <f aca="false">IFERROR(G94/G$5,0)</f>
        <v>0</v>
      </c>
      <c r="J94" s="75" t="n">
        <f aca="false">SUMIFS('Dados Mov Financeira'!$N:$N,'Dados Mov Financeira'!$O:$O,'DRE 2019'!$B94,'Dados Mov Financeira'!$A:$A,'DRE 2019'!J$1)</f>
        <v>0</v>
      </c>
      <c r="K94" s="91" t="n">
        <f aca="false">IFERROR(J94/J$5,0)</f>
        <v>0</v>
      </c>
      <c r="M94" s="75" t="n">
        <f aca="false">SUMIFS('Dados Mov Financeira'!$N:$N,'Dados Mov Financeira'!$O:$O,'DRE 2019'!$B94,'Dados Mov Financeira'!$A:$A,'DRE 2019'!M$1)</f>
        <v>0</v>
      </c>
      <c r="N94" s="91" t="n">
        <f aca="false">IFERROR(M94/M$5,0)</f>
        <v>0</v>
      </c>
      <c r="P94" s="75" t="n">
        <f aca="false">SUMIFS('Dados Mov Financeira'!$N:$N,'Dados Mov Financeira'!$O:$O,'DRE 2019'!$B94,'Dados Mov Financeira'!$A:$A,'DRE 2019'!P$1)</f>
        <v>0</v>
      </c>
      <c r="Q94" s="91" t="n">
        <f aca="false">IFERROR(P94/P$5,0)</f>
        <v>0</v>
      </c>
      <c r="S94" s="75" t="n">
        <f aca="false">SUMIFS('Dados Mov Financeira'!$N:$N,'Dados Mov Financeira'!$O:$O,'DRE 2019'!$B94,'Dados Mov Financeira'!$A:$A,'DRE 2019'!S$1)</f>
        <v>0</v>
      </c>
      <c r="T94" s="91" t="n">
        <f aca="false">IFERROR(S94/S$5,0)</f>
        <v>0</v>
      </c>
      <c r="V94" s="75" t="n">
        <f aca="false">SUMIFS('Dados Mov Financeira'!$N:$N,'Dados Mov Financeira'!$O:$O,'DRE 2019'!$B94,'Dados Mov Financeira'!$A:$A,'DRE 2019'!V$1)</f>
        <v>0</v>
      </c>
      <c r="W94" s="91" t="n">
        <f aca="false">IFERROR(V94/V$5,0)</f>
        <v>0</v>
      </c>
      <c r="Y94" s="75" t="n">
        <f aca="false">SUMIFS('Dados Mov Financeira'!$N:$N,'Dados Mov Financeira'!$O:$O,'DRE 2019'!$B94,'Dados Mov Financeira'!$A:$A,'DRE 2019'!Y$1)</f>
        <v>0</v>
      </c>
      <c r="Z94" s="91" t="n">
        <f aca="false">IFERROR(Y94/Y$5,0)</f>
        <v>0</v>
      </c>
      <c r="AB94" s="75" t="n">
        <f aca="false">SUMIFS('Dados Mov Financeira'!$N:$N,'Dados Mov Financeira'!$O:$O,'DRE 2019'!$B94,'Dados Mov Financeira'!$A:$A,'DRE 2019'!AB$1)</f>
        <v>0</v>
      </c>
      <c r="AC94" s="91" t="n">
        <f aca="false">IFERROR(AB94/AB$5,0)</f>
        <v>0</v>
      </c>
      <c r="AE94" s="75" t="n">
        <f aca="false">SUMIFS('Dados Mov Financeira'!$N:$N,'Dados Mov Financeira'!$O:$O,'DRE 2019'!$B94,'Dados Mov Financeira'!$A:$A,'DRE 2019'!AE$1)</f>
        <v>0</v>
      </c>
      <c r="AF94" s="91" t="n">
        <f aca="false">IFERROR(AE94/AE$5,0)</f>
        <v>0</v>
      </c>
      <c r="AH94" s="75" t="n">
        <f aca="false">SUMIFS('Dados Mov Financeira'!$N:$N,'Dados Mov Financeira'!$O:$O,'DRE 2019'!$B94,'Dados Mov Financeira'!$A:$A,'DRE 2019'!AH$1)</f>
        <v>0</v>
      </c>
      <c r="AI94" s="91" t="n">
        <f aca="false">IFERROR(AH94/AH$5,0)</f>
        <v>0</v>
      </c>
      <c r="AK94" s="75" t="n">
        <f aca="false">SUMIFS('Dados Mov Financeira'!$N:$N,'Dados Mov Financeira'!$O:$O,'DRE 2019'!$B94,'Dados Mov Financeira'!$A:$A,'DRE 2019'!AK$1)</f>
        <v>0</v>
      </c>
      <c r="AL94" s="91" t="n">
        <f aca="false">IFERROR(AK94/AK$5,0)</f>
        <v>0</v>
      </c>
      <c r="AN94" s="92" t="n">
        <f aca="false">SUM(D94,G94,J94,M94,P94,S94,V94,Y94,AB94,AE94,AH94,AK94)</f>
        <v>0</v>
      </c>
      <c r="AO94" s="91" t="n">
        <f aca="false">IFERROR(AN94/AN$5,0)</f>
        <v>0</v>
      </c>
      <c r="AQ94" s="93" t="n">
        <f aca="false">AN94/$AR$1</f>
        <v>0</v>
      </c>
      <c r="AR94" s="94" t="n">
        <f aca="false">IFERROR(AQ94/AQ$5,0)</f>
        <v>0</v>
      </c>
      <c r="AT94" s="112"/>
    </row>
    <row r="95" s="63" customFormat="true" ht="14.25" hidden="false" customHeight="false" outlineLevel="0" collapsed="false">
      <c r="B95" s="106" t="s">
        <v>116</v>
      </c>
      <c r="C95" s="100"/>
      <c r="D95" s="75" t="n">
        <f aca="false">SUM(D96:D99)</f>
        <v>0</v>
      </c>
      <c r="E95" s="88" t="n">
        <f aca="false">IFERROR(D95/D$5,0)</f>
        <v>0</v>
      </c>
      <c r="F95" s="100"/>
      <c r="G95" s="75" t="n">
        <f aca="false">SUM(G96:G99)</f>
        <v>0</v>
      </c>
      <c r="H95" s="88" t="n">
        <f aca="false">IFERROR(G95/G$5,0)</f>
        <v>0</v>
      </c>
      <c r="I95" s="100"/>
      <c r="J95" s="75" t="n">
        <f aca="false">SUM(J96:J99)</f>
        <v>0</v>
      </c>
      <c r="K95" s="88" t="n">
        <f aca="false">IFERROR(J95/J$5,0)</f>
        <v>0</v>
      </c>
      <c r="L95" s="100"/>
      <c r="M95" s="75" t="n">
        <f aca="false">SUM(M96:M99)</f>
        <v>0</v>
      </c>
      <c r="N95" s="88" t="n">
        <f aca="false">IFERROR(M95/M$5,0)</f>
        <v>0</v>
      </c>
      <c r="O95" s="100"/>
      <c r="P95" s="75" t="n">
        <f aca="false">SUM(P96:P99)</f>
        <v>0</v>
      </c>
      <c r="Q95" s="88" t="n">
        <f aca="false">IFERROR(P95/P$5,0)</f>
        <v>0</v>
      </c>
      <c r="R95" s="100"/>
      <c r="S95" s="75" t="n">
        <f aca="false">SUM(S96:S99)</f>
        <v>0</v>
      </c>
      <c r="T95" s="88" t="n">
        <f aca="false">IFERROR(S95/S$5,0)</f>
        <v>0</v>
      </c>
      <c r="U95" s="100"/>
      <c r="V95" s="75" t="n">
        <f aca="false">SUM(V96:V99)</f>
        <v>0</v>
      </c>
      <c r="W95" s="88" t="n">
        <f aca="false">IFERROR(V95/V$5,0)</f>
        <v>0</v>
      </c>
      <c r="X95" s="100"/>
      <c r="Y95" s="75" t="n">
        <f aca="false">SUM(Y96:Y99)</f>
        <v>0</v>
      </c>
      <c r="Z95" s="88" t="n">
        <f aca="false">IFERROR(Y95/Y$5,0)</f>
        <v>0</v>
      </c>
      <c r="AA95" s="100"/>
      <c r="AB95" s="75" t="n">
        <f aca="false">SUM(AB96:AB99)</f>
        <v>0</v>
      </c>
      <c r="AC95" s="88" t="n">
        <f aca="false">IFERROR(AB95/AB$5,0)</f>
        <v>0</v>
      </c>
      <c r="AD95" s="100"/>
      <c r="AE95" s="75" t="n">
        <f aca="false">SUM(AE96:AE99)</f>
        <v>0</v>
      </c>
      <c r="AF95" s="88" t="n">
        <f aca="false">IFERROR(AE95/AE$5,0)</f>
        <v>0</v>
      </c>
      <c r="AG95" s="100"/>
      <c r="AH95" s="75" t="n">
        <f aca="false">SUM(AH96:AH99)</f>
        <v>0</v>
      </c>
      <c r="AI95" s="88" t="n">
        <f aca="false">IFERROR(AH95/AH$5,0)</f>
        <v>0</v>
      </c>
      <c r="AJ95" s="100"/>
      <c r="AK95" s="75" t="n">
        <f aca="false">SUM(AK96:AK99)</f>
        <v>0</v>
      </c>
      <c r="AL95" s="88" t="n">
        <f aca="false">IFERROR(AK95/AK$5,0)</f>
        <v>0</v>
      </c>
      <c r="AM95" s="100"/>
      <c r="AN95" s="75" t="n">
        <f aca="false">SUM(D95,G95,J95,M95,P95,S95,V95,Y95,AB95,AE95,AH95,AK95)</f>
        <v>0</v>
      </c>
      <c r="AO95" s="88" t="n">
        <f aca="false">IFERROR(AN95/AN$5,0)</f>
        <v>0</v>
      </c>
      <c r="AP95" s="100"/>
      <c r="AQ95" s="77" t="n">
        <f aca="false">AN95/$AR$1</f>
        <v>0</v>
      </c>
      <c r="AR95" s="76" t="n">
        <f aca="false">IFERROR(AQ95/AQ$5,0)</f>
        <v>0</v>
      </c>
      <c r="AS95" s="100"/>
      <c r="AT95" s="78" t="n">
        <v>-0.01</v>
      </c>
    </row>
    <row r="96" customFormat="false" ht="14.25" hidden="true" customHeight="false" outlineLevel="1" collapsed="false">
      <c r="B96" s="89" t="s">
        <v>117</v>
      </c>
      <c r="C96" s="96"/>
      <c r="D96" s="75" t="n">
        <f aca="false">SUMIFS('Dados Mov Financeira'!$N:$N,'Dados Mov Financeira'!$O:$O,'DRE 2019'!$B96,'Dados Mov Financeira'!$A:$A,'DRE 2019'!D$1)</f>
        <v>0</v>
      </c>
      <c r="E96" s="91" t="n">
        <f aca="false">IFERROR(D96/D$5,0)</f>
        <v>0</v>
      </c>
      <c r="F96" s="96"/>
      <c r="G96" s="75" t="n">
        <f aca="false">SUMIFS('Dados Mov Financeira'!$N:$N,'Dados Mov Financeira'!$O:$O,'DRE 2019'!$B96,'Dados Mov Financeira'!$A:$A,'DRE 2019'!G$1)</f>
        <v>0</v>
      </c>
      <c r="H96" s="91" t="n">
        <f aca="false">IFERROR(G96/G$5,0)</f>
        <v>0</v>
      </c>
      <c r="I96" s="96"/>
      <c r="J96" s="75" t="n">
        <f aca="false">SUMIFS('Dados Mov Financeira'!$N:$N,'Dados Mov Financeira'!$O:$O,'DRE 2019'!$B96,'Dados Mov Financeira'!$A:$A,'DRE 2019'!J$1)</f>
        <v>0</v>
      </c>
      <c r="K96" s="91" t="n">
        <f aca="false">IFERROR(J96/J$5,0)</f>
        <v>0</v>
      </c>
      <c r="L96" s="96"/>
      <c r="M96" s="75" t="n">
        <f aca="false">SUMIFS('Dados Mov Financeira'!$N:$N,'Dados Mov Financeira'!$O:$O,'DRE 2019'!$B96,'Dados Mov Financeira'!$A:$A,'DRE 2019'!M$1)</f>
        <v>0</v>
      </c>
      <c r="N96" s="91" t="n">
        <f aca="false">IFERROR(M96/M$5,0)</f>
        <v>0</v>
      </c>
      <c r="O96" s="96"/>
      <c r="P96" s="75" t="n">
        <f aca="false">SUMIFS('Dados Mov Financeira'!$N:$N,'Dados Mov Financeira'!$O:$O,'DRE 2019'!$B96,'Dados Mov Financeira'!$A:$A,'DRE 2019'!P$1)</f>
        <v>0</v>
      </c>
      <c r="Q96" s="91" t="n">
        <f aca="false">IFERROR(P96/P$5,0)</f>
        <v>0</v>
      </c>
      <c r="R96" s="96"/>
      <c r="S96" s="75" t="n">
        <f aca="false">SUMIFS('Dados Mov Financeira'!$N:$N,'Dados Mov Financeira'!$O:$O,'DRE 2019'!$B96,'Dados Mov Financeira'!$A:$A,'DRE 2019'!S$1)</f>
        <v>0</v>
      </c>
      <c r="T96" s="91" t="n">
        <f aca="false">IFERROR(S96/S$5,0)</f>
        <v>0</v>
      </c>
      <c r="U96" s="96"/>
      <c r="V96" s="75" t="n">
        <f aca="false">SUMIFS('Dados Mov Financeira'!$N:$N,'Dados Mov Financeira'!$O:$O,'DRE 2019'!$B96,'Dados Mov Financeira'!$A:$A,'DRE 2019'!V$1)</f>
        <v>0</v>
      </c>
      <c r="W96" s="91" t="n">
        <f aca="false">IFERROR(V96/V$5,0)</f>
        <v>0</v>
      </c>
      <c r="X96" s="96"/>
      <c r="Y96" s="75" t="n">
        <f aca="false">SUMIFS('Dados Mov Financeira'!$N:$N,'Dados Mov Financeira'!$O:$O,'DRE 2019'!$B96,'Dados Mov Financeira'!$A:$A,'DRE 2019'!Y$1)</f>
        <v>0</v>
      </c>
      <c r="Z96" s="91" t="n">
        <f aca="false">IFERROR(Y96/Y$5,0)</f>
        <v>0</v>
      </c>
      <c r="AA96" s="96"/>
      <c r="AB96" s="75" t="n">
        <f aca="false">SUMIFS('Dados Mov Financeira'!$N:$N,'Dados Mov Financeira'!$O:$O,'DRE 2019'!$B96,'Dados Mov Financeira'!$A:$A,'DRE 2019'!AB$1)</f>
        <v>0</v>
      </c>
      <c r="AC96" s="91" t="n">
        <f aca="false">IFERROR(AB96/AB$5,0)</f>
        <v>0</v>
      </c>
      <c r="AD96" s="96"/>
      <c r="AE96" s="75" t="n">
        <f aca="false">SUMIFS('Dados Mov Financeira'!$N:$N,'Dados Mov Financeira'!$O:$O,'DRE 2019'!$B96,'Dados Mov Financeira'!$A:$A,'DRE 2019'!AE$1)</f>
        <v>0</v>
      </c>
      <c r="AF96" s="91" t="n">
        <f aca="false">IFERROR(AE96/AE$5,0)</f>
        <v>0</v>
      </c>
      <c r="AG96" s="96"/>
      <c r="AH96" s="75" t="n">
        <f aca="false">SUMIFS('Dados Mov Financeira'!$N:$N,'Dados Mov Financeira'!$O:$O,'DRE 2019'!$B96,'Dados Mov Financeira'!$A:$A,'DRE 2019'!AH$1)</f>
        <v>0</v>
      </c>
      <c r="AI96" s="91" t="n">
        <f aca="false">IFERROR(AH96/AH$5,0)</f>
        <v>0</v>
      </c>
      <c r="AJ96" s="96"/>
      <c r="AK96" s="75" t="n">
        <f aca="false">SUMIFS('Dados Mov Financeira'!$N:$N,'Dados Mov Financeira'!$O:$O,'DRE 2019'!$B96,'Dados Mov Financeira'!$A:$A,'DRE 2019'!AK$1)</f>
        <v>0</v>
      </c>
      <c r="AL96" s="91" t="n">
        <f aca="false">IFERROR(AK96/AK$5,0)</f>
        <v>0</v>
      </c>
      <c r="AM96" s="96"/>
      <c r="AN96" s="92" t="n">
        <f aca="false">SUM(D96,G96,J96,M96,P96,S96,V96,Y96,AB96,AE96,AH96,AK96)</f>
        <v>0</v>
      </c>
      <c r="AO96" s="91" t="n">
        <f aca="false">IFERROR(AN96/AN$5,0)</f>
        <v>0</v>
      </c>
      <c r="AP96" s="96"/>
      <c r="AQ96" s="93" t="n">
        <f aca="false">AN96/$AR$1</f>
        <v>0</v>
      </c>
      <c r="AR96" s="94" t="n">
        <f aca="false">IFERROR(AQ96/AQ$5,0)</f>
        <v>0</v>
      </c>
      <c r="AS96" s="96"/>
      <c r="AT96" s="110"/>
    </row>
    <row r="97" customFormat="false" ht="14.25" hidden="true" customHeight="false" outlineLevel="1" collapsed="false">
      <c r="B97" s="89" t="s">
        <v>118</v>
      </c>
      <c r="C97" s="96"/>
      <c r="D97" s="75" t="n">
        <f aca="false">SUMIFS('Dados Mov Financeira'!$N:$N,'Dados Mov Financeira'!$O:$O,'DRE 2019'!$B97,'Dados Mov Financeira'!$A:$A,'DRE 2019'!D$1)</f>
        <v>0</v>
      </c>
      <c r="E97" s="91" t="n">
        <f aca="false">IFERROR(D97/D$5,0)</f>
        <v>0</v>
      </c>
      <c r="F97" s="96"/>
      <c r="G97" s="75" t="n">
        <f aca="false">SUMIFS('Dados Mov Financeira'!$N:$N,'Dados Mov Financeira'!$O:$O,'DRE 2019'!$B97,'Dados Mov Financeira'!$A:$A,'DRE 2019'!G$1)</f>
        <v>0</v>
      </c>
      <c r="H97" s="91" t="n">
        <f aca="false">IFERROR(G97/G$5,0)</f>
        <v>0</v>
      </c>
      <c r="I97" s="96"/>
      <c r="J97" s="75" t="n">
        <f aca="false">SUMIFS('Dados Mov Financeira'!$N:$N,'Dados Mov Financeira'!$O:$O,'DRE 2019'!$B97,'Dados Mov Financeira'!$A:$A,'DRE 2019'!J$1)</f>
        <v>0</v>
      </c>
      <c r="K97" s="91" t="n">
        <f aca="false">IFERROR(J97/J$5,0)</f>
        <v>0</v>
      </c>
      <c r="L97" s="96"/>
      <c r="M97" s="75" t="n">
        <f aca="false">SUMIFS('Dados Mov Financeira'!$N:$N,'Dados Mov Financeira'!$O:$O,'DRE 2019'!$B97,'Dados Mov Financeira'!$A:$A,'DRE 2019'!M$1)</f>
        <v>0</v>
      </c>
      <c r="N97" s="91" t="n">
        <f aca="false">IFERROR(M97/M$5,0)</f>
        <v>0</v>
      </c>
      <c r="O97" s="96"/>
      <c r="P97" s="75" t="n">
        <f aca="false">SUMIFS('Dados Mov Financeira'!$N:$N,'Dados Mov Financeira'!$O:$O,'DRE 2019'!$B97,'Dados Mov Financeira'!$A:$A,'DRE 2019'!P$1)</f>
        <v>0</v>
      </c>
      <c r="Q97" s="91" t="n">
        <f aca="false">IFERROR(P97/P$5,0)</f>
        <v>0</v>
      </c>
      <c r="R97" s="96"/>
      <c r="S97" s="75" t="n">
        <f aca="false">SUMIFS('Dados Mov Financeira'!$N:$N,'Dados Mov Financeira'!$O:$O,'DRE 2019'!$B97,'Dados Mov Financeira'!$A:$A,'DRE 2019'!S$1)</f>
        <v>0</v>
      </c>
      <c r="T97" s="91" t="n">
        <f aca="false">IFERROR(S97/S$5,0)</f>
        <v>0</v>
      </c>
      <c r="U97" s="96"/>
      <c r="V97" s="75" t="n">
        <f aca="false">SUMIFS('Dados Mov Financeira'!$N:$N,'Dados Mov Financeira'!$O:$O,'DRE 2019'!$B97,'Dados Mov Financeira'!$A:$A,'DRE 2019'!V$1)</f>
        <v>0</v>
      </c>
      <c r="W97" s="91" t="n">
        <f aca="false">IFERROR(V97/V$5,0)</f>
        <v>0</v>
      </c>
      <c r="X97" s="96"/>
      <c r="Y97" s="75" t="n">
        <f aca="false">SUMIFS('Dados Mov Financeira'!$N:$N,'Dados Mov Financeira'!$O:$O,'DRE 2019'!$B97,'Dados Mov Financeira'!$A:$A,'DRE 2019'!Y$1)</f>
        <v>0</v>
      </c>
      <c r="Z97" s="91" t="n">
        <f aca="false">IFERROR(Y97/Y$5,0)</f>
        <v>0</v>
      </c>
      <c r="AA97" s="96"/>
      <c r="AB97" s="75" t="n">
        <f aca="false">SUMIFS('Dados Mov Financeira'!$N:$N,'Dados Mov Financeira'!$O:$O,'DRE 2019'!$B97,'Dados Mov Financeira'!$A:$A,'DRE 2019'!AB$1)</f>
        <v>0</v>
      </c>
      <c r="AC97" s="91" t="n">
        <f aca="false">IFERROR(AB97/AB$5,0)</f>
        <v>0</v>
      </c>
      <c r="AD97" s="96"/>
      <c r="AE97" s="75" t="n">
        <f aca="false">SUMIFS('Dados Mov Financeira'!$N:$N,'Dados Mov Financeira'!$O:$O,'DRE 2019'!$B97,'Dados Mov Financeira'!$A:$A,'DRE 2019'!AE$1)</f>
        <v>0</v>
      </c>
      <c r="AF97" s="91" t="n">
        <f aca="false">IFERROR(AE97/AE$5,0)</f>
        <v>0</v>
      </c>
      <c r="AG97" s="96"/>
      <c r="AH97" s="75" t="n">
        <f aca="false">SUMIFS('Dados Mov Financeira'!$N:$N,'Dados Mov Financeira'!$O:$O,'DRE 2019'!$B97,'Dados Mov Financeira'!$A:$A,'DRE 2019'!AH$1)</f>
        <v>0</v>
      </c>
      <c r="AI97" s="91" t="n">
        <f aca="false">IFERROR(AH97/AH$5,0)</f>
        <v>0</v>
      </c>
      <c r="AJ97" s="96"/>
      <c r="AK97" s="75" t="n">
        <f aca="false">SUMIFS('Dados Mov Financeira'!$N:$N,'Dados Mov Financeira'!$O:$O,'DRE 2019'!$B97,'Dados Mov Financeira'!$A:$A,'DRE 2019'!AK$1)</f>
        <v>0</v>
      </c>
      <c r="AL97" s="91" t="n">
        <f aca="false">IFERROR(AK97/AK$5,0)</f>
        <v>0</v>
      </c>
      <c r="AM97" s="96"/>
      <c r="AN97" s="92" t="n">
        <f aca="false">SUM(D97,G97,J97,M97,P97,S97,V97,Y97,AB97,AE97,AH97,AK97)</f>
        <v>0</v>
      </c>
      <c r="AO97" s="91" t="n">
        <f aca="false">IFERROR(AN97/AN$5,0)</f>
        <v>0</v>
      </c>
      <c r="AP97" s="96"/>
      <c r="AQ97" s="93" t="n">
        <f aca="false">AN97/$AR$1</f>
        <v>0</v>
      </c>
      <c r="AR97" s="94" t="n">
        <f aca="false">IFERROR(AQ97/AQ$5,0)</f>
        <v>0</v>
      </c>
      <c r="AS97" s="96"/>
      <c r="AT97" s="111"/>
    </row>
    <row r="98" customFormat="false" ht="14.25" hidden="true" customHeight="false" outlineLevel="1" collapsed="false">
      <c r="B98" s="89" t="s">
        <v>119</v>
      </c>
      <c r="C98" s="96"/>
      <c r="D98" s="75" t="n">
        <f aca="false">SUMIFS('Dados Mov Financeira'!$N:$N,'Dados Mov Financeira'!$O:$O,'DRE 2019'!$B98,'Dados Mov Financeira'!$A:$A,'DRE 2019'!D$1)</f>
        <v>0</v>
      </c>
      <c r="E98" s="91" t="n">
        <f aca="false">IFERROR(D98/D$5,0)</f>
        <v>0</v>
      </c>
      <c r="F98" s="96"/>
      <c r="G98" s="75" t="n">
        <f aca="false">SUMIFS('Dados Mov Financeira'!$N:$N,'Dados Mov Financeira'!$O:$O,'DRE 2019'!$B98,'Dados Mov Financeira'!$A:$A,'DRE 2019'!G$1)</f>
        <v>0</v>
      </c>
      <c r="H98" s="91" t="n">
        <f aca="false">IFERROR(G98/G$5,0)</f>
        <v>0</v>
      </c>
      <c r="I98" s="96"/>
      <c r="J98" s="75" t="n">
        <f aca="false">SUMIFS('Dados Mov Financeira'!$N:$N,'Dados Mov Financeira'!$O:$O,'DRE 2019'!$B98,'Dados Mov Financeira'!$A:$A,'DRE 2019'!J$1)</f>
        <v>0</v>
      </c>
      <c r="K98" s="91" t="n">
        <f aca="false">IFERROR(J98/J$5,0)</f>
        <v>0</v>
      </c>
      <c r="L98" s="96"/>
      <c r="M98" s="75" t="n">
        <f aca="false">SUMIFS('Dados Mov Financeira'!$N:$N,'Dados Mov Financeira'!$O:$O,'DRE 2019'!$B98,'Dados Mov Financeira'!$A:$A,'DRE 2019'!M$1)</f>
        <v>0</v>
      </c>
      <c r="N98" s="91" t="n">
        <f aca="false">IFERROR(M98/M$5,0)</f>
        <v>0</v>
      </c>
      <c r="O98" s="96"/>
      <c r="P98" s="75" t="n">
        <f aca="false">SUMIFS('Dados Mov Financeira'!$N:$N,'Dados Mov Financeira'!$O:$O,'DRE 2019'!$B98,'Dados Mov Financeira'!$A:$A,'DRE 2019'!P$1)</f>
        <v>0</v>
      </c>
      <c r="Q98" s="91" t="n">
        <f aca="false">IFERROR(P98/P$5,0)</f>
        <v>0</v>
      </c>
      <c r="R98" s="96"/>
      <c r="S98" s="75" t="n">
        <f aca="false">SUMIFS('Dados Mov Financeira'!$N:$N,'Dados Mov Financeira'!$O:$O,'DRE 2019'!$B98,'Dados Mov Financeira'!$A:$A,'DRE 2019'!S$1)</f>
        <v>0</v>
      </c>
      <c r="T98" s="91" t="n">
        <f aca="false">IFERROR(S98/S$5,0)</f>
        <v>0</v>
      </c>
      <c r="U98" s="96"/>
      <c r="V98" s="75" t="n">
        <f aca="false">SUMIFS('Dados Mov Financeira'!$N:$N,'Dados Mov Financeira'!$O:$O,'DRE 2019'!$B98,'Dados Mov Financeira'!$A:$A,'DRE 2019'!V$1)</f>
        <v>0</v>
      </c>
      <c r="W98" s="91" t="n">
        <f aca="false">IFERROR(V98/V$5,0)</f>
        <v>0</v>
      </c>
      <c r="X98" s="96"/>
      <c r="Y98" s="75" t="n">
        <f aca="false">SUMIFS('Dados Mov Financeira'!$N:$N,'Dados Mov Financeira'!$O:$O,'DRE 2019'!$B98,'Dados Mov Financeira'!$A:$A,'DRE 2019'!Y$1)</f>
        <v>0</v>
      </c>
      <c r="Z98" s="91" t="n">
        <f aca="false">IFERROR(Y98/Y$5,0)</f>
        <v>0</v>
      </c>
      <c r="AA98" s="96"/>
      <c r="AB98" s="75" t="n">
        <f aca="false">SUMIFS('Dados Mov Financeira'!$N:$N,'Dados Mov Financeira'!$O:$O,'DRE 2019'!$B98,'Dados Mov Financeira'!$A:$A,'DRE 2019'!AB$1)</f>
        <v>0</v>
      </c>
      <c r="AC98" s="91" t="n">
        <f aca="false">IFERROR(AB98/AB$5,0)</f>
        <v>0</v>
      </c>
      <c r="AD98" s="96"/>
      <c r="AE98" s="75" t="n">
        <f aca="false">SUMIFS('Dados Mov Financeira'!$N:$N,'Dados Mov Financeira'!$O:$O,'DRE 2019'!$B98,'Dados Mov Financeira'!$A:$A,'DRE 2019'!AE$1)</f>
        <v>0</v>
      </c>
      <c r="AF98" s="91" t="n">
        <f aca="false">IFERROR(AE98/AE$5,0)</f>
        <v>0</v>
      </c>
      <c r="AG98" s="96"/>
      <c r="AH98" s="75" t="n">
        <f aca="false">SUMIFS('Dados Mov Financeira'!$N:$N,'Dados Mov Financeira'!$O:$O,'DRE 2019'!$B98,'Dados Mov Financeira'!$A:$A,'DRE 2019'!AH$1)</f>
        <v>0</v>
      </c>
      <c r="AI98" s="91" t="n">
        <f aca="false">IFERROR(AH98/AH$5,0)</f>
        <v>0</v>
      </c>
      <c r="AJ98" s="96"/>
      <c r="AK98" s="75" t="n">
        <f aca="false">SUMIFS('Dados Mov Financeira'!$N:$N,'Dados Mov Financeira'!$O:$O,'DRE 2019'!$B98,'Dados Mov Financeira'!$A:$A,'DRE 2019'!AK$1)</f>
        <v>0</v>
      </c>
      <c r="AL98" s="91" t="n">
        <f aca="false">IFERROR(AK98/AK$5,0)</f>
        <v>0</v>
      </c>
      <c r="AM98" s="96"/>
      <c r="AN98" s="92" t="n">
        <f aca="false">SUM(D98,G98,J98,M98,P98,S98,V98,Y98,AB98,AE98,AH98,AK98)</f>
        <v>0</v>
      </c>
      <c r="AO98" s="91" t="n">
        <f aca="false">IFERROR(AN98/AN$5,0)</f>
        <v>0</v>
      </c>
      <c r="AP98" s="96"/>
      <c r="AQ98" s="93" t="n">
        <f aca="false">AN98/$AR$1</f>
        <v>0</v>
      </c>
      <c r="AR98" s="94" t="n">
        <f aca="false">IFERROR(AQ98/AQ$5,0)</f>
        <v>0</v>
      </c>
      <c r="AS98" s="96"/>
      <c r="AT98" s="111"/>
    </row>
    <row r="99" customFormat="false" ht="14.25" hidden="true" customHeight="false" outlineLevel="1" collapsed="false">
      <c r="B99" s="89" t="s">
        <v>120</v>
      </c>
      <c r="C99" s="96"/>
      <c r="D99" s="75" t="n">
        <f aca="false">SUMIFS('Dados Mov Financeira'!$N:$N,'Dados Mov Financeira'!$O:$O,'DRE 2019'!$B99,'Dados Mov Financeira'!$A:$A,'DRE 2019'!D$1)</f>
        <v>0</v>
      </c>
      <c r="E99" s="91" t="n">
        <f aca="false">IFERROR(D99/D$5,0)</f>
        <v>0</v>
      </c>
      <c r="F99" s="96"/>
      <c r="G99" s="75" t="n">
        <f aca="false">SUMIFS('Dados Mov Financeira'!$N:$N,'Dados Mov Financeira'!$O:$O,'DRE 2019'!$B99,'Dados Mov Financeira'!$A:$A,'DRE 2019'!G$1)</f>
        <v>0</v>
      </c>
      <c r="H99" s="91" t="n">
        <f aca="false">IFERROR(G99/G$5,0)</f>
        <v>0</v>
      </c>
      <c r="I99" s="96"/>
      <c r="J99" s="75" t="n">
        <f aca="false">SUMIFS('Dados Mov Financeira'!$N:$N,'Dados Mov Financeira'!$O:$O,'DRE 2019'!$B99,'Dados Mov Financeira'!$A:$A,'DRE 2019'!J$1)</f>
        <v>0</v>
      </c>
      <c r="K99" s="91" t="n">
        <f aca="false">IFERROR(J99/J$5,0)</f>
        <v>0</v>
      </c>
      <c r="L99" s="96"/>
      <c r="M99" s="75" t="n">
        <f aca="false">SUMIFS('Dados Mov Financeira'!$N:$N,'Dados Mov Financeira'!$O:$O,'DRE 2019'!$B99,'Dados Mov Financeira'!$A:$A,'DRE 2019'!M$1)</f>
        <v>0</v>
      </c>
      <c r="N99" s="91" t="n">
        <f aca="false">IFERROR(M99/M$5,0)</f>
        <v>0</v>
      </c>
      <c r="O99" s="96"/>
      <c r="P99" s="75" t="n">
        <f aca="false">SUMIFS('Dados Mov Financeira'!$N:$N,'Dados Mov Financeira'!$O:$O,'DRE 2019'!$B99,'Dados Mov Financeira'!$A:$A,'DRE 2019'!P$1)</f>
        <v>0</v>
      </c>
      <c r="Q99" s="91" t="n">
        <f aca="false">IFERROR(P99/P$5,0)</f>
        <v>0</v>
      </c>
      <c r="R99" s="96"/>
      <c r="S99" s="75" t="n">
        <f aca="false">SUMIFS('Dados Mov Financeira'!$N:$N,'Dados Mov Financeira'!$O:$O,'DRE 2019'!$B99,'Dados Mov Financeira'!$A:$A,'DRE 2019'!S$1)</f>
        <v>0</v>
      </c>
      <c r="T99" s="91" t="n">
        <f aca="false">IFERROR(S99/S$5,0)</f>
        <v>0</v>
      </c>
      <c r="U99" s="96"/>
      <c r="V99" s="75" t="n">
        <f aca="false">SUMIFS('Dados Mov Financeira'!$N:$N,'Dados Mov Financeira'!$O:$O,'DRE 2019'!$B99,'Dados Mov Financeira'!$A:$A,'DRE 2019'!V$1)</f>
        <v>0</v>
      </c>
      <c r="W99" s="91" t="n">
        <f aca="false">IFERROR(V99/V$5,0)</f>
        <v>0</v>
      </c>
      <c r="X99" s="96"/>
      <c r="Y99" s="75" t="n">
        <f aca="false">SUMIFS('Dados Mov Financeira'!$N:$N,'Dados Mov Financeira'!$O:$O,'DRE 2019'!$B99,'Dados Mov Financeira'!$A:$A,'DRE 2019'!Y$1)</f>
        <v>0</v>
      </c>
      <c r="Z99" s="91" t="n">
        <f aca="false">IFERROR(Y99/Y$5,0)</f>
        <v>0</v>
      </c>
      <c r="AA99" s="96"/>
      <c r="AB99" s="75" t="n">
        <f aca="false">SUMIFS('Dados Mov Financeira'!$N:$N,'Dados Mov Financeira'!$O:$O,'DRE 2019'!$B99,'Dados Mov Financeira'!$A:$A,'DRE 2019'!AB$1)</f>
        <v>0</v>
      </c>
      <c r="AC99" s="91" t="n">
        <f aca="false">IFERROR(AB99/AB$5,0)</f>
        <v>0</v>
      </c>
      <c r="AD99" s="96"/>
      <c r="AE99" s="75" t="n">
        <f aca="false">SUMIFS('Dados Mov Financeira'!$N:$N,'Dados Mov Financeira'!$O:$O,'DRE 2019'!$B99,'Dados Mov Financeira'!$A:$A,'DRE 2019'!AE$1)</f>
        <v>0</v>
      </c>
      <c r="AF99" s="91" t="n">
        <f aca="false">IFERROR(AE99/AE$5,0)</f>
        <v>0</v>
      </c>
      <c r="AG99" s="96"/>
      <c r="AH99" s="75" t="n">
        <f aca="false">SUMIFS('Dados Mov Financeira'!$N:$N,'Dados Mov Financeira'!$O:$O,'DRE 2019'!$B99,'Dados Mov Financeira'!$A:$A,'DRE 2019'!AH$1)</f>
        <v>0</v>
      </c>
      <c r="AI99" s="91" t="n">
        <f aca="false">IFERROR(AH99/AH$5,0)</f>
        <v>0</v>
      </c>
      <c r="AJ99" s="96"/>
      <c r="AK99" s="75" t="n">
        <f aca="false">SUMIFS('Dados Mov Financeira'!$N:$N,'Dados Mov Financeira'!$O:$O,'DRE 2019'!$B99,'Dados Mov Financeira'!$A:$A,'DRE 2019'!AK$1)</f>
        <v>0</v>
      </c>
      <c r="AL99" s="91" t="n">
        <f aca="false">IFERROR(AK99/AK$5,0)</f>
        <v>0</v>
      </c>
      <c r="AM99" s="96"/>
      <c r="AN99" s="92" t="n">
        <f aca="false">SUM(D99,G99,J99,M99,P99,S99,V99,Y99,AB99,AE99,AH99,AK99)</f>
        <v>0</v>
      </c>
      <c r="AO99" s="91" t="n">
        <f aca="false">IFERROR(AN99/AN$5,0)</f>
        <v>0</v>
      </c>
      <c r="AP99" s="96"/>
      <c r="AQ99" s="93" t="n">
        <f aca="false">AN99/$AR$1</f>
        <v>0</v>
      </c>
      <c r="AR99" s="94" t="n">
        <f aca="false">IFERROR(AQ99/AQ$5,0)</f>
        <v>0</v>
      </c>
      <c r="AS99" s="96"/>
      <c r="AT99" s="112"/>
    </row>
    <row r="100" s="63" customFormat="true" ht="14.25" hidden="false" customHeight="false" outlineLevel="0" collapsed="false">
      <c r="B100" s="106" t="s">
        <v>121</v>
      </c>
      <c r="D100" s="75" t="n">
        <f aca="false">SUM(D101:D108)</f>
        <v>0</v>
      </c>
      <c r="E100" s="88" t="n">
        <f aca="false">IFERROR(D100/D$5,0)</f>
        <v>0</v>
      </c>
      <c r="G100" s="75" t="n">
        <f aca="false">SUM(G101:G108)</f>
        <v>0</v>
      </c>
      <c r="H100" s="88" t="n">
        <f aca="false">IFERROR(G100/G$5,0)</f>
        <v>0</v>
      </c>
      <c r="J100" s="75" t="n">
        <f aca="false">SUM(J101:J108)</f>
        <v>0</v>
      </c>
      <c r="K100" s="88" t="n">
        <f aca="false">IFERROR(J100/J$5,0)</f>
        <v>0</v>
      </c>
      <c r="M100" s="75" t="n">
        <f aca="false">SUM(M101:M108)</f>
        <v>0</v>
      </c>
      <c r="N100" s="88" t="n">
        <f aca="false">IFERROR(M100/M$5,0)</f>
        <v>0</v>
      </c>
      <c r="P100" s="75" t="n">
        <f aca="false">SUM(P101:P108)</f>
        <v>0</v>
      </c>
      <c r="Q100" s="88" t="n">
        <f aca="false">IFERROR(P100/P$5,0)</f>
        <v>0</v>
      </c>
      <c r="S100" s="75" t="n">
        <f aca="false">SUM(S101:S108)</f>
        <v>0</v>
      </c>
      <c r="T100" s="88" t="n">
        <f aca="false">IFERROR(S100/S$5,0)</f>
        <v>0</v>
      </c>
      <c r="V100" s="75" t="n">
        <f aca="false">SUM(V101:V108)</f>
        <v>0</v>
      </c>
      <c r="W100" s="88" t="n">
        <f aca="false">IFERROR(V100/V$5,0)</f>
        <v>0</v>
      </c>
      <c r="Y100" s="75" t="n">
        <f aca="false">SUM(Y101:Y108)</f>
        <v>0</v>
      </c>
      <c r="Z100" s="88" t="n">
        <f aca="false">IFERROR(Y100/Y$5,0)</f>
        <v>0</v>
      </c>
      <c r="AB100" s="75" t="n">
        <f aca="false">SUM(AB101:AB108)</f>
        <v>0</v>
      </c>
      <c r="AC100" s="88" t="n">
        <f aca="false">IFERROR(AB100/AB$5,0)</f>
        <v>0</v>
      </c>
      <c r="AE100" s="75" t="n">
        <f aca="false">SUM(AE101:AE108)</f>
        <v>0</v>
      </c>
      <c r="AF100" s="88" t="n">
        <f aca="false">IFERROR(AE100/AE$5,0)</f>
        <v>0</v>
      </c>
      <c r="AH100" s="75" t="n">
        <f aca="false">SUM(AH101:AH108)</f>
        <v>0</v>
      </c>
      <c r="AI100" s="88" t="n">
        <f aca="false">IFERROR(AH100/AH$5,0)</f>
        <v>0</v>
      </c>
      <c r="AK100" s="75" t="n">
        <f aca="false">SUM(AK101:AK108)</f>
        <v>0</v>
      </c>
      <c r="AL100" s="88" t="n">
        <f aca="false">IFERROR(AK100/AK$5,0)</f>
        <v>0</v>
      </c>
      <c r="AN100" s="75" t="n">
        <f aca="false">SUM(D100,G100,J100,M100,P100,S100,V100,Y100,AB100,AE100,AH100,AK100)</f>
        <v>0</v>
      </c>
      <c r="AO100" s="88" t="n">
        <f aca="false">IFERROR(AN100/AN$5,0)</f>
        <v>0</v>
      </c>
      <c r="AQ100" s="77" t="n">
        <f aca="false">AN100/$AR$1</f>
        <v>0</v>
      </c>
      <c r="AR100" s="76" t="n">
        <f aca="false">IFERROR(AQ100/AQ$5,0)</f>
        <v>0</v>
      </c>
      <c r="AT100" s="78" t="n">
        <v>-0.1008</v>
      </c>
    </row>
    <row r="101" customFormat="false" ht="14.25" hidden="true" customHeight="false" outlineLevel="1" collapsed="false">
      <c r="B101" s="89" t="s">
        <v>122</v>
      </c>
      <c r="D101" s="75" t="n">
        <f aca="false">SUMIFS('Dados Mov Financeira'!$N:$N,'Dados Mov Financeira'!$O:$O,'DRE 2019'!$B101,'Dados Mov Financeira'!$A:$A,'DRE 2019'!D$1)</f>
        <v>0</v>
      </c>
      <c r="E101" s="91" t="n">
        <f aca="false">IFERROR(D101/D$5,0)</f>
        <v>0</v>
      </c>
      <c r="G101" s="75" t="n">
        <f aca="false">SUMIFS('Dados Mov Financeira'!$N:$N,'Dados Mov Financeira'!$O:$O,'DRE 2019'!$B101,'Dados Mov Financeira'!$A:$A,'DRE 2019'!G$1)</f>
        <v>0</v>
      </c>
      <c r="H101" s="91" t="n">
        <f aca="false">IFERROR(G101/G$5,0)</f>
        <v>0</v>
      </c>
      <c r="J101" s="75" t="n">
        <f aca="false">SUMIFS('Dados Mov Financeira'!$N:$N,'Dados Mov Financeira'!$O:$O,'DRE 2019'!$B101,'Dados Mov Financeira'!$A:$A,'DRE 2019'!J$1)</f>
        <v>0</v>
      </c>
      <c r="K101" s="91" t="n">
        <f aca="false">IFERROR(J101/J$5,0)</f>
        <v>0</v>
      </c>
      <c r="M101" s="75" t="n">
        <f aca="false">SUMIFS('Dados Mov Financeira'!$N:$N,'Dados Mov Financeira'!$O:$O,'DRE 2019'!$B101,'Dados Mov Financeira'!$A:$A,'DRE 2019'!M$1)</f>
        <v>0</v>
      </c>
      <c r="N101" s="91" t="n">
        <f aca="false">IFERROR(M101/M$5,0)</f>
        <v>0</v>
      </c>
      <c r="P101" s="75" t="n">
        <f aca="false">SUMIFS('Dados Mov Financeira'!$N:$N,'Dados Mov Financeira'!$O:$O,'DRE 2019'!$B101,'Dados Mov Financeira'!$A:$A,'DRE 2019'!P$1)</f>
        <v>0</v>
      </c>
      <c r="Q101" s="91" t="n">
        <f aca="false">IFERROR(P101/P$5,0)</f>
        <v>0</v>
      </c>
      <c r="S101" s="75" t="n">
        <f aca="false">SUMIFS('Dados Mov Financeira'!$N:$N,'Dados Mov Financeira'!$O:$O,'DRE 2019'!$B101,'Dados Mov Financeira'!$A:$A,'DRE 2019'!S$1)</f>
        <v>0</v>
      </c>
      <c r="T101" s="91" t="n">
        <f aca="false">IFERROR(S101/S$5,0)</f>
        <v>0</v>
      </c>
      <c r="V101" s="75" t="n">
        <f aca="false">SUMIFS('Dados Mov Financeira'!$N:$N,'Dados Mov Financeira'!$O:$O,'DRE 2019'!$B101,'Dados Mov Financeira'!$A:$A,'DRE 2019'!V$1)</f>
        <v>0</v>
      </c>
      <c r="W101" s="91" t="n">
        <f aca="false">IFERROR(V101/V$5,0)</f>
        <v>0</v>
      </c>
      <c r="Y101" s="75" t="n">
        <f aca="false">SUMIFS('Dados Mov Financeira'!$N:$N,'Dados Mov Financeira'!$O:$O,'DRE 2019'!$B101,'Dados Mov Financeira'!$A:$A,'DRE 2019'!Y$1)</f>
        <v>0</v>
      </c>
      <c r="Z101" s="91" t="n">
        <f aca="false">IFERROR(Y101/Y$5,0)</f>
        <v>0</v>
      </c>
      <c r="AB101" s="75" t="n">
        <f aca="false">SUMIFS('Dados Mov Financeira'!$N:$N,'Dados Mov Financeira'!$O:$O,'DRE 2019'!$B101,'Dados Mov Financeira'!$A:$A,'DRE 2019'!AB$1)</f>
        <v>0</v>
      </c>
      <c r="AC101" s="91" t="n">
        <f aca="false">IFERROR(AB101/AB$5,0)</f>
        <v>0</v>
      </c>
      <c r="AE101" s="75" t="n">
        <f aca="false">SUMIFS('Dados Mov Financeira'!$N:$N,'Dados Mov Financeira'!$O:$O,'DRE 2019'!$B101,'Dados Mov Financeira'!$A:$A,'DRE 2019'!AE$1)</f>
        <v>0</v>
      </c>
      <c r="AF101" s="91" t="n">
        <f aca="false">IFERROR(AE101/AE$5,0)</f>
        <v>0</v>
      </c>
      <c r="AH101" s="75" t="n">
        <f aca="false">SUMIFS('Dados Mov Financeira'!$N:$N,'Dados Mov Financeira'!$O:$O,'DRE 2019'!$B101,'Dados Mov Financeira'!$A:$A,'DRE 2019'!AH$1)</f>
        <v>0</v>
      </c>
      <c r="AI101" s="91" t="n">
        <f aca="false">IFERROR(AH101/AH$5,0)</f>
        <v>0</v>
      </c>
      <c r="AK101" s="75" t="n">
        <f aca="false">SUMIFS('Dados Mov Financeira'!$N:$N,'Dados Mov Financeira'!$O:$O,'DRE 2019'!$B101,'Dados Mov Financeira'!$A:$A,'DRE 2019'!AK$1)</f>
        <v>0</v>
      </c>
      <c r="AL101" s="91" t="n">
        <f aca="false">IFERROR(AK101/AK$5,0)</f>
        <v>0</v>
      </c>
      <c r="AN101" s="92" t="n">
        <f aca="false">SUM(D101,G101,J101,M101,P101,S101,V101,Y101,AB101,AE101,AH101,AK101)</f>
        <v>0</v>
      </c>
      <c r="AO101" s="91" t="n">
        <f aca="false">IFERROR(AN101/AN$5,0)</f>
        <v>0</v>
      </c>
      <c r="AQ101" s="93" t="n">
        <f aca="false">AN101/$AR$1</f>
        <v>0</v>
      </c>
      <c r="AR101" s="94" t="n">
        <f aca="false">IFERROR(AQ101/AQ$5,0)</f>
        <v>0</v>
      </c>
      <c r="AT101" s="114"/>
    </row>
    <row r="102" customFormat="false" ht="14.25" hidden="true" customHeight="false" outlineLevel="1" collapsed="false">
      <c r="B102" s="89" t="s">
        <v>123</v>
      </c>
      <c r="D102" s="75" t="n">
        <f aca="false">SUMIFS('Dados Mov Financeira'!$N:$N,'Dados Mov Financeira'!$O:$O,'DRE 2019'!$B102,'Dados Mov Financeira'!$A:$A,'DRE 2019'!D$1)</f>
        <v>0</v>
      </c>
      <c r="E102" s="91" t="n">
        <f aca="false">IFERROR(D102/D$5,0)</f>
        <v>0</v>
      </c>
      <c r="G102" s="75" t="n">
        <f aca="false">SUMIFS('Dados Mov Financeira'!$N:$N,'Dados Mov Financeira'!$O:$O,'DRE 2019'!$B102,'Dados Mov Financeira'!$A:$A,'DRE 2019'!G$1)</f>
        <v>0</v>
      </c>
      <c r="H102" s="91" t="n">
        <f aca="false">IFERROR(G102/G$5,0)</f>
        <v>0</v>
      </c>
      <c r="J102" s="75" t="n">
        <f aca="false">SUMIFS('Dados Mov Financeira'!$N:$N,'Dados Mov Financeira'!$O:$O,'DRE 2019'!$B102,'Dados Mov Financeira'!$A:$A,'DRE 2019'!J$1)</f>
        <v>0</v>
      </c>
      <c r="K102" s="91" t="n">
        <f aca="false">IFERROR(J102/J$5,0)</f>
        <v>0</v>
      </c>
      <c r="M102" s="75" t="n">
        <f aca="false">SUMIFS('Dados Mov Financeira'!$N:$N,'Dados Mov Financeira'!$O:$O,'DRE 2019'!$B102,'Dados Mov Financeira'!$A:$A,'DRE 2019'!M$1)</f>
        <v>0</v>
      </c>
      <c r="N102" s="91" t="n">
        <f aca="false">IFERROR(M102/M$5,0)</f>
        <v>0</v>
      </c>
      <c r="P102" s="75" t="n">
        <f aca="false">SUMIFS('Dados Mov Financeira'!$N:$N,'Dados Mov Financeira'!$O:$O,'DRE 2019'!$B102,'Dados Mov Financeira'!$A:$A,'DRE 2019'!P$1)</f>
        <v>0</v>
      </c>
      <c r="Q102" s="91" t="n">
        <f aca="false">IFERROR(P102/P$5,0)</f>
        <v>0</v>
      </c>
      <c r="S102" s="75" t="n">
        <f aca="false">SUMIFS('Dados Mov Financeira'!$N:$N,'Dados Mov Financeira'!$O:$O,'DRE 2019'!$B102,'Dados Mov Financeira'!$A:$A,'DRE 2019'!S$1)</f>
        <v>0</v>
      </c>
      <c r="T102" s="91" t="n">
        <f aca="false">IFERROR(S102/S$5,0)</f>
        <v>0</v>
      </c>
      <c r="V102" s="75" t="n">
        <f aca="false">SUMIFS('Dados Mov Financeira'!$N:$N,'Dados Mov Financeira'!$O:$O,'DRE 2019'!$B102,'Dados Mov Financeira'!$A:$A,'DRE 2019'!V$1)</f>
        <v>0</v>
      </c>
      <c r="W102" s="91" t="n">
        <f aca="false">IFERROR(V102/V$5,0)</f>
        <v>0</v>
      </c>
      <c r="Y102" s="75" t="n">
        <f aca="false">SUMIFS('Dados Mov Financeira'!$N:$N,'Dados Mov Financeira'!$O:$O,'DRE 2019'!$B102,'Dados Mov Financeira'!$A:$A,'DRE 2019'!Y$1)</f>
        <v>0</v>
      </c>
      <c r="Z102" s="91" t="n">
        <f aca="false">IFERROR(Y102/Y$5,0)</f>
        <v>0</v>
      </c>
      <c r="AB102" s="75" t="n">
        <f aca="false">SUMIFS('Dados Mov Financeira'!$N:$N,'Dados Mov Financeira'!$O:$O,'DRE 2019'!$B102,'Dados Mov Financeira'!$A:$A,'DRE 2019'!AB$1)</f>
        <v>0</v>
      </c>
      <c r="AC102" s="91" t="n">
        <f aca="false">IFERROR(AB102/AB$5,0)</f>
        <v>0</v>
      </c>
      <c r="AE102" s="75" t="n">
        <f aca="false">SUMIFS('Dados Mov Financeira'!$N:$N,'Dados Mov Financeira'!$O:$O,'DRE 2019'!$B102,'Dados Mov Financeira'!$A:$A,'DRE 2019'!AE$1)</f>
        <v>0</v>
      </c>
      <c r="AF102" s="91" t="n">
        <f aca="false">IFERROR(AE102/AE$5,0)</f>
        <v>0</v>
      </c>
      <c r="AH102" s="75" t="n">
        <f aca="false">SUMIFS('Dados Mov Financeira'!$N:$N,'Dados Mov Financeira'!$O:$O,'DRE 2019'!$B102,'Dados Mov Financeira'!$A:$A,'DRE 2019'!AH$1)</f>
        <v>0</v>
      </c>
      <c r="AI102" s="91" t="n">
        <f aca="false">IFERROR(AH102/AH$5,0)</f>
        <v>0</v>
      </c>
      <c r="AK102" s="75" t="n">
        <f aca="false">SUMIFS('Dados Mov Financeira'!$N:$N,'Dados Mov Financeira'!$O:$O,'DRE 2019'!$B102,'Dados Mov Financeira'!$A:$A,'DRE 2019'!AK$1)</f>
        <v>0</v>
      </c>
      <c r="AL102" s="91" t="n">
        <f aca="false">IFERROR(AK102/AK$5,0)</f>
        <v>0</v>
      </c>
      <c r="AN102" s="92" t="n">
        <f aca="false">SUM(D102,G102,J102,M102,P102,S102,V102,Y102,AB102,AE102,AH102,AK102)</f>
        <v>0</v>
      </c>
      <c r="AO102" s="91" t="n">
        <f aca="false">IFERROR(AN102/AN$5,0)</f>
        <v>0</v>
      </c>
      <c r="AQ102" s="93" t="n">
        <f aca="false">AN102/$AR$1</f>
        <v>0</v>
      </c>
      <c r="AR102" s="94" t="n">
        <f aca="false">IFERROR(AQ102/AQ$5,0)</f>
        <v>0</v>
      </c>
      <c r="AT102" s="115"/>
    </row>
    <row r="103" customFormat="false" ht="14.25" hidden="true" customHeight="false" outlineLevel="1" collapsed="false">
      <c r="B103" s="89" t="s">
        <v>124</v>
      </c>
      <c r="D103" s="75" t="n">
        <f aca="false">SUMIFS('Dados Mov Financeira'!$N:$N,'Dados Mov Financeira'!$O:$O,'DRE 2019'!$B103,'Dados Mov Financeira'!$A:$A,'DRE 2019'!D$1)</f>
        <v>0</v>
      </c>
      <c r="E103" s="91" t="n">
        <f aca="false">IFERROR(D103/D$5,0)</f>
        <v>0</v>
      </c>
      <c r="G103" s="75" t="n">
        <f aca="false">SUMIFS('Dados Mov Financeira'!$N:$N,'Dados Mov Financeira'!$O:$O,'DRE 2019'!$B103,'Dados Mov Financeira'!$A:$A,'DRE 2019'!G$1)</f>
        <v>0</v>
      </c>
      <c r="H103" s="91" t="n">
        <f aca="false">IFERROR(G103/G$5,0)</f>
        <v>0</v>
      </c>
      <c r="J103" s="75" t="n">
        <f aca="false">SUMIFS('Dados Mov Financeira'!$N:$N,'Dados Mov Financeira'!$O:$O,'DRE 2019'!$B103,'Dados Mov Financeira'!$A:$A,'DRE 2019'!J$1)</f>
        <v>0</v>
      </c>
      <c r="K103" s="91" t="n">
        <f aca="false">IFERROR(J103/J$5,0)</f>
        <v>0</v>
      </c>
      <c r="M103" s="75" t="n">
        <f aca="false">SUMIFS('Dados Mov Financeira'!$N:$N,'Dados Mov Financeira'!$O:$O,'DRE 2019'!$B103,'Dados Mov Financeira'!$A:$A,'DRE 2019'!M$1)</f>
        <v>0</v>
      </c>
      <c r="N103" s="91" t="n">
        <f aca="false">IFERROR(M103/M$5,0)</f>
        <v>0</v>
      </c>
      <c r="P103" s="75" t="n">
        <f aca="false">SUMIFS('Dados Mov Financeira'!$N:$N,'Dados Mov Financeira'!$O:$O,'DRE 2019'!$B103,'Dados Mov Financeira'!$A:$A,'DRE 2019'!P$1)</f>
        <v>0</v>
      </c>
      <c r="Q103" s="91" t="n">
        <f aca="false">IFERROR(P103/P$5,0)</f>
        <v>0</v>
      </c>
      <c r="S103" s="75" t="n">
        <f aca="false">SUMIFS('Dados Mov Financeira'!$N:$N,'Dados Mov Financeira'!$O:$O,'DRE 2019'!$B103,'Dados Mov Financeira'!$A:$A,'DRE 2019'!S$1)</f>
        <v>0</v>
      </c>
      <c r="T103" s="91" t="n">
        <f aca="false">IFERROR(S103/S$5,0)</f>
        <v>0</v>
      </c>
      <c r="V103" s="75" t="n">
        <f aca="false">SUMIFS('Dados Mov Financeira'!$N:$N,'Dados Mov Financeira'!$O:$O,'DRE 2019'!$B103,'Dados Mov Financeira'!$A:$A,'DRE 2019'!V$1)</f>
        <v>0</v>
      </c>
      <c r="W103" s="91" t="n">
        <f aca="false">IFERROR(V103/V$5,0)</f>
        <v>0</v>
      </c>
      <c r="Y103" s="75" t="n">
        <f aca="false">SUMIFS('Dados Mov Financeira'!$N:$N,'Dados Mov Financeira'!$O:$O,'DRE 2019'!$B103,'Dados Mov Financeira'!$A:$A,'DRE 2019'!Y$1)</f>
        <v>0</v>
      </c>
      <c r="Z103" s="91" t="n">
        <f aca="false">IFERROR(Y103/Y$5,0)</f>
        <v>0</v>
      </c>
      <c r="AB103" s="75" t="n">
        <f aca="false">SUMIFS('Dados Mov Financeira'!$N:$N,'Dados Mov Financeira'!$O:$O,'DRE 2019'!$B103,'Dados Mov Financeira'!$A:$A,'DRE 2019'!AB$1)</f>
        <v>0</v>
      </c>
      <c r="AC103" s="91" t="n">
        <f aca="false">IFERROR(AB103/AB$5,0)</f>
        <v>0</v>
      </c>
      <c r="AE103" s="75" t="n">
        <f aca="false">SUMIFS('Dados Mov Financeira'!$N:$N,'Dados Mov Financeira'!$O:$O,'DRE 2019'!$B103,'Dados Mov Financeira'!$A:$A,'DRE 2019'!AE$1)</f>
        <v>0</v>
      </c>
      <c r="AF103" s="91" t="n">
        <f aca="false">IFERROR(AE103/AE$5,0)</f>
        <v>0</v>
      </c>
      <c r="AH103" s="75" t="n">
        <f aca="false">SUMIFS('Dados Mov Financeira'!$N:$N,'Dados Mov Financeira'!$O:$O,'DRE 2019'!$B103,'Dados Mov Financeira'!$A:$A,'DRE 2019'!AH$1)</f>
        <v>0</v>
      </c>
      <c r="AI103" s="91" t="n">
        <f aca="false">IFERROR(AH103/AH$5,0)</f>
        <v>0</v>
      </c>
      <c r="AK103" s="75" t="n">
        <f aca="false">SUMIFS('Dados Mov Financeira'!$N:$N,'Dados Mov Financeira'!$O:$O,'DRE 2019'!$B103,'Dados Mov Financeira'!$A:$A,'DRE 2019'!AK$1)</f>
        <v>0</v>
      </c>
      <c r="AL103" s="91" t="n">
        <f aca="false">IFERROR(AK103/AK$5,0)</f>
        <v>0</v>
      </c>
      <c r="AN103" s="92" t="n">
        <f aca="false">SUM(D103,G103,J103,M103,P103,S103,V103,Y103,AB103,AE103,AH103,AK103)</f>
        <v>0</v>
      </c>
      <c r="AO103" s="91" t="n">
        <f aca="false">IFERROR(AN103/AN$5,0)</f>
        <v>0</v>
      </c>
      <c r="AQ103" s="93" t="n">
        <f aca="false">AN103/$AR$1</f>
        <v>0</v>
      </c>
      <c r="AR103" s="94" t="n">
        <f aca="false">IFERROR(AQ103/AQ$5,0)</f>
        <v>0</v>
      </c>
      <c r="AT103" s="115"/>
    </row>
    <row r="104" customFormat="false" ht="14.25" hidden="true" customHeight="false" outlineLevel="1" collapsed="false">
      <c r="B104" s="89" t="s">
        <v>125</v>
      </c>
      <c r="D104" s="75" t="n">
        <f aca="false">SUMIFS('Dados Mov Financeira'!$N:$N,'Dados Mov Financeira'!$O:$O,'DRE 2019'!$B104,'Dados Mov Financeira'!$A:$A,'DRE 2019'!D$1)</f>
        <v>0</v>
      </c>
      <c r="E104" s="91" t="n">
        <f aca="false">IFERROR(D104/D$5,0)</f>
        <v>0</v>
      </c>
      <c r="G104" s="75" t="n">
        <f aca="false">SUMIFS('Dados Mov Financeira'!$N:$N,'Dados Mov Financeira'!$O:$O,'DRE 2019'!$B104,'Dados Mov Financeira'!$A:$A,'DRE 2019'!G$1)</f>
        <v>0</v>
      </c>
      <c r="H104" s="91" t="n">
        <f aca="false">IFERROR(G104/G$5,0)</f>
        <v>0</v>
      </c>
      <c r="J104" s="75" t="n">
        <f aca="false">SUMIFS('Dados Mov Financeira'!$N:$N,'Dados Mov Financeira'!$O:$O,'DRE 2019'!$B104,'Dados Mov Financeira'!$A:$A,'DRE 2019'!J$1)</f>
        <v>0</v>
      </c>
      <c r="K104" s="91" t="n">
        <f aca="false">IFERROR(J104/J$5,0)</f>
        <v>0</v>
      </c>
      <c r="M104" s="75" t="n">
        <f aca="false">SUMIFS('Dados Mov Financeira'!$N:$N,'Dados Mov Financeira'!$O:$O,'DRE 2019'!$B104,'Dados Mov Financeira'!$A:$A,'DRE 2019'!M$1)</f>
        <v>0</v>
      </c>
      <c r="N104" s="91" t="n">
        <f aca="false">IFERROR(M104/M$5,0)</f>
        <v>0</v>
      </c>
      <c r="P104" s="75" t="n">
        <f aca="false">SUMIFS('Dados Mov Financeira'!$N:$N,'Dados Mov Financeira'!$O:$O,'DRE 2019'!$B104,'Dados Mov Financeira'!$A:$A,'DRE 2019'!P$1)</f>
        <v>0</v>
      </c>
      <c r="Q104" s="91" t="n">
        <f aca="false">IFERROR(P104/P$5,0)</f>
        <v>0</v>
      </c>
      <c r="S104" s="75" t="n">
        <f aca="false">SUMIFS('Dados Mov Financeira'!$N:$N,'Dados Mov Financeira'!$O:$O,'DRE 2019'!$B104,'Dados Mov Financeira'!$A:$A,'DRE 2019'!S$1)</f>
        <v>0</v>
      </c>
      <c r="T104" s="91" t="n">
        <f aca="false">IFERROR(S104/S$5,0)</f>
        <v>0</v>
      </c>
      <c r="V104" s="75" t="n">
        <f aca="false">SUMIFS('Dados Mov Financeira'!$N:$N,'Dados Mov Financeira'!$O:$O,'DRE 2019'!$B104,'Dados Mov Financeira'!$A:$A,'DRE 2019'!V$1)</f>
        <v>0</v>
      </c>
      <c r="W104" s="91" t="n">
        <f aca="false">IFERROR(V104/V$5,0)</f>
        <v>0</v>
      </c>
      <c r="Y104" s="75" t="n">
        <f aca="false">SUMIFS('Dados Mov Financeira'!$N:$N,'Dados Mov Financeira'!$O:$O,'DRE 2019'!$B104,'Dados Mov Financeira'!$A:$A,'DRE 2019'!Y$1)</f>
        <v>0</v>
      </c>
      <c r="Z104" s="91" t="n">
        <f aca="false">IFERROR(Y104/Y$5,0)</f>
        <v>0</v>
      </c>
      <c r="AB104" s="75" t="n">
        <f aca="false">SUMIFS('Dados Mov Financeira'!$N:$N,'Dados Mov Financeira'!$O:$O,'DRE 2019'!$B104,'Dados Mov Financeira'!$A:$A,'DRE 2019'!AB$1)</f>
        <v>0</v>
      </c>
      <c r="AC104" s="91" t="n">
        <f aca="false">IFERROR(AB104/AB$5,0)</f>
        <v>0</v>
      </c>
      <c r="AE104" s="75" t="n">
        <f aca="false">SUMIFS('Dados Mov Financeira'!$N:$N,'Dados Mov Financeira'!$O:$O,'DRE 2019'!$B104,'Dados Mov Financeira'!$A:$A,'DRE 2019'!AE$1)</f>
        <v>0</v>
      </c>
      <c r="AF104" s="91" t="n">
        <f aca="false">IFERROR(AE104/AE$5,0)</f>
        <v>0</v>
      </c>
      <c r="AH104" s="75" t="n">
        <f aca="false">SUMIFS('Dados Mov Financeira'!$N:$N,'Dados Mov Financeira'!$O:$O,'DRE 2019'!$B104,'Dados Mov Financeira'!$A:$A,'DRE 2019'!AH$1)</f>
        <v>0</v>
      </c>
      <c r="AI104" s="91" t="n">
        <f aca="false">IFERROR(AH104/AH$5,0)</f>
        <v>0</v>
      </c>
      <c r="AK104" s="75" t="n">
        <f aca="false">SUMIFS('Dados Mov Financeira'!$N:$N,'Dados Mov Financeira'!$O:$O,'DRE 2019'!$B104,'Dados Mov Financeira'!$A:$A,'DRE 2019'!AK$1)</f>
        <v>0</v>
      </c>
      <c r="AL104" s="91" t="n">
        <f aca="false">IFERROR(AK104/AK$5,0)</f>
        <v>0</v>
      </c>
      <c r="AN104" s="92" t="n">
        <f aca="false">SUM(D104,G104,J104,M104,P104,S104,V104,Y104,AB104,AE104,AH104,AK104)</f>
        <v>0</v>
      </c>
      <c r="AO104" s="91" t="n">
        <f aca="false">IFERROR(AN104/AN$5,0)</f>
        <v>0</v>
      </c>
      <c r="AQ104" s="93" t="n">
        <f aca="false">AN104/$AR$1</f>
        <v>0</v>
      </c>
      <c r="AR104" s="94" t="n">
        <f aca="false">IFERROR(AQ104/AQ$5,0)</f>
        <v>0</v>
      </c>
      <c r="AT104" s="115"/>
    </row>
    <row r="105" customFormat="false" ht="14.25" hidden="true" customHeight="false" outlineLevel="1" collapsed="false">
      <c r="B105" s="89" t="s">
        <v>126</v>
      </c>
      <c r="D105" s="75" t="n">
        <f aca="false">SUMIFS('Dados Mov Financeira'!$N:$N,'Dados Mov Financeira'!$O:$O,'DRE 2019'!$B105,'Dados Mov Financeira'!$A:$A,'DRE 2019'!D$1)</f>
        <v>0</v>
      </c>
      <c r="E105" s="91" t="n">
        <f aca="false">IFERROR(D105/D$5,0)</f>
        <v>0</v>
      </c>
      <c r="G105" s="75" t="n">
        <f aca="false">SUMIFS('Dados Mov Financeira'!$N:$N,'Dados Mov Financeira'!$O:$O,'DRE 2019'!$B105,'Dados Mov Financeira'!$A:$A,'DRE 2019'!G$1)</f>
        <v>0</v>
      </c>
      <c r="H105" s="91" t="n">
        <f aca="false">IFERROR(G105/G$5,0)</f>
        <v>0</v>
      </c>
      <c r="J105" s="75" t="n">
        <f aca="false">SUMIFS('Dados Mov Financeira'!$N:$N,'Dados Mov Financeira'!$O:$O,'DRE 2019'!$B105,'Dados Mov Financeira'!$A:$A,'DRE 2019'!J$1)</f>
        <v>0</v>
      </c>
      <c r="K105" s="91" t="n">
        <f aca="false">IFERROR(J105/J$5,0)</f>
        <v>0</v>
      </c>
      <c r="M105" s="75" t="n">
        <f aca="false">SUMIFS('Dados Mov Financeira'!$N:$N,'Dados Mov Financeira'!$O:$O,'DRE 2019'!$B105,'Dados Mov Financeira'!$A:$A,'DRE 2019'!M$1)</f>
        <v>0</v>
      </c>
      <c r="N105" s="91" t="n">
        <f aca="false">IFERROR(M105/M$5,0)</f>
        <v>0</v>
      </c>
      <c r="P105" s="75" t="n">
        <f aca="false">SUMIFS('Dados Mov Financeira'!$N:$N,'Dados Mov Financeira'!$O:$O,'DRE 2019'!$B105,'Dados Mov Financeira'!$A:$A,'DRE 2019'!P$1)</f>
        <v>0</v>
      </c>
      <c r="Q105" s="91" t="n">
        <f aca="false">IFERROR(P105/P$5,0)</f>
        <v>0</v>
      </c>
      <c r="S105" s="75" t="n">
        <f aca="false">SUMIFS('Dados Mov Financeira'!$N:$N,'Dados Mov Financeira'!$O:$O,'DRE 2019'!$B105,'Dados Mov Financeira'!$A:$A,'DRE 2019'!S$1)</f>
        <v>0</v>
      </c>
      <c r="T105" s="91" t="n">
        <f aca="false">IFERROR(S105/S$5,0)</f>
        <v>0</v>
      </c>
      <c r="V105" s="75" t="n">
        <f aca="false">SUMIFS('Dados Mov Financeira'!$N:$N,'Dados Mov Financeira'!$O:$O,'DRE 2019'!$B105,'Dados Mov Financeira'!$A:$A,'DRE 2019'!V$1)</f>
        <v>0</v>
      </c>
      <c r="W105" s="91" t="n">
        <f aca="false">IFERROR(V105/V$5,0)</f>
        <v>0</v>
      </c>
      <c r="Y105" s="75" t="n">
        <f aca="false">SUMIFS('Dados Mov Financeira'!$N:$N,'Dados Mov Financeira'!$O:$O,'DRE 2019'!$B105,'Dados Mov Financeira'!$A:$A,'DRE 2019'!Y$1)</f>
        <v>0</v>
      </c>
      <c r="Z105" s="91" t="n">
        <f aca="false">IFERROR(Y105/Y$5,0)</f>
        <v>0</v>
      </c>
      <c r="AB105" s="75" t="n">
        <f aca="false">SUMIFS('Dados Mov Financeira'!$N:$N,'Dados Mov Financeira'!$O:$O,'DRE 2019'!$B105,'Dados Mov Financeira'!$A:$A,'DRE 2019'!AB$1)</f>
        <v>0</v>
      </c>
      <c r="AC105" s="91" t="n">
        <f aca="false">IFERROR(AB105/AB$5,0)</f>
        <v>0</v>
      </c>
      <c r="AE105" s="75" t="n">
        <f aca="false">SUMIFS('Dados Mov Financeira'!$N:$N,'Dados Mov Financeira'!$O:$O,'DRE 2019'!$B105,'Dados Mov Financeira'!$A:$A,'DRE 2019'!AE$1)</f>
        <v>0</v>
      </c>
      <c r="AF105" s="91" t="n">
        <f aca="false">IFERROR(AE105/AE$5,0)</f>
        <v>0</v>
      </c>
      <c r="AH105" s="75" t="n">
        <f aca="false">SUMIFS('Dados Mov Financeira'!$N:$N,'Dados Mov Financeira'!$O:$O,'DRE 2019'!$B105,'Dados Mov Financeira'!$A:$A,'DRE 2019'!AH$1)</f>
        <v>0</v>
      </c>
      <c r="AI105" s="91" t="n">
        <f aca="false">IFERROR(AH105/AH$5,0)</f>
        <v>0</v>
      </c>
      <c r="AK105" s="75" t="n">
        <f aca="false">SUMIFS('Dados Mov Financeira'!$N:$N,'Dados Mov Financeira'!$O:$O,'DRE 2019'!$B105,'Dados Mov Financeira'!$A:$A,'DRE 2019'!AK$1)</f>
        <v>0</v>
      </c>
      <c r="AL105" s="91" t="n">
        <f aca="false">IFERROR(AK105/AK$5,0)</f>
        <v>0</v>
      </c>
      <c r="AN105" s="92" t="n">
        <f aca="false">SUM(D105,G105,J105,M105,P105,S105,V105,Y105,AB105,AE105,AH105,AK105)</f>
        <v>0</v>
      </c>
      <c r="AO105" s="91" t="n">
        <f aca="false">IFERROR(AN105/AN$5,0)</f>
        <v>0</v>
      </c>
      <c r="AQ105" s="93" t="n">
        <f aca="false">AN105/$AR$1</f>
        <v>0</v>
      </c>
      <c r="AR105" s="94" t="n">
        <f aca="false">IFERROR(AQ105/AQ$5,0)</f>
        <v>0</v>
      </c>
      <c r="AT105" s="115"/>
    </row>
    <row r="106" customFormat="false" ht="14.25" hidden="true" customHeight="false" outlineLevel="1" collapsed="false">
      <c r="B106" s="89" t="s">
        <v>127</v>
      </c>
      <c r="D106" s="75" t="n">
        <f aca="false">SUMIFS('Dados Mov Financeira'!$N:$N,'Dados Mov Financeira'!$O:$O,'DRE 2019'!$B106,'Dados Mov Financeira'!$A:$A,'DRE 2019'!D$1)</f>
        <v>0</v>
      </c>
      <c r="E106" s="91" t="n">
        <f aca="false">IFERROR(D106/D$5,0)</f>
        <v>0</v>
      </c>
      <c r="G106" s="75" t="n">
        <f aca="false">SUMIFS('Dados Mov Financeira'!$N:$N,'Dados Mov Financeira'!$O:$O,'DRE 2019'!$B106,'Dados Mov Financeira'!$A:$A,'DRE 2019'!G$1)</f>
        <v>0</v>
      </c>
      <c r="H106" s="91" t="n">
        <f aca="false">IFERROR(G106/G$5,0)</f>
        <v>0</v>
      </c>
      <c r="J106" s="75" t="n">
        <f aca="false">SUMIFS('Dados Mov Financeira'!$N:$N,'Dados Mov Financeira'!$O:$O,'DRE 2019'!$B106,'Dados Mov Financeira'!$A:$A,'DRE 2019'!J$1)</f>
        <v>0</v>
      </c>
      <c r="K106" s="91" t="n">
        <f aca="false">IFERROR(J106/J$5,0)</f>
        <v>0</v>
      </c>
      <c r="M106" s="75" t="n">
        <f aca="false">SUMIFS('Dados Mov Financeira'!$N:$N,'Dados Mov Financeira'!$O:$O,'DRE 2019'!$B106,'Dados Mov Financeira'!$A:$A,'DRE 2019'!M$1)</f>
        <v>0</v>
      </c>
      <c r="N106" s="91" t="n">
        <f aca="false">IFERROR(M106/M$5,0)</f>
        <v>0</v>
      </c>
      <c r="P106" s="75" t="n">
        <f aca="false">SUMIFS('Dados Mov Financeira'!$N:$N,'Dados Mov Financeira'!$O:$O,'DRE 2019'!$B106,'Dados Mov Financeira'!$A:$A,'DRE 2019'!P$1)</f>
        <v>0</v>
      </c>
      <c r="Q106" s="91" t="n">
        <f aca="false">IFERROR(P106/P$5,0)</f>
        <v>0</v>
      </c>
      <c r="S106" s="75" t="n">
        <f aca="false">SUMIFS('Dados Mov Financeira'!$N:$N,'Dados Mov Financeira'!$O:$O,'DRE 2019'!$B106,'Dados Mov Financeira'!$A:$A,'DRE 2019'!S$1)</f>
        <v>0</v>
      </c>
      <c r="T106" s="91" t="n">
        <f aca="false">IFERROR(S106/S$5,0)</f>
        <v>0</v>
      </c>
      <c r="V106" s="75" t="n">
        <f aca="false">SUMIFS('Dados Mov Financeira'!$N:$N,'Dados Mov Financeira'!$O:$O,'DRE 2019'!$B106,'Dados Mov Financeira'!$A:$A,'DRE 2019'!V$1)</f>
        <v>0</v>
      </c>
      <c r="W106" s="91" t="n">
        <f aca="false">IFERROR(V106/V$5,0)</f>
        <v>0</v>
      </c>
      <c r="Y106" s="75" t="n">
        <f aca="false">SUMIFS('Dados Mov Financeira'!$N:$N,'Dados Mov Financeira'!$O:$O,'DRE 2019'!$B106,'Dados Mov Financeira'!$A:$A,'DRE 2019'!Y$1)</f>
        <v>0</v>
      </c>
      <c r="Z106" s="91" t="n">
        <f aca="false">IFERROR(Y106/Y$5,0)</f>
        <v>0</v>
      </c>
      <c r="AB106" s="75" t="n">
        <f aca="false">SUMIFS('Dados Mov Financeira'!$N:$N,'Dados Mov Financeira'!$O:$O,'DRE 2019'!$B106,'Dados Mov Financeira'!$A:$A,'DRE 2019'!AB$1)</f>
        <v>0</v>
      </c>
      <c r="AC106" s="91" t="n">
        <f aca="false">IFERROR(AB106/AB$5,0)</f>
        <v>0</v>
      </c>
      <c r="AE106" s="75" t="n">
        <f aca="false">SUMIFS('Dados Mov Financeira'!$N:$N,'Dados Mov Financeira'!$O:$O,'DRE 2019'!$B106,'Dados Mov Financeira'!$A:$A,'DRE 2019'!AE$1)</f>
        <v>0</v>
      </c>
      <c r="AF106" s="91" t="n">
        <f aca="false">IFERROR(AE106/AE$5,0)</f>
        <v>0</v>
      </c>
      <c r="AH106" s="75" t="n">
        <f aca="false">SUMIFS('Dados Mov Financeira'!$N:$N,'Dados Mov Financeira'!$O:$O,'DRE 2019'!$B106,'Dados Mov Financeira'!$A:$A,'DRE 2019'!AH$1)</f>
        <v>0</v>
      </c>
      <c r="AI106" s="91" t="n">
        <f aca="false">IFERROR(AH106/AH$5,0)</f>
        <v>0</v>
      </c>
      <c r="AK106" s="75" t="n">
        <f aca="false">SUMIFS('Dados Mov Financeira'!$N:$N,'Dados Mov Financeira'!$O:$O,'DRE 2019'!$B106,'Dados Mov Financeira'!$A:$A,'DRE 2019'!AK$1)</f>
        <v>0</v>
      </c>
      <c r="AL106" s="91" t="n">
        <f aca="false">IFERROR(AK106/AK$5,0)</f>
        <v>0</v>
      </c>
      <c r="AN106" s="92" t="n">
        <f aca="false">SUM(D106,G106,J106,M106,P106,S106,V106,Y106,AB106,AE106,AH106,AK106)</f>
        <v>0</v>
      </c>
      <c r="AO106" s="91" t="n">
        <f aca="false">IFERROR(AN106/AN$5,0)</f>
        <v>0</v>
      </c>
      <c r="AQ106" s="93" t="n">
        <f aca="false">AN106/$AR$1</f>
        <v>0</v>
      </c>
      <c r="AR106" s="94" t="n">
        <f aca="false">IFERROR(AQ106/AQ$5,0)</f>
        <v>0</v>
      </c>
      <c r="AT106" s="115"/>
    </row>
    <row r="107" customFormat="false" ht="14.25" hidden="true" customHeight="false" outlineLevel="1" collapsed="false">
      <c r="B107" s="89" t="s">
        <v>128</v>
      </c>
      <c r="D107" s="75" t="n">
        <f aca="false">SUMIFS('Dados Mov Financeira'!$N:$N,'Dados Mov Financeira'!$O:$O,'DRE 2019'!$B107,'Dados Mov Financeira'!$A:$A,'DRE 2019'!D$1)</f>
        <v>0</v>
      </c>
      <c r="E107" s="91" t="n">
        <f aca="false">IFERROR(D107/D$5,0)</f>
        <v>0</v>
      </c>
      <c r="G107" s="75" t="n">
        <f aca="false">SUMIFS('Dados Mov Financeira'!$N:$N,'Dados Mov Financeira'!$O:$O,'DRE 2019'!$B107,'Dados Mov Financeira'!$A:$A,'DRE 2019'!G$1)</f>
        <v>0</v>
      </c>
      <c r="H107" s="91" t="n">
        <f aca="false">IFERROR(G107/G$5,0)</f>
        <v>0</v>
      </c>
      <c r="J107" s="75" t="n">
        <f aca="false">SUMIFS('Dados Mov Financeira'!$N:$N,'Dados Mov Financeira'!$O:$O,'DRE 2019'!$B107,'Dados Mov Financeira'!$A:$A,'DRE 2019'!J$1)</f>
        <v>0</v>
      </c>
      <c r="K107" s="91" t="n">
        <f aca="false">IFERROR(J107/J$5,0)</f>
        <v>0</v>
      </c>
      <c r="M107" s="75" t="n">
        <f aca="false">SUMIFS('Dados Mov Financeira'!$N:$N,'Dados Mov Financeira'!$O:$O,'DRE 2019'!$B107,'Dados Mov Financeira'!$A:$A,'DRE 2019'!M$1)</f>
        <v>0</v>
      </c>
      <c r="N107" s="91" t="n">
        <f aca="false">IFERROR(M107/M$5,0)</f>
        <v>0</v>
      </c>
      <c r="P107" s="75" t="n">
        <f aca="false">SUMIFS('Dados Mov Financeira'!$N:$N,'Dados Mov Financeira'!$O:$O,'DRE 2019'!$B107,'Dados Mov Financeira'!$A:$A,'DRE 2019'!P$1)</f>
        <v>0</v>
      </c>
      <c r="Q107" s="91" t="n">
        <f aca="false">IFERROR(P107/P$5,0)</f>
        <v>0</v>
      </c>
      <c r="S107" s="75" t="n">
        <f aca="false">SUMIFS('Dados Mov Financeira'!$N:$N,'Dados Mov Financeira'!$O:$O,'DRE 2019'!$B107,'Dados Mov Financeira'!$A:$A,'DRE 2019'!S$1)</f>
        <v>0</v>
      </c>
      <c r="T107" s="91" t="n">
        <f aca="false">IFERROR(S107/S$5,0)</f>
        <v>0</v>
      </c>
      <c r="V107" s="75" t="n">
        <f aca="false">SUMIFS('Dados Mov Financeira'!$N:$N,'Dados Mov Financeira'!$O:$O,'DRE 2019'!$B107,'Dados Mov Financeira'!$A:$A,'DRE 2019'!V$1)</f>
        <v>0</v>
      </c>
      <c r="W107" s="91" t="n">
        <f aca="false">IFERROR(V107/V$5,0)</f>
        <v>0</v>
      </c>
      <c r="Y107" s="75" t="n">
        <f aca="false">SUMIFS('Dados Mov Financeira'!$N:$N,'Dados Mov Financeira'!$O:$O,'DRE 2019'!$B107,'Dados Mov Financeira'!$A:$A,'DRE 2019'!Y$1)</f>
        <v>0</v>
      </c>
      <c r="Z107" s="91" t="n">
        <f aca="false">IFERROR(Y107/Y$5,0)</f>
        <v>0</v>
      </c>
      <c r="AB107" s="75" t="n">
        <f aca="false">SUMIFS('Dados Mov Financeira'!$N:$N,'Dados Mov Financeira'!$O:$O,'DRE 2019'!$B107,'Dados Mov Financeira'!$A:$A,'DRE 2019'!AB$1)</f>
        <v>0</v>
      </c>
      <c r="AC107" s="91" t="n">
        <f aca="false">IFERROR(AB107/AB$5,0)</f>
        <v>0</v>
      </c>
      <c r="AE107" s="75" t="n">
        <f aca="false">SUMIFS('Dados Mov Financeira'!$N:$N,'Dados Mov Financeira'!$O:$O,'DRE 2019'!$B107,'Dados Mov Financeira'!$A:$A,'DRE 2019'!AE$1)</f>
        <v>0</v>
      </c>
      <c r="AF107" s="91" t="n">
        <f aca="false">IFERROR(AE107/AE$5,0)</f>
        <v>0</v>
      </c>
      <c r="AH107" s="75" t="n">
        <f aca="false">SUMIFS('Dados Mov Financeira'!$N:$N,'Dados Mov Financeira'!$O:$O,'DRE 2019'!$B107,'Dados Mov Financeira'!$A:$A,'DRE 2019'!AH$1)</f>
        <v>0</v>
      </c>
      <c r="AI107" s="91" t="n">
        <f aca="false">IFERROR(AH107/AH$5,0)</f>
        <v>0</v>
      </c>
      <c r="AK107" s="75" t="n">
        <f aca="false">SUMIFS('Dados Mov Financeira'!$N:$N,'Dados Mov Financeira'!$O:$O,'DRE 2019'!$B107,'Dados Mov Financeira'!$A:$A,'DRE 2019'!AK$1)</f>
        <v>0</v>
      </c>
      <c r="AL107" s="91" t="n">
        <f aca="false">IFERROR(AK107/AK$5,0)</f>
        <v>0</v>
      </c>
      <c r="AN107" s="92" t="n">
        <f aca="false">SUM(D107,G107,J107,M107,P107,S107,V107,Y107,AB107,AE107,AH107,AK107)</f>
        <v>0</v>
      </c>
      <c r="AO107" s="91" t="n">
        <f aca="false">IFERROR(AN107/AN$5,0)</f>
        <v>0</v>
      </c>
      <c r="AQ107" s="93" t="n">
        <f aca="false">AN107/$AR$1</f>
        <v>0</v>
      </c>
      <c r="AR107" s="94" t="n">
        <f aca="false">IFERROR(AQ107/AQ$5,0)</f>
        <v>0</v>
      </c>
      <c r="AT107" s="115"/>
    </row>
    <row r="108" customFormat="false" ht="14.25" hidden="true" customHeight="false" outlineLevel="1" collapsed="false">
      <c r="B108" s="89" t="s">
        <v>129</v>
      </c>
      <c r="D108" s="75" t="n">
        <f aca="false">SUMIFS('Dados Mov Financeira'!$N:$N,'Dados Mov Financeira'!$O:$O,'DRE 2019'!$B108,'Dados Mov Financeira'!$A:$A,'DRE 2019'!D$1)</f>
        <v>0</v>
      </c>
      <c r="E108" s="91" t="n">
        <f aca="false">IFERROR(D108/D$5,0)</f>
        <v>0</v>
      </c>
      <c r="G108" s="75" t="n">
        <f aca="false">SUMIFS('Dados Mov Financeira'!$N:$N,'Dados Mov Financeira'!$O:$O,'DRE 2019'!$B108,'Dados Mov Financeira'!$A:$A,'DRE 2019'!G$1)</f>
        <v>0</v>
      </c>
      <c r="H108" s="91" t="n">
        <f aca="false">IFERROR(G108/G$5,0)</f>
        <v>0</v>
      </c>
      <c r="J108" s="75" t="n">
        <f aca="false">SUMIFS('Dados Mov Financeira'!$N:$N,'Dados Mov Financeira'!$O:$O,'DRE 2019'!$B108,'Dados Mov Financeira'!$A:$A,'DRE 2019'!J$1)</f>
        <v>0</v>
      </c>
      <c r="K108" s="91" t="n">
        <f aca="false">IFERROR(J108/J$5,0)</f>
        <v>0</v>
      </c>
      <c r="M108" s="75" t="n">
        <f aca="false">SUMIFS('Dados Mov Financeira'!$N:$N,'Dados Mov Financeira'!$O:$O,'DRE 2019'!$B108,'Dados Mov Financeira'!$A:$A,'DRE 2019'!M$1)</f>
        <v>0</v>
      </c>
      <c r="N108" s="91" t="n">
        <f aca="false">IFERROR(M108/M$5,0)</f>
        <v>0</v>
      </c>
      <c r="P108" s="75" t="n">
        <f aca="false">SUMIFS('Dados Mov Financeira'!$N:$N,'Dados Mov Financeira'!$O:$O,'DRE 2019'!$B108,'Dados Mov Financeira'!$A:$A,'DRE 2019'!P$1)</f>
        <v>0</v>
      </c>
      <c r="Q108" s="91" t="n">
        <f aca="false">IFERROR(P108/P$5,0)</f>
        <v>0</v>
      </c>
      <c r="S108" s="75" t="n">
        <f aca="false">SUMIFS('Dados Mov Financeira'!$N:$N,'Dados Mov Financeira'!$O:$O,'DRE 2019'!$B108,'Dados Mov Financeira'!$A:$A,'DRE 2019'!S$1)</f>
        <v>0</v>
      </c>
      <c r="T108" s="91" t="n">
        <f aca="false">IFERROR(S108/S$5,0)</f>
        <v>0</v>
      </c>
      <c r="V108" s="75" t="n">
        <f aca="false">SUMIFS('Dados Mov Financeira'!$N:$N,'Dados Mov Financeira'!$O:$O,'DRE 2019'!$B108,'Dados Mov Financeira'!$A:$A,'DRE 2019'!V$1)</f>
        <v>0</v>
      </c>
      <c r="W108" s="91" t="n">
        <f aca="false">IFERROR(V108/V$5,0)</f>
        <v>0</v>
      </c>
      <c r="Y108" s="75" t="n">
        <f aca="false">SUMIFS('Dados Mov Financeira'!$N:$N,'Dados Mov Financeira'!$O:$O,'DRE 2019'!$B108,'Dados Mov Financeira'!$A:$A,'DRE 2019'!Y$1)</f>
        <v>0</v>
      </c>
      <c r="Z108" s="91" t="n">
        <f aca="false">IFERROR(Y108/Y$5,0)</f>
        <v>0</v>
      </c>
      <c r="AB108" s="75" t="n">
        <f aca="false">SUMIFS('Dados Mov Financeira'!$N:$N,'Dados Mov Financeira'!$O:$O,'DRE 2019'!$B108,'Dados Mov Financeira'!$A:$A,'DRE 2019'!AB$1)</f>
        <v>0</v>
      </c>
      <c r="AC108" s="91" t="n">
        <f aca="false">IFERROR(AB108/AB$5,0)</f>
        <v>0</v>
      </c>
      <c r="AE108" s="75" t="n">
        <f aca="false">SUMIFS('Dados Mov Financeira'!$N:$N,'Dados Mov Financeira'!$O:$O,'DRE 2019'!$B108,'Dados Mov Financeira'!$A:$A,'DRE 2019'!AE$1)</f>
        <v>0</v>
      </c>
      <c r="AF108" s="91" t="n">
        <f aca="false">IFERROR(AE108/AE$5,0)</f>
        <v>0</v>
      </c>
      <c r="AH108" s="75" t="n">
        <f aca="false">SUMIFS('Dados Mov Financeira'!$N:$N,'Dados Mov Financeira'!$O:$O,'DRE 2019'!$B108,'Dados Mov Financeira'!$A:$A,'DRE 2019'!AH$1)</f>
        <v>0</v>
      </c>
      <c r="AI108" s="91" t="n">
        <f aca="false">IFERROR(AH108/AH$5,0)</f>
        <v>0</v>
      </c>
      <c r="AK108" s="75" t="n">
        <f aca="false">SUMIFS('Dados Mov Financeira'!$N:$N,'Dados Mov Financeira'!$O:$O,'DRE 2019'!$B108,'Dados Mov Financeira'!$A:$A,'DRE 2019'!AK$1)</f>
        <v>0</v>
      </c>
      <c r="AL108" s="91" t="n">
        <f aca="false">IFERROR(AK108/AK$5,0)</f>
        <v>0</v>
      </c>
      <c r="AN108" s="92" t="n">
        <f aca="false">SUM(D108,G108,J108,M108,P108,S108,V108,Y108,AB108,AE108,AH108,AK108)</f>
        <v>0</v>
      </c>
      <c r="AO108" s="91" t="n">
        <f aca="false">IFERROR(AN108/AN$5,0)</f>
        <v>0</v>
      </c>
      <c r="AQ108" s="93" t="n">
        <f aca="false">AN108/$AR$1</f>
        <v>0</v>
      </c>
      <c r="AR108" s="94" t="n">
        <f aca="false">IFERROR(AQ108/AQ$5,0)</f>
        <v>0</v>
      </c>
      <c r="AT108" s="116"/>
    </row>
    <row r="109" s="57" customFormat="true" ht="17.25" hidden="false" customHeight="true" outlineLevel="0" collapsed="false">
      <c r="B109" s="48"/>
      <c r="C109" s="58"/>
      <c r="D109" s="59"/>
      <c r="E109" s="60"/>
      <c r="F109" s="58"/>
      <c r="G109" s="59"/>
      <c r="H109" s="60"/>
      <c r="I109" s="58"/>
      <c r="J109" s="59"/>
      <c r="K109" s="60"/>
      <c r="L109" s="58"/>
      <c r="M109" s="59"/>
      <c r="N109" s="60"/>
      <c r="O109" s="58"/>
      <c r="P109" s="59"/>
      <c r="Q109" s="60"/>
      <c r="R109" s="58"/>
      <c r="S109" s="59"/>
      <c r="T109" s="60"/>
      <c r="U109" s="58"/>
      <c r="V109" s="59"/>
      <c r="W109" s="60"/>
      <c r="X109" s="58"/>
      <c r="Y109" s="59"/>
      <c r="Z109" s="60"/>
      <c r="AA109" s="58"/>
      <c r="AB109" s="59"/>
      <c r="AC109" s="60"/>
      <c r="AD109" s="58"/>
      <c r="AE109" s="59"/>
      <c r="AF109" s="60"/>
      <c r="AG109" s="58"/>
      <c r="AH109" s="59"/>
      <c r="AI109" s="60"/>
      <c r="AJ109" s="58"/>
      <c r="AK109" s="59"/>
      <c r="AL109" s="60"/>
      <c r="AM109" s="58"/>
      <c r="AN109" s="59"/>
      <c r="AO109" s="60"/>
      <c r="AP109" s="58"/>
      <c r="AQ109" s="61"/>
      <c r="AR109" s="60"/>
      <c r="AS109" s="58"/>
      <c r="AT109" s="62"/>
    </row>
    <row r="110" s="63" customFormat="true" ht="20.85" hidden="false" customHeight="false" outlineLevel="0" collapsed="false">
      <c r="A110" s="36"/>
      <c r="B110" s="102" t="s">
        <v>130</v>
      </c>
      <c r="D110" s="103" t="n">
        <f aca="false">D41+D43</f>
        <v>0</v>
      </c>
      <c r="E110" s="104" t="n">
        <f aca="false">IFERROR(D110/D$5,0)</f>
        <v>0</v>
      </c>
      <c r="G110" s="103" t="n">
        <f aca="false">G41+G43</f>
        <v>0</v>
      </c>
      <c r="H110" s="104" t="n">
        <f aca="false">IFERROR(G110/G$5,0)</f>
        <v>0</v>
      </c>
      <c r="J110" s="103" t="n">
        <f aca="false">J41+J43</f>
        <v>0</v>
      </c>
      <c r="K110" s="104" t="n">
        <f aca="false">IFERROR(J110/J$5,0)</f>
        <v>0</v>
      </c>
      <c r="M110" s="103" t="n">
        <f aca="false">M41+M43</f>
        <v>0</v>
      </c>
      <c r="N110" s="104" t="n">
        <f aca="false">IFERROR(M110/M$5,0)</f>
        <v>0</v>
      </c>
      <c r="P110" s="103" t="n">
        <f aca="false">P41+P43</f>
        <v>0</v>
      </c>
      <c r="Q110" s="104" t="n">
        <f aca="false">IFERROR(P110/P$5,0)</f>
        <v>0</v>
      </c>
      <c r="S110" s="103" t="n">
        <f aca="false">S41+S43</f>
        <v>0</v>
      </c>
      <c r="T110" s="104" t="n">
        <f aca="false">IFERROR(S110/S$5,0)</f>
        <v>0</v>
      </c>
      <c r="V110" s="103" t="n">
        <f aca="false">V41+V43</f>
        <v>0</v>
      </c>
      <c r="W110" s="104" t="n">
        <f aca="false">IFERROR(V110/V$5,0)</f>
        <v>0</v>
      </c>
      <c r="Y110" s="103" t="n">
        <f aca="false">Y41+Y43</f>
        <v>0</v>
      </c>
      <c r="Z110" s="104" t="n">
        <f aca="false">IFERROR(Y110/Y$5,0)</f>
        <v>0</v>
      </c>
      <c r="AB110" s="103" t="n">
        <f aca="false">AB41+AB43</f>
        <v>0</v>
      </c>
      <c r="AC110" s="104" t="n">
        <f aca="false">IFERROR(AB110/AB$5,0)</f>
        <v>0</v>
      </c>
      <c r="AE110" s="103" t="n">
        <f aca="false">AE41+AE43</f>
        <v>0</v>
      </c>
      <c r="AF110" s="104" t="n">
        <f aca="false">IFERROR(AE110/AE$5,0)</f>
        <v>0</v>
      </c>
      <c r="AH110" s="103" t="n">
        <f aca="false">AH41+AH43</f>
        <v>0</v>
      </c>
      <c r="AI110" s="104" t="n">
        <f aca="false">IFERROR(AH110/AH$5,0)</f>
        <v>0</v>
      </c>
      <c r="AK110" s="103" t="n">
        <f aca="false">AK41+AK43</f>
        <v>0</v>
      </c>
      <c r="AL110" s="104" t="n">
        <f aca="false">IFERROR(AK110/AK$5,0)</f>
        <v>0</v>
      </c>
      <c r="AN110" s="103" t="n">
        <f aca="false">AN41+AN43</f>
        <v>0</v>
      </c>
      <c r="AO110" s="104" t="n">
        <f aca="false">IFERROR(AN110/AN$5,0)</f>
        <v>0</v>
      </c>
      <c r="AQ110" s="103" t="n">
        <f aca="false">AQ41+AQ43</f>
        <v>0</v>
      </c>
      <c r="AR110" s="104" t="n">
        <f aca="false">IFERROR(AQ110/AQ$5,0)</f>
        <v>0</v>
      </c>
      <c r="AT110" s="105"/>
    </row>
    <row r="111" s="57" customFormat="true" ht="7.5" hidden="false" customHeight="true" outlineLevel="0" collapsed="false">
      <c r="B111" s="48"/>
      <c r="C111" s="58"/>
      <c r="D111" s="59"/>
      <c r="E111" s="60"/>
      <c r="F111" s="58"/>
      <c r="G111" s="59"/>
      <c r="H111" s="60"/>
      <c r="I111" s="58"/>
      <c r="J111" s="59"/>
      <c r="K111" s="60"/>
      <c r="L111" s="58"/>
      <c r="M111" s="59"/>
      <c r="N111" s="60"/>
      <c r="O111" s="58"/>
      <c r="P111" s="59"/>
      <c r="Q111" s="60"/>
      <c r="R111" s="58"/>
      <c r="S111" s="59"/>
      <c r="T111" s="60"/>
      <c r="U111" s="58"/>
      <c r="V111" s="59"/>
      <c r="W111" s="60"/>
      <c r="X111" s="58"/>
      <c r="Y111" s="59"/>
      <c r="Z111" s="60"/>
      <c r="AA111" s="58"/>
      <c r="AB111" s="59"/>
      <c r="AC111" s="60"/>
      <c r="AD111" s="58"/>
      <c r="AE111" s="59"/>
      <c r="AF111" s="60"/>
      <c r="AG111" s="58"/>
      <c r="AH111" s="59"/>
      <c r="AI111" s="60"/>
      <c r="AJ111" s="58"/>
      <c r="AK111" s="59"/>
      <c r="AL111" s="60"/>
      <c r="AM111" s="58"/>
      <c r="AN111" s="59"/>
      <c r="AO111" s="60"/>
      <c r="AP111" s="58"/>
      <c r="AQ111" s="61"/>
      <c r="AR111" s="60"/>
      <c r="AS111" s="58"/>
      <c r="AT111" s="62"/>
    </row>
    <row r="112" s="63" customFormat="true" ht="20.85" hidden="false" customHeight="false" outlineLevel="0" collapsed="false">
      <c r="A112" s="36"/>
      <c r="B112" s="79" t="s">
        <v>131</v>
      </c>
      <c r="D112" s="80" t="n">
        <f aca="false">D113+D121</f>
        <v>0</v>
      </c>
      <c r="E112" s="81" t="n">
        <f aca="false">IFERROR(D112/D$5,0)</f>
        <v>0</v>
      </c>
      <c r="G112" s="80" t="n">
        <f aca="false">G113+G121</f>
        <v>0</v>
      </c>
      <c r="H112" s="81" t="n">
        <f aca="false">IFERROR(G112/G$5,0)</f>
        <v>0</v>
      </c>
      <c r="J112" s="80" t="n">
        <f aca="false">J113+J121</f>
        <v>0</v>
      </c>
      <c r="K112" s="81" t="n">
        <f aca="false">IFERROR(J112/J$5,0)</f>
        <v>0</v>
      </c>
      <c r="M112" s="80" t="n">
        <f aca="false">M113+M121</f>
        <v>0</v>
      </c>
      <c r="N112" s="81" t="n">
        <f aca="false">IFERROR(M112/M$5,0)</f>
        <v>0</v>
      </c>
      <c r="P112" s="80" t="n">
        <f aca="false">P113+P121</f>
        <v>0</v>
      </c>
      <c r="Q112" s="81" t="n">
        <f aca="false">IFERROR(P112/P$5,0)</f>
        <v>0</v>
      </c>
      <c r="S112" s="80" t="n">
        <f aca="false">S113+S121</f>
        <v>0</v>
      </c>
      <c r="T112" s="81" t="n">
        <f aca="false">IFERROR(S112/S$5,0)</f>
        <v>0</v>
      </c>
      <c r="V112" s="80" t="n">
        <f aca="false">V113+V121</f>
        <v>0</v>
      </c>
      <c r="W112" s="81" t="n">
        <f aca="false">IFERROR(V112/V$5,0)</f>
        <v>0</v>
      </c>
      <c r="Y112" s="80" t="n">
        <f aca="false">Y113+Y121</f>
        <v>0</v>
      </c>
      <c r="Z112" s="81" t="n">
        <f aca="false">IFERROR(Y112/Y$5,0)</f>
        <v>0</v>
      </c>
      <c r="AB112" s="80" t="n">
        <f aca="false">AB113+AB121</f>
        <v>0</v>
      </c>
      <c r="AC112" s="81" t="n">
        <f aca="false">IFERROR(AB112/AB$5,0)</f>
        <v>0</v>
      </c>
      <c r="AE112" s="80" t="n">
        <f aca="false">AE113+AE121</f>
        <v>0</v>
      </c>
      <c r="AF112" s="81" t="n">
        <f aca="false">IFERROR(AE112/AE$5,0)</f>
        <v>0</v>
      </c>
      <c r="AH112" s="80" t="n">
        <f aca="false">AH113+AH121</f>
        <v>0</v>
      </c>
      <c r="AI112" s="81" t="n">
        <f aca="false">IFERROR(AH112/AH$5,0)</f>
        <v>0</v>
      </c>
      <c r="AK112" s="80" t="n">
        <f aca="false">AK113+AK121</f>
        <v>0</v>
      </c>
      <c r="AL112" s="81" t="n">
        <f aca="false">IFERROR(AK112/AK$5,0)</f>
        <v>0</v>
      </c>
      <c r="AN112" s="80" t="n">
        <f aca="false">AN113+AN121</f>
        <v>0</v>
      </c>
      <c r="AO112" s="81" t="n">
        <f aca="false">IFERROR(AN112/AN$5,0)</f>
        <v>0</v>
      </c>
      <c r="AQ112" s="80" t="n">
        <f aca="false">AQ113+AQ121</f>
        <v>0</v>
      </c>
      <c r="AR112" s="81" t="n">
        <f aca="false">IFERROR(AQ112/AQ$5,0)</f>
        <v>0</v>
      </c>
      <c r="AT112" s="84" t="n">
        <f aca="false">AT113</f>
        <v>-0.005</v>
      </c>
    </row>
    <row r="113" s="63" customFormat="true" ht="14.25" hidden="false" customHeight="false" outlineLevel="0" collapsed="false">
      <c r="B113" s="106" t="s">
        <v>132</v>
      </c>
      <c r="D113" s="99" t="n">
        <f aca="false">SUM(D114:D120)</f>
        <v>0</v>
      </c>
      <c r="E113" s="95" t="n">
        <f aca="false">IFERROR(D113/D$5,0)</f>
        <v>0</v>
      </c>
      <c r="G113" s="99" t="n">
        <f aca="false">SUM(G114:G120)</f>
        <v>0</v>
      </c>
      <c r="H113" s="95" t="n">
        <f aca="false">IFERROR(G113/G$5,0)</f>
        <v>0</v>
      </c>
      <c r="J113" s="99" t="n">
        <f aca="false">SUM(J114:J120)</f>
        <v>0</v>
      </c>
      <c r="K113" s="95" t="n">
        <f aca="false">IFERROR(J113/J$5,0)</f>
        <v>0</v>
      </c>
      <c r="M113" s="99" t="n">
        <f aca="false">SUM(M114:M120)</f>
        <v>0</v>
      </c>
      <c r="N113" s="95" t="n">
        <f aca="false">IFERROR(M113/M$5,0)</f>
        <v>0</v>
      </c>
      <c r="P113" s="99" t="n">
        <f aca="false">SUM(P114:P120)</f>
        <v>0</v>
      </c>
      <c r="Q113" s="95" t="n">
        <f aca="false">IFERROR(P113/P$5,0)</f>
        <v>0</v>
      </c>
      <c r="S113" s="99" t="n">
        <f aca="false">SUM(S114:S120)</f>
        <v>0</v>
      </c>
      <c r="T113" s="95" t="n">
        <f aca="false">IFERROR(S113/S$5,0)</f>
        <v>0</v>
      </c>
      <c r="V113" s="99" t="n">
        <f aca="false">SUM(V114:V120)</f>
        <v>0</v>
      </c>
      <c r="W113" s="95" t="n">
        <f aca="false">IFERROR(V113/V$5,0)</f>
        <v>0</v>
      </c>
      <c r="Y113" s="99" t="n">
        <f aca="false">SUM(Y114:Y120)</f>
        <v>0</v>
      </c>
      <c r="Z113" s="95" t="n">
        <f aca="false">IFERROR(Y113/Y$5,0)</f>
        <v>0</v>
      </c>
      <c r="AB113" s="99" t="n">
        <f aca="false">SUM(AB114:AB120)</f>
        <v>0</v>
      </c>
      <c r="AC113" s="95" t="n">
        <f aca="false">IFERROR(AB113/AB$5,0)</f>
        <v>0</v>
      </c>
      <c r="AE113" s="99" t="n">
        <f aca="false">SUM(AE114:AE120)</f>
        <v>0</v>
      </c>
      <c r="AF113" s="95" t="n">
        <f aca="false">IFERROR(AE113/AE$5,0)</f>
        <v>0</v>
      </c>
      <c r="AH113" s="99" t="n">
        <f aca="false">SUM(AH114:AH120)</f>
        <v>0</v>
      </c>
      <c r="AI113" s="95" t="n">
        <f aca="false">IFERROR(AH113/AH$5,0)</f>
        <v>0</v>
      </c>
      <c r="AK113" s="99" t="n">
        <f aca="false">SUM(AK114:AK120)</f>
        <v>0</v>
      </c>
      <c r="AL113" s="95" t="n">
        <f aca="false">IFERROR(AK113/AK$5,0)</f>
        <v>0</v>
      </c>
      <c r="AN113" s="99" t="n">
        <f aca="false">SUM(AN114:AN120)</f>
        <v>0</v>
      </c>
      <c r="AO113" s="95" t="n">
        <f aca="false">IFERROR(AN113/AN$5,0)</f>
        <v>0</v>
      </c>
      <c r="AQ113" s="99" t="n">
        <f aca="false">SUM(AQ114:AQ120)</f>
        <v>0</v>
      </c>
      <c r="AR113" s="76" t="n">
        <f aca="false">IFERROR(AQ113/AQ$5,0)</f>
        <v>0</v>
      </c>
      <c r="AT113" s="78" t="n">
        <v>-0.005</v>
      </c>
    </row>
    <row r="114" customFormat="false" ht="14.25" hidden="true" customHeight="false" outlineLevel="1" collapsed="false">
      <c r="B114" s="117" t="s">
        <v>133</v>
      </c>
      <c r="D114" s="75" t="n">
        <f aca="false">SUMIFS('Dados Mov Financeira'!$N:$N,'Dados Mov Financeira'!$O:$O,'DRE 2019'!$B114,'Dados Mov Financeira'!$A:$A,'DRE 2019'!D$1)</f>
        <v>0</v>
      </c>
      <c r="E114" s="91" t="n">
        <f aca="false">IFERROR(D114/D$5,0)</f>
        <v>0</v>
      </c>
      <c r="G114" s="75" t="n">
        <f aca="false">SUMIFS('Dados Mov Financeira'!$N:$N,'Dados Mov Financeira'!$O:$O,'DRE 2019'!$B114,'Dados Mov Financeira'!$A:$A,'DRE 2019'!G$1)</f>
        <v>0</v>
      </c>
      <c r="H114" s="91" t="n">
        <f aca="false">IFERROR(G114/G$5,0)</f>
        <v>0</v>
      </c>
      <c r="J114" s="75" t="n">
        <f aca="false">SUMIFS('Dados Mov Financeira'!$N:$N,'Dados Mov Financeira'!$O:$O,'DRE 2019'!$B114,'Dados Mov Financeira'!$A:$A,'DRE 2019'!J$1)</f>
        <v>0</v>
      </c>
      <c r="K114" s="91" t="n">
        <f aca="false">IFERROR(J114/J$5,0)</f>
        <v>0</v>
      </c>
      <c r="M114" s="75" t="n">
        <f aca="false">SUMIFS('Dados Mov Financeira'!$N:$N,'Dados Mov Financeira'!$O:$O,'DRE 2019'!$B114,'Dados Mov Financeira'!$A:$A,'DRE 2019'!M$1)</f>
        <v>0</v>
      </c>
      <c r="N114" s="91" t="n">
        <f aca="false">IFERROR(M114/M$5,0)</f>
        <v>0</v>
      </c>
      <c r="P114" s="75" t="n">
        <f aca="false">SUMIFS('Dados Mov Financeira'!$N:$N,'Dados Mov Financeira'!$O:$O,'DRE 2019'!$B114,'Dados Mov Financeira'!$A:$A,'DRE 2019'!P$1)</f>
        <v>0</v>
      </c>
      <c r="Q114" s="91" t="n">
        <f aca="false">IFERROR(P114/P$5,0)</f>
        <v>0</v>
      </c>
      <c r="S114" s="75" t="n">
        <f aca="false">SUMIFS('Dados Mov Financeira'!$N:$N,'Dados Mov Financeira'!$O:$O,'DRE 2019'!$B114,'Dados Mov Financeira'!$A:$A,'DRE 2019'!S$1)</f>
        <v>0</v>
      </c>
      <c r="T114" s="91" t="n">
        <f aca="false">IFERROR(S114/S$5,0)</f>
        <v>0</v>
      </c>
      <c r="V114" s="75" t="n">
        <f aca="false">SUMIFS('Dados Mov Financeira'!$N:$N,'Dados Mov Financeira'!$O:$O,'DRE 2019'!$B114,'Dados Mov Financeira'!$A:$A,'DRE 2019'!V$1)</f>
        <v>0</v>
      </c>
      <c r="W114" s="91" t="n">
        <f aca="false">IFERROR(V114/V$5,0)</f>
        <v>0</v>
      </c>
      <c r="Y114" s="75" t="n">
        <f aca="false">SUMIFS('Dados Mov Financeira'!$N:$N,'Dados Mov Financeira'!$O:$O,'DRE 2019'!$B114,'Dados Mov Financeira'!$A:$A,'DRE 2019'!Y$1)</f>
        <v>0</v>
      </c>
      <c r="Z114" s="91" t="n">
        <f aca="false">IFERROR(Y114/Y$5,0)</f>
        <v>0</v>
      </c>
      <c r="AB114" s="75" t="n">
        <f aca="false">SUMIFS('Dados Mov Financeira'!$N:$N,'Dados Mov Financeira'!$O:$O,'DRE 2019'!$B114,'Dados Mov Financeira'!$A:$A,'DRE 2019'!AB$1)</f>
        <v>0</v>
      </c>
      <c r="AC114" s="91" t="n">
        <f aca="false">IFERROR(AB114/AB$5,0)</f>
        <v>0</v>
      </c>
      <c r="AE114" s="75" t="n">
        <f aca="false">SUMIFS('Dados Mov Financeira'!$N:$N,'Dados Mov Financeira'!$O:$O,'DRE 2019'!$B114,'Dados Mov Financeira'!$A:$A,'DRE 2019'!AE$1)</f>
        <v>0</v>
      </c>
      <c r="AF114" s="91" t="n">
        <f aca="false">IFERROR(AE114/AE$5,0)</f>
        <v>0</v>
      </c>
      <c r="AH114" s="75" t="n">
        <f aca="false">SUMIFS('Dados Mov Financeira'!$N:$N,'Dados Mov Financeira'!$O:$O,'DRE 2019'!$B114,'Dados Mov Financeira'!$A:$A,'DRE 2019'!AH$1)</f>
        <v>0</v>
      </c>
      <c r="AI114" s="91" t="n">
        <f aca="false">IFERROR(AH114/AH$5,0)</f>
        <v>0</v>
      </c>
      <c r="AK114" s="75" t="n">
        <f aca="false">SUMIFS('Dados Mov Financeira'!$N:$N,'Dados Mov Financeira'!$O:$O,'DRE 2019'!$B114,'Dados Mov Financeira'!$A:$A,'DRE 2019'!AK$1)</f>
        <v>0</v>
      </c>
      <c r="AL114" s="91" t="n">
        <f aca="false">IFERROR(AK114/AK$5,0)</f>
        <v>0</v>
      </c>
      <c r="AN114" s="92" t="n">
        <f aca="false">SUM(D114,G114,J114,M114,P114,S114,V114,Y114,AB114,AE114,AH114,AK114)</f>
        <v>0</v>
      </c>
      <c r="AO114" s="108" t="n">
        <f aca="false">IFERROR(AN114/AN$5,0)</f>
        <v>0</v>
      </c>
      <c r="AQ114" s="93" t="n">
        <f aca="false">AN114/$AR$1</f>
        <v>0</v>
      </c>
      <c r="AR114" s="94" t="n">
        <f aca="false">IFERROR(AQ114/AQ$5,0)</f>
        <v>0</v>
      </c>
      <c r="AT114" s="110"/>
    </row>
    <row r="115" customFormat="false" ht="14.25" hidden="true" customHeight="false" outlineLevel="1" collapsed="false">
      <c r="B115" s="117" t="s">
        <v>134</v>
      </c>
      <c r="D115" s="75" t="n">
        <f aca="false">SUMIFS('Dados Mov Financeira'!$N:$N,'Dados Mov Financeira'!$O:$O,'DRE 2019'!$B115,'Dados Mov Financeira'!$A:$A,'DRE 2019'!D$1)</f>
        <v>0</v>
      </c>
      <c r="E115" s="91" t="n">
        <f aca="false">IFERROR(D115/D$5,0)</f>
        <v>0</v>
      </c>
      <c r="G115" s="75" t="n">
        <f aca="false">SUMIFS('Dados Mov Financeira'!$N:$N,'Dados Mov Financeira'!$O:$O,'DRE 2019'!$B115,'Dados Mov Financeira'!$A:$A,'DRE 2019'!G$1)</f>
        <v>0</v>
      </c>
      <c r="H115" s="91" t="n">
        <f aca="false">IFERROR(G115/G$5,0)</f>
        <v>0</v>
      </c>
      <c r="J115" s="75" t="n">
        <f aca="false">SUMIFS('Dados Mov Financeira'!$N:$N,'Dados Mov Financeira'!$O:$O,'DRE 2019'!$B115,'Dados Mov Financeira'!$A:$A,'DRE 2019'!J$1)</f>
        <v>0</v>
      </c>
      <c r="K115" s="91" t="n">
        <f aca="false">IFERROR(J115/J$5,0)</f>
        <v>0</v>
      </c>
      <c r="M115" s="75" t="n">
        <f aca="false">SUMIFS('Dados Mov Financeira'!$N:$N,'Dados Mov Financeira'!$O:$O,'DRE 2019'!$B115,'Dados Mov Financeira'!$A:$A,'DRE 2019'!M$1)</f>
        <v>0</v>
      </c>
      <c r="N115" s="91" t="n">
        <f aca="false">IFERROR(M115/M$5,0)</f>
        <v>0</v>
      </c>
      <c r="P115" s="75" t="n">
        <f aca="false">SUMIFS('Dados Mov Financeira'!$N:$N,'Dados Mov Financeira'!$O:$O,'DRE 2019'!$B115,'Dados Mov Financeira'!$A:$A,'DRE 2019'!P$1)</f>
        <v>0</v>
      </c>
      <c r="Q115" s="91" t="n">
        <f aca="false">IFERROR(P115/P$5,0)</f>
        <v>0</v>
      </c>
      <c r="S115" s="75" t="n">
        <f aca="false">SUMIFS('Dados Mov Financeira'!$N:$N,'Dados Mov Financeira'!$O:$O,'DRE 2019'!$B115,'Dados Mov Financeira'!$A:$A,'DRE 2019'!S$1)</f>
        <v>0</v>
      </c>
      <c r="T115" s="91" t="n">
        <f aca="false">IFERROR(S115/S$5,0)</f>
        <v>0</v>
      </c>
      <c r="V115" s="75" t="n">
        <f aca="false">SUMIFS('Dados Mov Financeira'!$N:$N,'Dados Mov Financeira'!$O:$O,'DRE 2019'!$B115,'Dados Mov Financeira'!$A:$A,'DRE 2019'!V$1)</f>
        <v>0</v>
      </c>
      <c r="W115" s="91" t="n">
        <f aca="false">IFERROR(V115/V$5,0)</f>
        <v>0</v>
      </c>
      <c r="Y115" s="75" t="n">
        <f aca="false">SUMIFS('Dados Mov Financeira'!$N:$N,'Dados Mov Financeira'!$O:$O,'DRE 2019'!$B115,'Dados Mov Financeira'!$A:$A,'DRE 2019'!Y$1)</f>
        <v>0</v>
      </c>
      <c r="Z115" s="91" t="n">
        <f aca="false">IFERROR(Y115/Y$5,0)</f>
        <v>0</v>
      </c>
      <c r="AB115" s="75" t="n">
        <f aca="false">SUMIFS('Dados Mov Financeira'!$N:$N,'Dados Mov Financeira'!$O:$O,'DRE 2019'!$B115,'Dados Mov Financeira'!$A:$A,'DRE 2019'!AB$1)</f>
        <v>0</v>
      </c>
      <c r="AC115" s="91" t="n">
        <f aca="false">IFERROR(AB115/AB$5,0)</f>
        <v>0</v>
      </c>
      <c r="AE115" s="75" t="n">
        <f aca="false">SUMIFS('Dados Mov Financeira'!$N:$N,'Dados Mov Financeira'!$O:$O,'DRE 2019'!$B115,'Dados Mov Financeira'!$A:$A,'DRE 2019'!AE$1)</f>
        <v>0</v>
      </c>
      <c r="AF115" s="91" t="n">
        <f aca="false">IFERROR(AE115/AE$5,0)</f>
        <v>0</v>
      </c>
      <c r="AH115" s="75" t="n">
        <f aca="false">SUMIFS('Dados Mov Financeira'!$N:$N,'Dados Mov Financeira'!$O:$O,'DRE 2019'!$B115,'Dados Mov Financeira'!$A:$A,'DRE 2019'!AH$1)</f>
        <v>0</v>
      </c>
      <c r="AI115" s="91" t="n">
        <f aca="false">IFERROR(AH115/AH$5,0)</f>
        <v>0</v>
      </c>
      <c r="AK115" s="75" t="n">
        <f aca="false">SUMIFS('Dados Mov Financeira'!$N:$N,'Dados Mov Financeira'!$O:$O,'DRE 2019'!$B115,'Dados Mov Financeira'!$A:$A,'DRE 2019'!AK$1)</f>
        <v>0</v>
      </c>
      <c r="AL115" s="91" t="n">
        <f aca="false">IFERROR(AK115/AK$5,0)</f>
        <v>0</v>
      </c>
      <c r="AN115" s="92" t="n">
        <f aca="false">SUM(D115,G115,J115,M115,P115,S115,V115,Y115,AB115,AE115,AH115,AK115)</f>
        <v>0</v>
      </c>
      <c r="AO115" s="108" t="n">
        <f aca="false">IFERROR(AN115/AN$5,0)</f>
        <v>0</v>
      </c>
      <c r="AQ115" s="93" t="n">
        <f aca="false">AN115/$AR$1</f>
        <v>0</v>
      </c>
      <c r="AR115" s="94" t="n">
        <f aca="false">IFERROR(AQ115/AQ$5,0)</f>
        <v>0</v>
      </c>
      <c r="AT115" s="111"/>
    </row>
    <row r="116" customFormat="false" ht="14.25" hidden="true" customHeight="false" outlineLevel="1" collapsed="false">
      <c r="B116" s="117" t="s">
        <v>135</v>
      </c>
      <c r="D116" s="75" t="n">
        <f aca="false">SUMIFS('Dados Mov Financeira'!$N:$N,'Dados Mov Financeira'!$O:$O,'DRE 2019'!$B116,'Dados Mov Financeira'!$A:$A,'DRE 2019'!D$1)</f>
        <v>0</v>
      </c>
      <c r="E116" s="91" t="n">
        <f aca="false">IFERROR(D116/D$5,0)</f>
        <v>0</v>
      </c>
      <c r="G116" s="75" t="n">
        <f aca="false">SUMIFS('Dados Mov Financeira'!$N:$N,'Dados Mov Financeira'!$O:$O,'DRE 2019'!$B116,'Dados Mov Financeira'!$A:$A,'DRE 2019'!G$1)</f>
        <v>0</v>
      </c>
      <c r="H116" s="91" t="n">
        <f aca="false">IFERROR(G116/G$5,0)</f>
        <v>0</v>
      </c>
      <c r="J116" s="75" t="n">
        <f aca="false">SUMIFS('Dados Mov Financeira'!$N:$N,'Dados Mov Financeira'!$O:$O,'DRE 2019'!$B116,'Dados Mov Financeira'!$A:$A,'DRE 2019'!J$1)</f>
        <v>0</v>
      </c>
      <c r="K116" s="91" t="n">
        <f aca="false">IFERROR(J116/J$5,0)</f>
        <v>0</v>
      </c>
      <c r="M116" s="75" t="n">
        <f aca="false">SUMIFS('Dados Mov Financeira'!$N:$N,'Dados Mov Financeira'!$O:$O,'DRE 2019'!$B116,'Dados Mov Financeira'!$A:$A,'DRE 2019'!M$1)</f>
        <v>0</v>
      </c>
      <c r="N116" s="91" t="n">
        <f aca="false">IFERROR(M116/M$5,0)</f>
        <v>0</v>
      </c>
      <c r="P116" s="75" t="n">
        <f aca="false">SUMIFS('Dados Mov Financeira'!$N:$N,'Dados Mov Financeira'!$O:$O,'DRE 2019'!$B116,'Dados Mov Financeira'!$A:$A,'DRE 2019'!P$1)</f>
        <v>0</v>
      </c>
      <c r="Q116" s="91" t="n">
        <f aca="false">IFERROR(P116/P$5,0)</f>
        <v>0</v>
      </c>
      <c r="S116" s="75" t="n">
        <f aca="false">SUMIFS('Dados Mov Financeira'!$N:$N,'Dados Mov Financeira'!$O:$O,'DRE 2019'!$B116,'Dados Mov Financeira'!$A:$A,'DRE 2019'!S$1)</f>
        <v>0</v>
      </c>
      <c r="T116" s="91" t="n">
        <f aca="false">IFERROR(S116/S$5,0)</f>
        <v>0</v>
      </c>
      <c r="V116" s="75" t="n">
        <f aca="false">SUMIFS('Dados Mov Financeira'!$N:$N,'Dados Mov Financeira'!$O:$O,'DRE 2019'!$B116,'Dados Mov Financeira'!$A:$A,'DRE 2019'!V$1)</f>
        <v>0</v>
      </c>
      <c r="W116" s="91" t="n">
        <f aca="false">IFERROR(V116/V$5,0)</f>
        <v>0</v>
      </c>
      <c r="Y116" s="75" t="n">
        <f aca="false">SUMIFS('Dados Mov Financeira'!$N:$N,'Dados Mov Financeira'!$O:$O,'DRE 2019'!$B116,'Dados Mov Financeira'!$A:$A,'DRE 2019'!Y$1)</f>
        <v>0</v>
      </c>
      <c r="Z116" s="91" t="n">
        <f aca="false">IFERROR(Y116/Y$5,0)</f>
        <v>0</v>
      </c>
      <c r="AB116" s="75" t="n">
        <f aca="false">SUMIFS('Dados Mov Financeira'!$N:$N,'Dados Mov Financeira'!$O:$O,'DRE 2019'!$B116,'Dados Mov Financeira'!$A:$A,'DRE 2019'!AB$1)</f>
        <v>0</v>
      </c>
      <c r="AC116" s="91" t="n">
        <f aca="false">IFERROR(AB116/AB$5,0)</f>
        <v>0</v>
      </c>
      <c r="AE116" s="75" t="n">
        <f aca="false">SUMIFS('Dados Mov Financeira'!$N:$N,'Dados Mov Financeira'!$O:$O,'DRE 2019'!$B116,'Dados Mov Financeira'!$A:$A,'DRE 2019'!AE$1)</f>
        <v>0</v>
      </c>
      <c r="AF116" s="91" t="n">
        <f aca="false">IFERROR(AE116/AE$5,0)</f>
        <v>0</v>
      </c>
      <c r="AH116" s="75" t="n">
        <f aca="false">SUMIFS('Dados Mov Financeira'!$N:$N,'Dados Mov Financeira'!$O:$O,'DRE 2019'!$B116,'Dados Mov Financeira'!$A:$A,'DRE 2019'!AH$1)</f>
        <v>0</v>
      </c>
      <c r="AI116" s="91" t="n">
        <f aca="false">IFERROR(AH116/AH$5,0)</f>
        <v>0</v>
      </c>
      <c r="AK116" s="75" t="n">
        <f aca="false">SUMIFS('Dados Mov Financeira'!$N:$N,'Dados Mov Financeira'!$O:$O,'DRE 2019'!$B116,'Dados Mov Financeira'!$A:$A,'DRE 2019'!AK$1)</f>
        <v>0</v>
      </c>
      <c r="AL116" s="91" t="n">
        <f aca="false">IFERROR(AK116/AK$5,0)</f>
        <v>0</v>
      </c>
      <c r="AN116" s="92" t="n">
        <f aca="false">SUM(D116,G116,J116,M116,P116,S116,V116,Y116,AB116,AE116,AH116,AK116)</f>
        <v>0</v>
      </c>
      <c r="AO116" s="108" t="n">
        <f aca="false">IFERROR(AN116/AN$5,0)</f>
        <v>0</v>
      </c>
      <c r="AQ116" s="93" t="n">
        <f aca="false">AN116/$AR$1</f>
        <v>0</v>
      </c>
      <c r="AR116" s="94" t="n">
        <f aca="false">IFERROR(AQ116/AQ$5,0)</f>
        <v>0</v>
      </c>
      <c r="AT116" s="111"/>
    </row>
    <row r="117" customFormat="false" ht="14.25" hidden="true" customHeight="false" outlineLevel="1" collapsed="false">
      <c r="B117" s="89" t="s">
        <v>136</v>
      </c>
      <c r="D117" s="75" t="n">
        <f aca="false">SUMIFS('Dados Mov Financeira'!$N:$N,'Dados Mov Financeira'!$O:$O,'DRE 2019'!$B117,'Dados Mov Financeira'!$A:$A,'DRE 2019'!D$1)</f>
        <v>0</v>
      </c>
      <c r="E117" s="91" t="n">
        <f aca="false">IFERROR(D117/D$5,0)</f>
        <v>0</v>
      </c>
      <c r="G117" s="75" t="n">
        <f aca="false">SUMIFS('Dados Mov Financeira'!$N:$N,'Dados Mov Financeira'!$O:$O,'DRE 2019'!$B117,'Dados Mov Financeira'!$A:$A,'DRE 2019'!G$1)</f>
        <v>0</v>
      </c>
      <c r="H117" s="91" t="n">
        <f aca="false">IFERROR(G117/G$5,0)</f>
        <v>0</v>
      </c>
      <c r="J117" s="75" t="n">
        <f aca="false">SUMIFS('Dados Mov Financeira'!$N:$N,'Dados Mov Financeira'!$O:$O,'DRE 2019'!$B117,'Dados Mov Financeira'!$A:$A,'DRE 2019'!J$1)</f>
        <v>0</v>
      </c>
      <c r="K117" s="91" t="n">
        <f aca="false">IFERROR(J117/J$5,0)</f>
        <v>0</v>
      </c>
      <c r="M117" s="75" t="n">
        <f aca="false">SUMIFS('Dados Mov Financeira'!$N:$N,'Dados Mov Financeira'!$O:$O,'DRE 2019'!$B117,'Dados Mov Financeira'!$A:$A,'DRE 2019'!M$1)</f>
        <v>0</v>
      </c>
      <c r="N117" s="91" t="n">
        <f aca="false">IFERROR(M117/M$5,0)</f>
        <v>0</v>
      </c>
      <c r="P117" s="75" t="n">
        <f aca="false">SUMIFS('Dados Mov Financeira'!$N:$N,'Dados Mov Financeira'!$O:$O,'DRE 2019'!$B117,'Dados Mov Financeira'!$A:$A,'DRE 2019'!P$1)</f>
        <v>0</v>
      </c>
      <c r="Q117" s="91" t="n">
        <f aca="false">IFERROR(P117/P$5,0)</f>
        <v>0</v>
      </c>
      <c r="S117" s="75" t="n">
        <f aca="false">SUMIFS('Dados Mov Financeira'!$N:$N,'Dados Mov Financeira'!$O:$O,'DRE 2019'!$B117,'Dados Mov Financeira'!$A:$A,'DRE 2019'!S$1)</f>
        <v>0</v>
      </c>
      <c r="T117" s="91" t="n">
        <f aca="false">IFERROR(S117/S$5,0)</f>
        <v>0</v>
      </c>
      <c r="V117" s="75" t="n">
        <f aca="false">SUMIFS('Dados Mov Financeira'!$N:$N,'Dados Mov Financeira'!$O:$O,'DRE 2019'!$B117,'Dados Mov Financeira'!$A:$A,'DRE 2019'!V$1)</f>
        <v>0</v>
      </c>
      <c r="W117" s="91" t="n">
        <f aca="false">IFERROR(V117/V$5,0)</f>
        <v>0</v>
      </c>
      <c r="Y117" s="75" t="n">
        <f aca="false">SUMIFS('Dados Mov Financeira'!$N:$N,'Dados Mov Financeira'!$O:$O,'DRE 2019'!$B117,'Dados Mov Financeira'!$A:$A,'DRE 2019'!Y$1)</f>
        <v>0</v>
      </c>
      <c r="Z117" s="91" t="n">
        <f aca="false">IFERROR(Y117/Y$5,0)</f>
        <v>0</v>
      </c>
      <c r="AB117" s="75" t="n">
        <f aca="false">SUMIFS('Dados Mov Financeira'!$N:$N,'Dados Mov Financeira'!$O:$O,'DRE 2019'!$B117,'Dados Mov Financeira'!$A:$A,'DRE 2019'!AB$1)</f>
        <v>0</v>
      </c>
      <c r="AC117" s="91" t="n">
        <f aca="false">IFERROR(AB117/AB$5,0)</f>
        <v>0</v>
      </c>
      <c r="AE117" s="75" t="n">
        <f aca="false">SUMIFS('Dados Mov Financeira'!$N:$N,'Dados Mov Financeira'!$O:$O,'DRE 2019'!$B117,'Dados Mov Financeira'!$A:$A,'DRE 2019'!AE$1)</f>
        <v>0</v>
      </c>
      <c r="AF117" s="91" t="n">
        <f aca="false">IFERROR(AE117/AE$5,0)</f>
        <v>0</v>
      </c>
      <c r="AH117" s="75" t="n">
        <f aca="false">SUMIFS('Dados Mov Financeira'!$N:$N,'Dados Mov Financeira'!$O:$O,'DRE 2019'!$B117,'Dados Mov Financeira'!$A:$A,'DRE 2019'!AH$1)</f>
        <v>0</v>
      </c>
      <c r="AI117" s="91" t="n">
        <f aca="false">IFERROR(AH117/AH$5,0)</f>
        <v>0</v>
      </c>
      <c r="AK117" s="75" t="n">
        <f aca="false">SUMIFS('Dados Mov Financeira'!$N:$N,'Dados Mov Financeira'!$O:$O,'DRE 2019'!$B117,'Dados Mov Financeira'!$A:$A,'DRE 2019'!AK$1)</f>
        <v>0</v>
      </c>
      <c r="AL117" s="91" t="n">
        <f aca="false">IFERROR(AK117/AK$5,0)</f>
        <v>0</v>
      </c>
      <c r="AN117" s="92" t="n">
        <f aca="false">SUM(D117,G117,J117,M117,P117,S117,V117,Y117,AB117,AE117,AH117,AK117)</f>
        <v>0</v>
      </c>
      <c r="AO117" s="108" t="n">
        <f aca="false">IFERROR(AN117/AN$5,0)</f>
        <v>0</v>
      </c>
      <c r="AQ117" s="93" t="n">
        <f aca="false">AN117/$AR$1</f>
        <v>0</v>
      </c>
      <c r="AR117" s="94" t="n">
        <f aca="false">IFERROR(AQ117/AQ$5,0)</f>
        <v>0</v>
      </c>
      <c r="AT117" s="111"/>
    </row>
    <row r="118" customFormat="false" ht="14.25" hidden="true" customHeight="false" outlineLevel="1" collapsed="false">
      <c r="B118" s="89" t="s">
        <v>137</v>
      </c>
      <c r="D118" s="75" t="n">
        <f aca="false">SUMIFS('Dados Mov Financeira'!$N:$N,'Dados Mov Financeira'!$O:$O,'DRE 2019'!$B118,'Dados Mov Financeira'!$A:$A,'DRE 2019'!D$1)</f>
        <v>0</v>
      </c>
      <c r="E118" s="91" t="n">
        <f aca="false">IFERROR(D118/D$5,0)</f>
        <v>0</v>
      </c>
      <c r="G118" s="75" t="n">
        <f aca="false">SUMIFS('Dados Mov Financeira'!$N:$N,'Dados Mov Financeira'!$O:$O,'DRE 2019'!$B118,'Dados Mov Financeira'!$A:$A,'DRE 2019'!G$1)</f>
        <v>0</v>
      </c>
      <c r="H118" s="91" t="n">
        <f aca="false">IFERROR(G118/G$5,0)</f>
        <v>0</v>
      </c>
      <c r="J118" s="75" t="n">
        <f aca="false">SUMIFS('Dados Mov Financeira'!$N:$N,'Dados Mov Financeira'!$O:$O,'DRE 2019'!$B118,'Dados Mov Financeira'!$A:$A,'DRE 2019'!J$1)</f>
        <v>0</v>
      </c>
      <c r="K118" s="91" t="n">
        <f aca="false">IFERROR(J118/J$5,0)</f>
        <v>0</v>
      </c>
      <c r="M118" s="75" t="n">
        <f aca="false">SUMIFS('Dados Mov Financeira'!$N:$N,'Dados Mov Financeira'!$O:$O,'DRE 2019'!$B118,'Dados Mov Financeira'!$A:$A,'DRE 2019'!M$1)</f>
        <v>0</v>
      </c>
      <c r="N118" s="91" t="n">
        <f aca="false">IFERROR(M118/M$5,0)</f>
        <v>0</v>
      </c>
      <c r="P118" s="75" t="n">
        <f aca="false">SUMIFS('Dados Mov Financeira'!$N:$N,'Dados Mov Financeira'!$O:$O,'DRE 2019'!$B118,'Dados Mov Financeira'!$A:$A,'DRE 2019'!P$1)</f>
        <v>0</v>
      </c>
      <c r="Q118" s="91" t="n">
        <f aca="false">IFERROR(P118/P$5,0)</f>
        <v>0</v>
      </c>
      <c r="S118" s="75" t="n">
        <f aca="false">SUMIFS('Dados Mov Financeira'!$N:$N,'Dados Mov Financeira'!$O:$O,'DRE 2019'!$B118,'Dados Mov Financeira'!$A:$A,'DRE 2019'!S$1)</f>
        <v>0</v>
      </c>
      <c r="T118" s="91" t="n">
        <f aca="false">IFERROR(S118/S$5,0)</f>
        <v>0</v>
      </c>
      <c r="V118" s="75" t="n">
        <f aca="false">SUMIFS('Dados Mov Financeira'!$N:$N,'Dados Mov Financeira'!$O:$O,'DRE 2019'!$B118,'Dados Mov Financeira'!$A:$A,'DRE 2019'!V$1)</f>
        <v>0</v>
      </c>
      <c r="W118" s="91" t="n">
        <f aca="false">IFERROR(V118/V$5,0)</f>
        <v>0</v>
      </c>
      <c r="Y118" s="75" t="n">
        <f aca="false">SUMIFS('Dados Mov Financeira'!$N:$N,'Dados Mov Financeira'!$O:$O,'DRE 2019'!$B118,'Dados Mov Financeira'!$A:$A,'DRE 2019'!Y$1)</f>
        <v>0</v>
      </c>
      <c r="Z118" s="91" t="n">
        <f aca="false">IFERROR(Y118/Y$5,0)</f>
        <v>0</v>
      </c>
      <c r="AB118" s="75" t="n">
        <f aca="false">SUMIFS('Dados Mov Financeira'!$N:$N,'Dados Mov Financeira'!$O:$O,'DRE 2019'!$B118,'Dados Mov Financeira'!$A:$A,'DRE 2019'!AB$1)</f>
        <v>0</v>
      </c>
      <c r="AC118" s="91" t="n">
        <f aca="false">IFERROR(AB118/AB$5,0)</f>
        <v>0</v>
      </c>
      <c r="AE118" s="75" t="n">
        <f aca="false">SUMIFS('Dados Mov Financeira'!$N:$N,'Dados Mov Financeira'!$O:$O,'DRE 2019'!$B118,'Dados Mov Financeira'!$A:$A,'DRE 2019'!AE$1)</f>
        <v>0</v>
      </c>
      <c r="AF118" s="91" t="n">
        <f aca="false">IFERROR(AE118/AE$5,0)</f>
        <v>0</v>
      </c>
      <c r="AH118" s="75" t="n">
        <f aca="false">SUMIFS('Dados Mov Financeira'!$N:$N,'Dados Mov Financeira'!$O:$O,'DRE 2019'!$B118,'Dados Mov Financeira'!$A:$A,'DRE 2019'!AH$1)</f>
        <v>0</v>
      </c>
      <c r="AI118" s="91" t="n">
        <f aca="false">IFERROR(AH118/AH$5,0)</f>
        <v>0</v>
      </c>
      <c r="AK118" s="75" t="n">
        <f aca="false">SUMIFS('Dados Mov Financeira'!$N:$N,'Dados Mov Financeira'!$O:$O,'DRE 2019'!$B118,'Dados Mov Financeira'!$A:$A,'DRE 2019'!AK$1)</f>
        <v>0</v>
      </c>
      <c r="AL118" s="91" t="n">
        <f aca="false">IFERROR(AK118/AK$5,0)</f>
        <v>0</v>
      </c>
      <c r="AN118" s="92" t="n">
        <f aca="false">SUM(D118,G118,J118,M118,P118,S118,V118,Y118,AB118,AE118,AH118,AK118)</f>
        <v>0</v>
      </c>
      <c r="AO118" s="108" t="n">
        <f aca="false">IFERROR(AN118/AN$5,0)</f>
        <v>0</v>
      </c>
      <c r="AQ118" s="93" t="n">
        <f aca="false">AN118/$AR$1</f>
        <v>0</v>
      </c>
      <c r="AR118" s="94" t="n">
        <f aca="false">IFERROR(AQ118/AQ$5,0)</f>
        <v>0</v>
      </c>
      <c r="AT118" s="111"/>
    </row>
    <row r="119" customFormat="false" ht="14.25" hidden="true" customHeight="false" outlineLevel="1" collapsed="false">
      <c r="B119" s="89" t="s">
        <v>138</v>
      </c>
      <c r="D119" s="75" t="n">
        <f aca="false">SUMIFS('Dados Mov Financeira'!$N:$N,'Dados Mov Financeira'!$O:$O,'DRE 2019'!$B119,'Dados Mov Financeira'!$A:$A,'DRE 2019'!D$1)</f>
        <v>0</v>
      </c>
      <c r="E119" s="91" t="n">
        <f aca="false">IFERROR(D119/D$5,0)</f>
        <v>0</v>
      </c>
      <c r="G119" s="75" t="n">
        <f aca="false">SUMIFS('Dados Mov Financeira'!$N:$N,'Dados Mov Financeira'!$O:$O,'DRE 2019'!$B119,'Dados Mov Financeira'!$A:$A,'DRE 2019'!G$1)</f>
        <v>0</v>
      </c>
      <c r="H119" s="91" t="n">
        <f aca="false">IFERROR(G119/G$5,0)</f>
        <v>0</v>
      </c>
      <c r="J119" s="75" t="n">
        <f aca="false">SUMIFS('Dados Mov Financeira'!$N:$N,'Dados Mov Financeira'!$O:$O,'DRE 2019'!$B119,'Dados Mov Financeira'!$A:$A,'DRE 2019'!J$1)</f>
        <v>0</v>
      </c>
      <c r="K119" s="91" t="n">
        <f aca="false">IFERROR(J119/J$5,0)</f>
        <v>0</v>
      </c>
      <c r="M119" s="75" t="n">
        <f aca="false">SUMIFS('Dados Mov Financeira'!$N:$N,'Dados Mov Financeira'!$O:$O,'DRE 2019'!$B119,'Dados Mov Financeira'!$A:$A,'DRE 2019'!M$1)</f>
        <v>0</v>
      </c>
      <c r="N119" s="91" t="n">
        <f aca="false">IFERROR(M119/M$5,0)</f>
        <v>0</v>
      </c>
      <c r="P119" s="75" t="n">
        <f aca="false">SUMIFS('Dados Mov Financeira'!$N:$N,'Dados Mov Financeira'!$O:$O,'DRE 2019'!$B119,'Dados Mov Financeira'!$A:$A,'DRE 2019'!P$1)</f>
        <v>0</v>
      </c>
      <c r="Q119" s="91" t="n">
        <f aca="false">IFERROR(P119/P$5,0)</f>
        <v>0</v>
      </c>
      <c r="S119" s="75" t="n">
        <f aca="false">SUMIFS('Dados Mov Financeira'!$N:$N,'Dados Mov Financeira'!$O:$O,'DRE 2019'!$B119,'Dados Mov Financeira'!$A:$A,'DRE 2019'!S$1)</f>
        <v>0</v>
      </c>
      <c r="T119" s="91" t="n">
        <f aca="false">IFERROR(S119/S$5,0)</f>
        <v>0</v>
      </c>
      <c r="V119" s="75" t="n">
        <f aca="false">SUMIFS('Dados Mov Financeira'!$N:$N,'Dados Mov Financeira'!$O:$O,'DRE 2019'!$B119,'Dados Mov Financeira'!$A:$A,'DRE 2019'!V$1)</f>
        <v>0</v>
      </c>
      <c r="W119" s="91" t="n">
        <f aca="false">IFERROR(V119/V$5,0)</f>
        <v>0</v>
      </c>
      <c r="Y119" s="75" t="n">
        <f aca="false">SUMIFS('Dados Mov Financeira'!$N:$N,'Dados Mov Financeira'!$O:$O,'DRE 2019'!$B119,'Dados Mov Financeira'!$A:$A,'DRE 2019'!Y$1)</f>
        <v>0</v>
      </c>
      <c r="Z119" s="91" t="n">
        <f aca="false">IFERROR(Y119/Y$5,0)</f>
        <v>0</v>
      </c>
      <c r="AB119" s="75" t="n">
        <f aca="false">SUMIFS('Dados Mov Financeira'!$N:$N,'Dados Mov Financeira'!$O:$O,'DRE 2019'!$B119,'Dados Mov Financeira'!$A:$A,'DRE 2019'!AB$1)</f>
        <v>0</v>
      </c>
      <c r="AC119" s="91" t="n">
        <f aca="false">IFERROR(AB119/AB$5,0)</f>
        <v>0</v>
      </c>
      <c r="AE119" s="75" t="n">
        <f aca="false">SUMIFS('Dados Mov Financeira'!$N:$N,'Dados Mov Financeira'!$O:$O,'DRE 2019'!$B119,'Dados Mov Financeira'!$A:$A,'DRE 2019'!AE$1)</f>
        <v>0</v>
      </c>
      <c r="AF119" s="91" t="n">
        <f aca="false">IFERROR(AE119/AE$5,0)</f>
        <v>0</v>
      </c>
      <c r="AH119" s="75" t="n">
        <f aca="false">SUMIFS('Dados Mov Financeira'!$N:$N,'Dados Mov Financeira'!$O:$O,'DRE 2019'!$B119,'Dados Mov Financeira'!$A:$A,'DRE 2019'!AH$1)</f>
        <v>0</v>
      </c>
      <c r="AI119" s="91" t="n">
        <f aca="false">IFERROR(AH119/AH$5,0)</f>
        <v>0</v>
      </c>
      <c r="AK119" s="75" t="n">
        <f aca="false">SUMIFS('Dados Mov Financeira'!$N:$N,'Dados Mov Financeira'!$O:$O,'DRE 2019'!$B119,'Dados Mov Financeira'!$A:$A,'DRE 2019'!AK$1)</f>
        <v>0</v>
      </c>
      <c r="AL119" s="91" t="n">
        <f aca="false">IFERROR(AK119/AK$5,0)</f>
        <v>0</v>
      </c>
      <c r="AN119" s="92" t="n">
        <f aca="false">SUM(D119,G119,J119,M119,P119,S119,V119,Y119,AB119,AE119,AH119,AK119)</f>
        <v>0</v>
      </c>
      <c r="AO119" s="108" t="n">
        <f aca="false">IFERROR(AN119/AN$5,0)</f>
        <v>0</v>
      </c>
      <c r="AQ119" s="93" t="n">
        <f aca="false">AN119/$AR$1</f>
        <v>0</v>
      </c>
      <c r="AR119" s="94" t="n">
        <f aca="false">IFERROR(AQ119/AQ$5,0)</f>
        <v>0</v>
      </c>
      <c r="AT119" s="111"/>
    </row>
    <row r="120" customFormat="false" ht="14.25" hidden="true" customHeight="false" outlineLevel="1" collapsed="false">
      <c r="B120" s="89" t="s">
        <v>139</v>
      </c>
      <c r="D120" s="75" t="n">
        <f aca="false">SUMIFS('Dados Mov Financeira'!$N:$N,'Dados Mov Financeira'!$O:$O,'DRE 2019'!$B120,'Dados Mov Financeira'!$A:$A,'DRE 2019'!D$1)</f>
        <v>0</v>
      </c>
      <c r="E120" s="91" t="n">
        <f aca="false">IFERROR(D120/D$5,0)</f>
        <v>0</v>
      </c>
      <c r="G120" s="75" t="n">
        <f aca="false">SUMIFS('Dados Mov Financeira'!$N:$N,'Dados Mov Financeira'!$O:$O,'DRE 2019'!$B120,'Dados Mov Financeira'!$A:$A,'DRE 2019'!G$1)</f>
        <v>0</v>
      </c>
      <c r="H120" s="91" t="n">
        <f aca="false">IFERROR(G120/G$5,0)</f>
        <v>0</v>
      </c>
      <c r="J120" s="75" t="n">
        <f aca="false">SUMIFS('Dados Mov Financeira'!$N:$N,'Dados Mov Financeira'!$O:$O,'DRE 2019'!$B120,'Dados Mov Financeira'!$A:$A,'DRE 2019'!J$1)</f>
        <v>0</v>
      </c>
      <c r="K120" s="91" t="n">
        <f aca="false">IFERROR(J120/J$5,0)</f>
        <v>0</v>
      </c>
      <c r="M120" s="75" t="n">
        <f aca="false">SUMIFS('Dados Mov Financeira'!$N:$N,'Dados Mov Financeira'!$O:$O,'DRE 2019'!$B120,'Dados Mov Financeira'!$A:$A,'DRE 2019'!M$1)</f>
        <v>0</v>
      </c>
      <c r="N120" s="91" t="n">
        <f aca="false">IFERROR(M120/M$5,0)</f>
        <v>0</v>
      </c>
      <c r="P120" s="75" t="n">
        <f aca="false">SUMIFS('Dados Mov Financeira'!$N:$N,'Dados Mov Financeira'!$O:$O,'DRE 2019'!$B120,'Dados Mov Financeira'!$A:$A,'DRE 2019'!P$1)</f>
        <v>0</v>
      </c>
      <c r="Q120" s="91" t="n">
        <f aca="false">IFERROR(P120/P$5,0)</f>
        <v>0</v>
      </c>
      <c r="S120" s="75" t="n">
        <f aca="false">SUMIFS('Dados Mov Financeira'!$N:$N,'Dados Mov Financeira'!$O:$O,'DRE 2019'!$B120,'Dados Mov Financeira'!$A:$A,'DRE 2019'!S$1)</f>
        <v>0</v>
      </c>
      <c r="T120" s="91" t="n">
        <f aca="false">IFERROR(S120/S$5,0)</f>
        <v>0</v>
      </c>
      <c r="V120" s="75" t="n">
        <f aca="false">SUMIFS('Dados Mov Financeira'!$N:$N,'Dados Mov Financeira'!$O:$O,'DRE 2019'!$B120,'Dados Mov Financeira'!$A:$A,'DRE 2019'!V$1)</f>
        <v>0</v>
      </c>
      <c r="W120" s="91" t="n">
        <f aca="false">IFERROR(V120/V$5,0)</f>
        <v>0</v>
      </c>
      <c r="Y120" s="75" t="n">
        <f aca="false">SUMIFS('Dados Mov Financeira'!$N:$N,'Dados Mov Financeira'!$O:$O,'DRE 2019'!$B120,'Dados Mov Financeira'!$A:$A,'DRE 2019'!Y$1)</f>
        <v>0</v>
      </c>
      <c r="Z120" s="91" t="n">
        <f aca="false">IFERROR(Y120/Y$5,0)</f>
        <v>0</v>
      </c>
      <c r="AB120" s="75" t="n">
        <f aca="false">SUMIFS('Dados Mov Financeira'!$N:$N,'Dados Mov Financeira'!$O:$O,'DRE 2019'!$B120,'Dados Mov Financeira'!$A:$A,'DRE 2019'!AB$1)</f>
        <v>0</v>
      </c>
      <c r="AC120" s="91" t="n">
        <f aca="false">IFERROR(AB120/AB$5,0)</f>
        <v>0</v>
      </c>
      <c r="AE120" s="75" t="n">
        <f aca="false">SUMIFS('Dados Mov Financeira'!$N:$N,'Dados Mov Financeira'!$O:$O,'DRE 2019'!$B120,'Dados Mov Financeira'!$A:$A,'DRE 2019'!AE$1)</f>
        <v>0</v>
      </c>
      <c r="AF120" s="91" t="n">
        <f aca="false">IFERROR(AE120/AE$5,0)</f>
        <v>0</v>
      </c>
      <c r="AH120" s="75" t="n">
        <f aca="false">SUMIFS('Dados Mov Financeira'!$N:$N,'Dados Mov Financeira'!$O:$O,'DRE 2019'!$B120,'Dados Mov Financeira'!$A:$A,'DRE 2019'!AH$1)</f>
        <v>0</v>
      </c>
      <c r="AI120" s="91" t="n">
        <f aca="false">IFERROR(AH120/AH$5,0)</f>
        <v>0</v>
      </c>
      <c r="AK120" s="75" t="n">
        <f aca="false">SUMIFS('Dados Mov Financeira'!$N:$N,'Dados Mov Financeira'!$O:$O,'DRE 2019'!$B120,'Dados Mov Financeira'!$A:$A,'DRE 2019'!AK$1)</f>
        <v>0</v>
      </c>
      <c r="AL120" s="91" t="n">
        <f aca="false">IFERROR(AK120/AK$5,0)</f>
        <v>0</v>
      </c>
      <c r="AN120" s="92" t="n">
        <f aca="false">SUM(D120,G120,J120,M120,P120,S120,V120,Y120,AB120,AE120,AH120,AK120)</f>
        <v>0</v>
      </c>
      <c r="AO120" s="108" t="n">
        <f aca="false">IFERROR(AN120/AN$5,0)</f>
        <v>0</v>
      </c>
      <c r="AQ120" s="93" t="n">
        <f aca="false">AN120/$AR$1</f>
        <v>0</v>
      </c>
      <c r="AR120" s="94" t="n">
        <f aca="false">IFERROR(AQ120/AQ$5,0)</f>
        <v>0</v>
      </c>
      <c r="AT120" s="111"/>
    </row>
    <row r="121" s="63" customFormat="true" ht="14.25" hidden="false" customHeight="false" outlineLevel="0" collapsed="false">
      <c r="B121" s="106" t="s">
        <v>140</v>
      </c>
      <c r="D121" s="75" t="n">
        <f aca="false">SUM(D122:D124)</f>
        <v>0</v>
      </c>
      <c r="E121" s="95" t="n">
        <f aca="false">IFERROR(D121/D$5,0)</f>
        <v>0</v>
      </c>
      <c r="G121" s="75" t="n">
        <f aca="false">SUM(G122:G124)</f>
        <v>0</v>
      </c>
      <c r="H121" s="95" t="n">
        <f aca="false">IFERROR(G121/G$5,0)</f>
        <v>0</v>
      </c>
      <c r="J121" s="75" t="n">
        <f aca="false">SUM(J122:J124)</f>
        <v>0</v>
      </c>
      <c r="K121" s="95" t="n">
        <f aca="false">IFERROR(J121/J$5,0)</f>
        <v>0</v>
      </c>
      <c r="M121" s="75" t="n">
        <f aca="false">SUM(M122:M124)</f>
        <v>0</v>
      </c>
      <c r="N121" s="95" t="n">
        <f aca="false">IFERROR(M121/M$5,0)</f>
        <v>0</v>
      </c>
      <c r="P121" s="75" t="n">
        <f aca="false">SUM(P122:P124)</f>
        <v>0</v>
      </c>
      <c r="Q121" s="95" t="n">
        <f aca="false">IFERROR(P121/P$5,0)</f>
        <v>0</v>
      </c>
      <c r="S121" s="75" t="n">
        <f aca="false">SUM(S122:S124)</f>
        <v>0</v>
      </c>
      <c r="T121" s="95" t="n">
        <f aca="false">IFERROR(S121/S$5,0)</f>
        <v>0</v>
      </c>
      <c r="V121" s="75" t="n">
        <f aca="false">SUM(V122:V124)</f>
        <v>0</v>
      </c>
      <c r="W121" s="95" t="n">
        <f aca="false">IFERROR(V121/V$5,0)</f>
        <v>0</v>
      </c>
      <c r="Y121" s="75" t="n">
        <f aca="false">SUM(Y122:Y124)</f>
        <v>0</v>
      </c>
      <c r="Z121" s="95" t="n">
        <f aca="false">IFERROR(Y121/Y$5,0)</f>
        <v>0</v>
      </c>
      <c r="AB121" s="75" t="n">
        <f aca="false">SUM(AB122:AB124)</f>
        <v>0</v>
      </c>
      <c r="AC121" s="95" t="n">
        <f aca="false">IFERROR(AB121/AB$5,0)</f>
        <v>0</v>
      </c>
      <c r="AE121" s="75" t="n">
        <f aca="false">SUM(AE122:AE124)</f>
        <v>0</v>
      </c>
      <c r="AF121" s="95" t="n">
        <f aca="false">IFERROR(AE121/AE$5,0)</f>
        <v>0</v>
      </c>
      <c r="AH121" s="75" t="n">
        <f aca="false">SUM(AH122:AH124)</f>
        <v>0</v>
      </c>
      <c r="AI121" s="95" t="n">
        <f aca="false">IFERROR(AH121/AH$5,0)</f>
        <v>0</v>
      </c>
      <c r="AK121" s="75" t="n">
        <f aca="false">SUM(AK122:AK124)</f>
        <v>0</v>
      </c>
      <c r="AL121" s="95" t="n">
        <f aca="false">IFERROR(AK121/AK$5,0)</f>
        <v>0</v>
      </c>
      <c r="AN121" s="75" t="n">
        <f aca="false">SUM(AN122:AN124)</f>
        <v>0</v>
      </c>
      <c r="AO121" s="95" t="n">
        <f aca="false">IFERROR(AN121/AN$5,0)</f>
        <v>0</v>
      </c>
      <c r="AQ121" s="75" t="n">
        <f aca="false">SUM(AQ122:AQ124)</f>
        <v>0</v>
      </c>
      <c r="AR121" s="76" t="n">
        <f aca="false">IFERROR(AQ121/AQ$5,0)</f>
        <v>0</v>
      </c>
      <c r="AT121" s="78"/>
    </row>
    <row r="122" customFormat="false" ht="14.25" hidden="true" customHeight="false" outlineLevel="1" collapsed="false">
      <c r="B122" s="89" t="s">
        <v>141</v>
      </c>
      <c r="D122" s="75" t="n">
        <f aca="false">SUMIFS('Dados Mov Financeira'!$N:$N,'Dados Mov Financeira'!$O:$O,'DRE 2019'!$B122,'Dados Mov Financeira'!$A:$A,'DRE 2019'!D$1)</f>
        <v>0</v>
      </c>
      <c r="E122" s="91" t="n">
        <f aca="false">IFERROR(D122/D$5,0)</f>
        <v>0</v>
      </c>
      <c r="G122" s="75" t="n">
        <f aca="false">SUMIFS('Dados Mov Financeira'!$N:$N,'Dados Mov Financeira'!$O:$O,'DRE 2019'!$B122,'Dados Mov Financeira'!$A:$A,'DRE 2019'!G$1)</f>
        <v>0</v>
      </c>
      <c r="H122" s="91" t="n">
        <f aca="false">IFERROR(G122/G$5,0)</f>
        <v>0</v>
      </c>
      <c r="J122" s="75" t="n">
        <f aca="false">SUMIFS('Dados Mov Financeira'!$N:$N,'Dados Mov Financeira'!$O:$O,'DRE 2019'!$B122,'Dados Mov Financeira'!$A:$A,'DRE 2019'!J$1)</f>
        <v>0</v>
      </c>
      <c r="K122" s="91" t="n">
        <f aca="false">IFERROR(J122/J$5,0)</f>
        <v>0</v>
      </c>
      <c r="M122" s="75" t="n">
        <f aca="false">SUMIFS('Dados Mov Financeira'!$N:$N,'Dados Mov Financeira'!$O:$O,'DRE 2019'!$B122,'Dados Mov Financeira'!$A:$A,'DRE 2019'!M$1)</f>
        <v>0</v>
      </c>
      <c r="N122" s="91" t="n">
        <f aca="false">IFERROR(M122/M$5,0)</f>
        <v>0</v>
      </c>
      <c r="P122" s="75" t="n">
        <f aca="false">SUMIFS('Dados Mov Financeira'!$N:$N,'Dados Mov Financeira'!$O:$O,'DRE 2019'!$B122,'Dados Mov Financeira'!$A:$A,'DRE 2019'!P$1)</f>
        <v>0</v>
      </c>
      <c r="Q122" s="91" t="n">
        <f aca="false">IFERROR(P122/P$5,0)</f>
        <v>0</v>
      </c>
      <c r="S122" s="75" t="n">
        <f aca="false">SUMIFS('Dados Mov Financeira'!$N:$N,'Dados Mov Financeira'!$O:$O,'DRE 2019'!$B122,'Dados Mov Financeira'!$A:$A,'DRE 2019'!S$1)</f>
        <v>0</v>
      </c>
      <c r="T122" s="91" t="n">
        <f aca="false">IFERROR(S122/S$5,0)</f>
        <v>0</v>
      </c>
      <c r="V122" s="75" t="n">
        <f aca="false">SUMIFS('Dados Mov Financeira'!$N:$N,'Dados Mov Financeira'!$O:$O,'DRE 2019'!$B122,'Dados Mov Financeira'!$A:$A,'DRE 2019'!V$1)</f>
        <v>0</v>
      </c>
      <c r="W122" s="91" t="n">
        <f aca="false">IFERROR(V122/V$5,0)</f>
        <v>0</v>
      </c>
      <c r="Y122" s="75" t="n">
        <f aca="false">SUMIFS('Dados Mov Financeira'!$N:$N,'Dados Mov Financeira'!$O:$O,'DRE 2019'!$B122,'Dados Mov Financeira'!$A:$A,'DRE 2019'!Y$1)</f>
        <v>0</v>
      </c>
      <c r="Z122" s="91" t="n">
        <f aca="false">IFERROR(Y122/Y$5,0)</f>
        <v>0</v>
      </c>
      <c r="AB122" s="75" t="n">
        <f aca="false">SUMIFS('Dados Mov Financeira'!$N:$N,'Dados Mov Financeira'!$O:$O,'DRE 2019'!$B122,'Dados Mov Financeira'!$A:$A,'DRE 2019'!AB$1)</f>
        <v>0</v>
      </c>
      <c r="AC122" s="91" t="n">
        <f aca="false">IFERROR(AB122/AB$5,0)</f>
        <v>0</v>
      </c>
      <c r="AE122" s="75" t="n">
        <f aca="false">SUMIFS('Dados Mov Financeira'!$N:$N,'Dados Mov Financeira'!$O:$O,'DRE 2019'!$B122,'Dados Mov Financeira'!$A:$A,'DRE 2019'!AE$1)</f>
        <v>0</v>
      </c>
      <c r="AF122" s="91" t="n">
        <f aca="false">IFERROR(AE122/AE$5,0)</f>
        <v>0</v>
      </c>
      <c r="AH122" s="75" t="n">
        <f aca="false">SUMIFS('Dados Mov Financeira'!$N:$N,'Dados Mov Financeira'!$O:$O,'DRE 2019'!$B122,'Dados Mov Financeira'!$A:$A,'DRE 2019'!AH$1)</f>
        <v>0</v>
      </c>
      <c r="AI122" s="91" t="n">
        <f aca="false">IFERROR(AH122/AH$5,0)</f>
        <v>0</v>
      </c>
      <c r="AK122" s="75" t="n">
        <f aca="false">SUMIFS('Dados Mov Financeira'!$N:$N,'Dados Mov Financeira'!$O:$O,'DRE 2019'!$B122,'Dados Mov Financeira'!$A:$A,'DRE 2019'!AK$1)</f>
        <v>0</v>
      </c>
      <c r="AL122" s="91" t="n">
        <f aca="false">IFERROR(AK122/AK$5,0)</f>
        <v>0</v>
      </c>
      <c r="AN122" s="92" t="n">
        <f aca="false">SUM(D122,G122,J122,M122,P122,S122,V122,Y122,AB122,AE122,AH122,AK122)</f>
        <v>0</v>
      </c>
      <c r="AO122" s="108" t="n">
        <f aca="false">IFERROR(AN122/AN$5,0)</f>
        <v>0</v>
      </c>
      <c r="AQ122" s="93" t="n">
        <f aca="false">AN122/$AR$1</f>
        <v>0</v>
      </c>
      <c r="AR122" s="94" t="n">
        <f aca="false">IFERROR(AQ122/AQ$5,0)</f>
        <v>0</v>
      </c>
      <c r="AT122" s="115"/>
    </row>
    <row r="123" customFormat="false" ht="14.25" hidden="true" customHeight="false" outlineLevel="1" collapsed="false">
      <c r="B123" s="89" t="s">
        <v>142</v>
      </c>
      <c r="D123" s="75" t="n">
        <f aca="false">SUMIFS('Dados Mov Financeira'!$N:$N,'Dados Mov Financeira'!$O:$O,'DRE 2019'!$B123,'Dados Mov Financeira'!$A:$A,'DRE 2019'!D$1)</f>
        <v>0</v>
      </c>
      <c r="E123" s="91" t="n">
        <f aca="false">IFERROR(D123/D$5,0)</f>
        <v>0</v>
      </c>
      <c r="G123" s="75" t="n">
        <f aca="false">SUMIFS('Dados Mov Financeira'!$N:$N,'Dados Mov Financeira'!$O:$O,'DRE 2019'!$B123,'Dados Mov Financeira'!$A:$A,'DRE 2019'!G$1)</f>
        <v>0</v>
      </c>
      <c r="H123" s="91" t="n">
        <f aca="false">IFERROR(G123/G$5,0)</f>
        <v>0</v>
      </c>
      <c r="J123" s="75" t="n">
        <f aca="false">SUMIFS('Dados Mov Financeira'!$N:$N,'Dados Mov Financeira'!$O:$O,'DRE 2019'!$B123,'Dados Mov Financeira'!$A:$A,'DRE 2019'!J$1)</f>
        <v>0</v>
      </c>
      <c r="K123" s="91" t="n">
        <f aca="false">IFERROR(J123/J$5,0)</f>
        <v>0</v>
      </c>
      <c r="M123" s="75" t="n">
        <f aca="false">SUMIFS('Dados Mov Financeira'!$N:$N,'Dados Mov Financeira'!$O:$O,'DRE 2019'!$B123,'Dados Mov Financeira'!$A:$A,'DRE 2019'!M$1)</f>
        <v>0</v>
      </c>
      <c r="N123" s="91" t="n">
        <f aca="false">IFERROR(M123/M$5,0)</f>
        <v>0</v>
      </c>
      <c r="P123" s="75" t="n">
        <f aca="false">SUMIFS('Dados Mov Financeira'!$N:$N,'Dados Mov Financeira'!$O:$O,'DRE 2019'!$B123,'Dados Mov Financeira'!$A:$A,'DRE 2019'!P$1)</f>
        <v>0</v>
      </c>
      <c r="Q123" s="91" t="n">
        <f aca="false">IFERROR(P123/P$5,0)</f>
        <v>0</v>
      </c>
      <c r="S123" s="75" t="n">
        <f aca="false">SUMIFS('Dados Mov Financeira'!$N:$N,'Dados Mov Financeira'!$O:$O,'DRE 2019'!$B123,'Dados Mov Financeira'!$A:$A,'DRE 2019'!S$1)</f>
        <v>0</v>
      </c>
      <c r="T123" s="91" t="n">
        <f aca="false">IFERROR(S123/S$5,0)</f>
        <v>0</v>
      </c>
      <c r="V123" s="75" t="n">
        <f aca="false">SUMIFS('Dados Mov Financeira'!$N:$N,'Dados Mov Financeira'!$O:$O,'DRE 2019'!$B123,'Dados Mov Financeira'!$A:$A,'DRE 2019'!V$1)</f>
        <v>0</v>
      </c>
      <c r="W123" s="91" t="n">
        <f aca="false">IFERROR(V123/V$5,0)</f>
        <v>0</v>
      </c>
      <c r="Y123" s="75" t="n">
        <f aca="false">SUMIFS('Dados Mov Financeira'!$N:$N,'Dados Mov Financeira'!$O:$O,'DRE 2019'!$B123,'Dados Mov Financeira'!$A:$A,'DRE 2019'!Y$1)</f>
        <v>0</v>
      </c>
      <c r="Z123" s="91" t="n">
        <f aca="false">IFERROR(Y123/Y$5,0)</f>
        <v>0</v>
      </c>
      <c r="AB123" s="75" t="n">
        <f aca="false">SUMIFS('Dados Mov Financeira'!$N:$N,'Dados Mov Financeira'!$O:$O,'DRE 2019'!$B123,'Dados Mov Financeira'!$A:$A,'DRE 2019'!AB$1)</f>
        <v>0</v>
      </c>
      <c r="AC123" s="91" t="n">
        <f aca="false">IFERROR(AB123/AB$5,0)</f>
        <v>0</v>
      </c>
      <c r="AE123" s="75" t="n">
        <f aca="false">SUMIFS('Dados Mov Financeira'!$N:$N,'Dados Mov Financeira'!$O:$O,'DRE 2019'!$B123,'Dados Mov Financeira'!$A:$A,'DRE 2019'!AE$1)</f>
        <v>0</v>
      </c>
      <c r="AF123" s="91" t="n">
        <f aca="false">IFERROR(AE123/AE$5,0)</f>
        <v>0</v>
      </c>
      <c r="AH123" s="75" t="n">
        <f aca="false">SUMIFS('Dados Mov Financeira'!$N:$N,'Dados Mov Financeira'!$O:$O,'DRE 2019'!$B123,'Dados Mov Financeira'!$A:$A,'DRE 2019'!AH$1)</f>
        <v>0</v>
      </c>
      <c r="AI123" s="91" t="n">
        <f aca="false">IFERROR(AH123/AH$5,0)</f>
        <v>0</v>
      </c>
      <c r="AK123" s="75" t="n">
        <f aca="false">SUMIFS('Dados Mov Financeira'!$N:$N,'Dados Mov Financeira'!$O:$O,'DRE 2019'!$B123,'Dados Mov Financeira'!$A:$A,'DRE 2019'!AK$1)</f>
        <v>0</v>
      </c>
      <c r="AL123" s="91" t="n">
        <f aca="false">IFERROR(AK123/AK$5,0)</f>
        <v>0</v>
      </c>
      <c r="AN123" s="92" t="n">
        <f aca="false">SUM(D123,G123,J123,M123,P123,S123,V123,Y123,AB123,AE123,AH123,AK123)</f>
        <v>0</v>
      </c>
      <c r="AO123" s="108" t="n">
        <f aca="false">IFERROR(AN123/AN$5,0)</f>
        <v>0</v>
      </c>
      <c r="AQ123" s="93" t="n">
        <f aca="false">AN123/$AR$1</f>
        <v>0</v>
      </c>
      <c r="AR123" s="94" t="n">
        <f aca="false">IFERROR(AQ123/AQ$5,0)</f>
        <v>0</v>
      </c>
      <c r="AT123" s="115"/>
    </row>
    <row r="124" customFormat="false" ht="14.25" hidden="true" customHeight="false" outlineLevel="1" collapsed="false">
      <c r="B124" s="89" t="s">
        <v>143</v>
      </c>
      <c r="D124" s="75" t="n">
        <f aca="false">SUMIFS('Dados Mov Financeira'!$N:$N,'Dados Mov Financeira'!$O:$O,'DRE 2019'!$B124,'Dados Mov Financeira'!$A:$A,'DRE 2019'!D$1)</f>
        <v>0</v>
      </c>
      <c r="E124" s="91" t="n">
        <f aca="false">IFERROR(D124/D$5,0)</f>
        <v>0</v>
      </c>
      <c r="G124" s="75" t="n">
        <f aca="false">SUMIFS('Dados Mov Financeira'!$N:$N,'Dados Mov Financeira'!$O:$O,'DRE 2019'!$B124,'Dados Mov Financeira'!$A:$A,'DRE 2019'!G$1)</f>
        <v>0</v>
      </c>
      <c r="H124" s="91" t="n">
        <f aca="false">IFERROR(G124/G$5,0)</f>
        <v>0</v>
      </c>
      <c r="J124" s="75" t="n">
        <f aca="false">SUMIFS('Dados Mov Financeira'!$N:$N,'Dados Mov Financeira'!$O:$O,'DRE 2019'!$B124,'Dados Mov Financeira'!$A:$A,'DRE 2019'!J$1)</f>
        <v>0</v>
      </c>
      <c r="K124" s="91" t="n">
        <f aca="false">IFERROR(J124/J$5,0)</f>
        <v>0</v>
      </c>
      <c r="M124" s="75" t="n">
        <f aca="false">SUMIFS('Dados Mov Financeira'!$N:$N,'Dados Mov Financeira'!$O:$O,'DRE 2019'!$B124,'Dados Mov Financeira'!$A:$A,'DRE 2019'!M$1)</f>
        <v>0</v>
      </c>
      <c r="N124" s="91" t="n">
        <f aca="false">IFERROR(M124/M$5,0)</f>
        <v>0</v>
      </c>
      <c r="P124" s="75" t="n">
        <f aca="false">SUMIFS('Dados Mov Financeira'!$N:$N,'Dados Mov Financeira'!$O:$O,'DRE 2019'!$B124,'Dados Mov Financeira'!$A:$A,'DRE 2019'!P$1)</f>
        <v>0</v>
      </c>
      <c r="Q124" s="91" t="n">
        <f aca="false">IFERROR(P124/P$5,0)</f>
        <v>0</v>
      </c>
      <c r="S124" s="75" t="n">
        <f aca="false">SUMIFS('Dados Mov Financeira'!$N:$N,'Dados Mov Financeira'!$O:$O,'DRE 2019'!$B124,'Dados Mov Financeira'!$A:$A,'DRE 2019'!S$1)</f>
        <v>0</v>
      </c>
      <c r="T124" s="91" t="n">
        <f aca="false">IFERROR(S124/S$5,0)</f>
        <v>0</v>
      </c>
      <c r="V124" s="75" t="n">
        <f aca="false">SUMIFS('Dados Mov Financeira'!$N:$N,'Dados Mov Financeira'!$O:$O,'DRE 2019'!$B124,'Dados Mov Financeira'!$A:$A,'DRE 2019'!V$1)</f>
        <v>0</v>
      </c>
      <c r="W124" s="91" t="n">
        <f aca="false">IFERROR(V124/V$5,0)</f>
        <v>0</v>
      </c>
      <c r="Y124" s="75" t="n">
        <f aca="false">SUMIFS('Dados Mov Financeira'!$N:$N,'Dados Mov Financeira'!$O:$O,'DRE 2019'!$B124,'Dados Mov Financeira'!$A:$A,'DRE 2019'!Y$1)</f>
        <v>0</v>
      </c>
      <c r="Z124" s="91" t="n">
        <f aca="false">IFERROR(Y124/Y$5,0)</f>
        <v>0</v>
      </c>
      <c r="AB124" s="75" t="n">
        <f aca="false">SUMIFS('Dados Mov Financeira'!$N:$N,'Dados Mov Financeira'!$O:$O,'DRE 2019'!$B124,'Dados Mov Financeira'!$A:$A,'DRE 2019'!AB$1)</f>
        <v>0</v>
      </c>
      <c r="AC124" s="91" t="n">
        <f aca="false">IFERROR(AB124/AB$5,0)</f>
        <v>0</v>
      </c>
      <c r="AE124" s="75" t="n">
        <f aca="false">SUMIFS('Dados Mov Financeira'!$N:$N,'Dados Mov Financeira'!$O:$O,'DRE 2019'!$B124,'Dados Mov Financeira'!$A:$A,'DRE 2019'!AE$1)</f>
        <v>0</v>
      </c>
      <c r="AF124" s="91" t="n">
        <f aca="false">IFERROR(AE124/AE$5,0)</f>
        <v>0</v>
      </c>
      <c r="AH124" s="75" t="n">
        <f aca="false">SUMIFS('Dados Mov Financeira'!$N:$N,'Dados Mov Financeira'!$O:$O,'DRE 2019'!$B124,'Dados Mov Financeira'!$A:$A,'DRE 2019'!AH$1)</f>
        <v>0</v>
      </c>
      <c r="AI124" s="91" t="n">
        <f aca="false">IFERROR(AH124/AH$5,0)</f>
        <v>0</v>
      </c>
      <c r="AK124" s="75" t="n">
        <f aca="false">SUMIFS('Dados Mov Financeira'!$N:$N,'Dados Mov Financeira'!$O:$O,'DRE 2019'!$B124,'Dados Mov Financeira'!$A:$A,'DRE 2019'!AK$1)</f>
        <v>0</v>
      </c>
      <c r="AL124" s="91" t="n">
        <f aca="false">IFERROR(AK124/AK$5,0)</f>
        <v>0</v>
      </c>
      <c r="AN124" s="92" t="n">
        <f aca="false">SUM(D124,G124,J124,M124,P124,S124,V124,Y124,AB124,AE124,AH124,AK124)</f>
        <v>0</v>
      </c>
      <c r="AO124" s="108" t="n">
        <f aca="false">IFERROR(AN124/AN$5,0)</f>
        <v>0</v>
      </c>
      <c r="AQ124" s="93" t="n">
        <f aca="false">AN124/$AR$1</f>
        <v>0</v>
      </c>
      <c r="AR124" s="94" t="n">
        <f aca="false">IFERROR(AQ124/AQ$5,0)</f>
        <v>0</v>
      </c>
      <c r="AT124" s="116"/>
    </row>
    <row r="125" s="57" customFormat="true" ht="15" hidden="false" customHeight="true" outlineLevel="0" collapsed="false">
      <c r="B125" s="48"/>
      <c r="C125" s="58"/>
      <c r="D125" s="59"/>
      <c r="E125" s="60"/>
      <c r="F125" s="58"/>
      <c r="G125" s="59"/>
      <c r="H125" s="60"/>
      <c r="I125" s="58"/>
      <c r="J125" s="59"/>
      <c r="K125" s="60"/>
      <c r="L125" s="58"/>
      <c r="M125" s="59"/>
      <c r="N125" s="60"/>
      <c r="O125" s="58"/>
      <c r="P125" s="59"/>
      <c r="Q125" s="60"/>
      <c r="R125" s="58"/>
      <c r="S125" s="59"/>
      <c r="T125" s="60"/>
      <c r="U125" s="58"/>
      <c r="V125" s="59"/>
      <c r="W125" s="60"/>
      <c r="X125" s="58"/>
      <c r="Y125" s="59"/>
      <c r="Z125" s="60"/>
      <c r="AA125" s="58"/>
      <c r="AB125" s="59"/>
      <c r="AC125" s="60"/>
      <c r="AD125" s="58"/>
      <c r="AE125" s="59"/>
      <c r="AF125" s="60"/>
      <c r="AG125" s="58"/>
      <c r="AH125" s="59"/>
      <c r="AI125" s="60"/>
      <c r="AJ125" s="58"/>
      <c r="AK125" s="59"/>
      <c r="AL125" s="60"/>
      <c r="AM125" s="58"/>
      <c r="AN125" s="59"/>
      <c r="AO125" s="60"/>
      <c r="AP125" s="58"/>
      <c r="AQ125" s="61"/>
      <c r="AR125" s="60"/>
      <c r="AS125" s="58"/>
      <c r="AT125" s="62"/>
    </row>
    <row r="126" s="63" customFormat="true" ht="20.85" hidden="false" customHeight="false" outlineLevel="0" collapsed="false">
      <c r="A126" s="36"/>
      <c r="B126" s="102" t="s">
        <v>144</v>
      </c>
      <c r="D126" s="103" t="n">
        <f aca="false">D110+D112</f>
        <v>0</v>
      </c>
      <c r="E126" s="104" t="n">
        <f aca="false">IFERROR(D126/D$5,0)</f>
        <v>0</v>
      </c>
      <c r="G126" s="103" t="n">
        <f aca="false">G110+G112</f>
        <v>0</v>
      </c>
      <c r="H126" s="104" t="n">
        <f aca="false">IFERROR(G126/G$5,0)</f>
        <v>0</v>
      </c>
      <c r="J126" s="103" t="n">
        <f aca="false">J110+J112</f>
        <v>0</v>
      </c>
      <c r="K126" s="104" t="n">
        <f aca="false">IFERROR(J126/J$5,0)</f>
        <v>0</v>
      </c>
      <c r="M126" s="103" t="n">
        <f aca="false">M110+M112</f>
        <v>0</v>
      </c>
      <c r="N126" s="104" t="n">
        <f aca="false">IFERROR(M126/M$5,0)</f>
        <v>0</v>
      </c>
      <c r="P126" s="103" t="n">
        <f aca="false">P110+P112</f>
        <v>0</v>
      </c>
      <c r="Q126" s="104" t="n">
        <f aca="false">IFERROR(P126/P$5,0)</f>
        <v>0</v>
      </c>
      <c r="S126" s="103" t="n">
        <f aca="false">S110+S112</f>
        <v>0</v>
      </c>
      <c r="T126" s="104" t="n">
        <f aca="false">IFERROR(S126/S$5,0)</f>
        <v>0</v>
      </c>
      <c r="V126" s="103" t="n">
        <f aca="false">V110+V112</f>
        <v>0</v>
      </c>
      <c r="W126" s="104" t="n">
        <f aca="false">IFERROR(V126/V$5,0)</f>
        <v>0</v>
      </c>
      <c r="Y126" s="103" t="n">
        <f aca="false">Y110+Y112</f>
        <v>0</v>
      </c>
      <c r="Z126" s="104" t="n">
        <f aca="false">IFERROR(Y126/Y$5,0)</f>
        <v>0</v>
      </c>
      <c r="AB126" s="103" t="n">
        <f aca="false">AB110+AB112</f>
        <v>0</v>
      </c>
      <c r="AC126" s="104" t="n">
        <f aca="false">IFERROR(AB126/AB$5,0)</f>
        <v>0</v>
      </c>
      <c r="AE126" s="103" t="n">
        <f aca="false">AE110+AE112</f>
        <v>0</v>
      </c>
      <c r="AF126" s="104" t="n">
        <f aca="false">IFERROR(AE126/AE$5,0)</f>
        <v>0</v>
      </c>
      <c r="AH126" s="103" t="n">
        <f aca="false">AH110+AH112</f>
        <v>0</v>
      </c>
      <c r="AI126" s="104" t="n">
        <f aca="false">IFERROR(AH126/AH$5,0)</f>
        <v>0</v>
      </c>
      <c r="AK126" s="103" t="n">
        <f aca="false">AK110+AK112</f>
        <v>0</v>
      </c>
      <c r="AL126" s="104" t="n">
        <f aca="false">IFERROR(AK126/AK$5,0)</f>
        <v>0</v>
      </c>
      <c r="AN126" s="103" t="n">
        <f aca="false">AN110+AN112</f>
        <v>0</v>
      </c>
      <c r="AO126" s="104" t="n">
        <f aca="false">IFERROR(AN126/AN$5,0)</f>
        <v>0</v>
      </c>
      <c r="AQ126" s="103" t="n">
        <f aca="false">AQ110+AQ112</f>
        <v>0</v>
      </c>
      <c r="AR126" s="104" t="n">
        <f aca="false">IFERROR(AQ126/AQ$5,0)</f>
        <v>0</v>
      </c>
      <c r="AT126" s="105"/>
    </row>
    <row r="127" s="57" customFormat="true" ht="7.5" hidden="false" customHeight="true" outlineLevel="0" collapsed="false">
      <c r="B127" s="48"/>
      <c r="C127" s="58"/>
      <c r="D127" s="59"/>
      <c r="E127" s="60"/>
      <c r="F127" s="58"/>
      <c r="G127" s="59"/>
      <c r="H127" s="60"/>
      <c r="I127" s="58"/>
      <c r="J127" s="59"/>
      <c r="K127" s="60"/>
      <c r="L127" s="58"/>
      <c r="M127" s="59"/>
      <c r="N127" s="60"/>
      <c r="O127" s="58"/>
      <c r="P127" s="59"/>
      <c r="Q127" s="60"/>
      <c r="R127" s="58"/>
      <c r="S127" s="59"/>
      <c r="T127" s="60"/>
      <c r="U127" s="58"/>
      <c r="V127" s="59"/>
      <c r="W127" s="60"/>
      <c r="X127" s="58"/>
      <c r="Y127" s="59"/>
      <c r="Z127" s="60"/>
      <c r="AA127" s="58"/>
      <c r="AB127" s="59"/>
      <c r="AC127" s="60"/>
      <c r="AD127" s="58"/>
      <c r="AE127" s="59"/>
      <c r="AF127" s="60"/>
      <c r="AG127" s="58"/>
      <c r="AH127" s="59"/>
      <c r="AI127" s="60"/>
      <c r="AJ127" s="58"/>
      <c r="AK127" s="59"/>
      <c r="AL127" s="60"/>
      <c r="AM127" s="58"/>
      <c r="AN127" s="59"/>
      <c r="AO127" s="60"/>
      <c r="AP127" s="58"/>
      <c r="AQ127" s="61"/>
      <c r="AR127" s="60"/>
      <c r="AS127" s="58"/>
      <c r="AT127" s="62"/>
    </row>
    <row r="128" s="63" customFormat="true" ht="20.85" hidden="false" customHeight="false" outlineLevel="0" collapsed="false">
      <c r="A128" s="36"/>
      <c r="B128" s="118" t="s">
        <v>145</v>
      </c>
      <c r="D128" s="119" t="n">
        <f aca="false">SUM(D129:D144)</f>
        <v>0</v>
      </c>
      <c r="E128" s="120" t="n">
        <f aca="false">IFERROR(D128/D$5,0)</f>
        <v>0</v>
      </c>
      <c r="G128" s="119" t="n">
        <f aca="false">SUM(G129:G144)</f>
        <v>0</v>
      </c>
      <c r="H128" s="120" t="n">
        <f aca="false">IFERROR(G128/G$5,0)</f>
        <v>0</v>
      </c>
      <c r="J128" s="119" t="n">
        <f aca="false">SUM(J129:J144)</f>
        <v>0</v>
      </c>
      <c r="K128" s="120" t="n">
        <f aca="false">IFERROR(J128/J$5,0)</f>
        <v>0</v>
      </c>
      <c r="M128" s="119" t="n">
        <f aca="false">SUM(M129:M144)</f>
        <v>0</v>
      </c>
      <c r="N128" s="120" t="n">
        <f aca="false">IFERROR(M128/M$5,0)</f>
        <v>0</v>
      </c>
      <c r="P128" s="119" t="n">
        <f aca="false">SUM(P129:P144)</f>
        <v>0</v>
      </c>
      <c r="Q128" s="120" t="n">
        <f aca="false">IFERROR(P128/P$5,0)</f>
        <v>0</v>
      </c>
      <c r="S128" s="119" t="n">
        <f aca="false">SUM(S129:S144)</f>
        <v>0</v>
      </c>
      <c r="T128" s="120" t="n">
        <f aca="false">IFERROR(S128/S$5,0)</f>
        <v>0</v>
      </c>
      <c r="V128" s="119" t="n">
        <f aca="false">SUM(V129:V144)</f>
        <v>0</v>
      </c>
      <c r="W128" s="120" t="n">
        <f aca="false">IFERROR(V128/V$5,0)</f>
        <v>0</v>
      </c>
      <c r="Y128" s="119" t="n">
        <f aca="false">SUM(Y129:Y144)</f>
        <v>0</v>
      </c>
      <c r="Z128" s="120" t="n">
        <f aca="false">IFERROR(Y128/Y$5,0)</f>
        <v>0</v>
      </c>
      <c r="AB128" s="119" t="n">
        <f aca="false">SUM(AB129:AB144)</f>
        <v>0</v>
      </c>
      <c r="AC128" s="120" t="n">
        <f aca="false">IFERROR(AB128/AB$5,0)</f>
        <v>0</v>
      </c>
      <c r="AE128" s="119" t="n">
        <f aca="false">SUM(AE129:AE144)</f>
        <v>0</v>
      </c>
      <c r="AF128" s="120" t="n">
        <f aca="false">IFERROR(AE128/AE$5,0)</f>
        <v>0</v>
      </c>
      <c r="AH128" s="119" t="n">
        <f aca="false">SUM(AH129:AH144)</f>
        <v>0</v>
      </c>
      <c r="AI128" s="120" t="n">
        <f aca="false">IFERROR(AH128/AH$5,0)</f>
        <v>0</v>
      </c>
      <c r="AK128" s="119" t="n">
        <f aca="false">SUM(AK129:AK144)</f>
        <v>0</v>
      </c>
      <c r="AL128" s="120" t="n">
        <f aca="false">IFERROR(AK128/AK$5,0)</f>
        <v>0</v>
      </c>
      <c r="AN128" s="119" t="n">
        <f aca="false">SUM(AN129:AN144)</f>
        <v>0</v>
      </c>
      <c r="AO128" s="120" t="n">
        <f aca="false">IFERROR(AN128/AN$5,0)</f>
        <v>0</v>
      </c>
      <c r="AQ128" s="119" t="n">
        <f aca="false">SUM(AQ129:AQ144)</f>
        <v>0</v>
      </c>
      <c r="AR128" s="120" t="n">
        <f aca="false">IFERROR(AQ128/AQ$5,0)</f>
        <v>0</v>
      </c>
      <c r="AT128" s="121" t="n">
        <v>0</v>
      </c>
    </row>
    <row r="129" customFormat="false" ht="14.25" hidden="true" customHeight="false" outlineLevel="1" collapsed="false">
      <c r="B129" s="89" t="s">
        <v>146</v>
      </c>
      <c r="D129" s="75" t="n">
        <f aca="false">SUMIFS('Dados Mov Financeira'!$N:$N,'Dados Mov Financeira'!$O:$O,'DRE 2019'!$B129,'Dados Mov Financeira'!$A:$A,'DRE 2019'!D$1)</f>
        <v>0</v>
      </c>
      <c r="E129" s="91" t="n">
        <f aca="false">IFERROR(D129/D$5,0)</f>
        <v>0</v>
      </c>
      <c r="G129" s="75" t="n">
        <f aca="false">SUMIFS('Dados Mov Financeira'!$N:$N,'Dados Mov Financeira'!$O:$O,'DRE 2019'!$B129,'Dados Mov Financeira'!$A:$A,'DRE 2019'!G$1)</f>
        <v>0</v>
      </c>
      <c r="H129" s="91" t="n">
        <f aca="false">IFERROR(G129/G$5,0)</f>
        <v>0</v>
      </c>
      <c r="J129" s="75" t="n">
        <f aca="false">SUMIFS('Dados Mov Financeira'!$N:$N,'Dados Mov Financeira'!$O:$O,'DRE 2019'!$B129,'Dados Mov Financeira'!$A:$A,'DRE 2019'!J$1)</f>
        <v>0</v>
      </c>
      <c r="K129" s="91" t="n">
        <f aca="false">IFERROR(J129/J$5,0)</f>
        <v>0</v>
      </c>
      <c r="M129" s="75" t="n">
        <f aca="false">SUMIFS('Dados Mov Financeira'!$N:$N,'Dados Mov Financeira'!$O:$O,'DRE 2019'!$B129,'Dados Mov Financeira'!$A:$A,'DRE 2019'!M$1)</f>
        <v>0</v>
      </c>
      <c r="N129" s="91" t="n">
        <f aca="false">IFERROR(M129/M$5,0)</f>
        <v>0</v>
      </c>
      <c r="P129" s="75" t="n">
        <f aca="false">SUMIFS('Dados Mov Financeira'!$N:$N,'Dados Mov Financeira'!$O:$O,'DRE 2019'!$B129,'Dados Mov Financeira'!$A:$A,'DRE 2019'!P$1)</f>
        <v>0</v>
      </c>
      <c r="Q129" s="91" t="n">
        <f aca="false">IFERROR(P129/P$5,0)</f>
        <v>0</v>
      </c>
      <c r="S129" s="75" t="n">
        <f aca="false">SUMIFS('Dados Mov Financeira'!$N:$N,'Dados Mov Financeira'!$O:$O,'DRE 2019'!$B129,'Dados Mov Financeira'!$A:$A,'DRE 2019'!S$1)</f>
        <v>0</v>
      </c>
      <c r="T129" s="91" t="n">
        <f aca="false">IFERROR(S129/S$5,0)</f>
        <v>0</v>
      </c>
      <c r="V129" s="75" t="n">
        <f aca="false">SUMIFS('Dados Mov Financeira'!$N:$N,'Dados Mov Financeira'!$O:$O,'DRE 2019'!$B129,'Dados Mov Financeira'!$A:$A,'DRE 2019'!V$1)</f>
        <v>0</v>
      </c>
      <c r="W129" s="91" t="n">
        <f aca="false">IFERROR(V129/V$5,0)</f>
        <v>0</v>
      </c>
      <c r="Y129" s="75" t="n">
        <f aca="false">SUMIFS('Dados Mov Financeira'!$N:$N,'Dados Mov Financeira'!$O:$O,'DRE 2019'!$B129,'Dados Mov Financeira'!$A:$A,'DRE 2019'!Y$1)</f>
        <v>0</v>
      </c>
      <c r="Z129" s="91" t="n">
        <f aca="false">IFERROR(Y129/Y$5,0)</f>
        <v>0</v>
      </c>
      <c r="AB129" s="75" t="n">
        <f aca="false">SUMIFS('Dados Mov Financeira'!$N:$N,'Dados Mov Financeira'!$O:$O,'DRE 2019'!$B129,'Dados Mov Financeira'!$A:$A,'DRE 2019'!AB$1)</f>
        <v>0</v>
      </c>
      <c r="AC129" s="91" t="n">
        <f aca="false">IFERROR(AB129/AB$5,0)</f>
        <v>0</v>
      </c>
      <c r="AE129" s="75" t="n">
        <f aca="false">SUMIFS('Dados Mov Financeira'!$N:$N,'Dados Mov Financeira'!$O:$O,'DRE 2019'!$B129,'Dados Mov Financeira'!$A:$A,'DRE 2019'!AE$1)</f>
        <v>0</v>
      </c>
      <c r="AF129" s="91" t="n">
        <f aca="false">IFERROR(AE129/AE$5,0)</f>
        <v>0</v>
      </c>
      <c r="AH129" s="75" t="n">
        <f aca="false">SUMIFS('Dados Mov Financeira'!$N:$N,'Dados Mov Financeira'!$O:$O,'DRE 2019'!$B129,'Dados Mov Financeira'!$A:$A,'DRE 2019'!AH$1)</f>
        <v>0</v>
      </c>
      <c r="AI129" s="91" t="n">
        <f aca="false">IFERROR(AH129/AH$5,0)</f>
        <v>0</v>
      </c>
      <c r="AK129" s="75" t="n">
        <f aca="false">SUMIFS('Dados Mov Financeira'!$N:$N,'Dados Mov Financeira'!$O:$O,'DRE 2019'!$B129,'Dados Mov Financeira'!$A:$A,'DRE 2019'!AK$1)</f>
        <v>0</v>
      </c>
      <c r="AL129" s="91" t="n">
        <f aca="false">IFERROR(AK129/AK$5,0)</f>
        <v>0</v>
      </c>
      <c r="AN129" s="92" t="n">
        <f aca="false">SUM(D129,G129,J129,M129,P129,S129,V129,Y129,AB129,AE129,AH129,AK129)</f>
        <v>0</v>
      </c>
      <c r="AO129" s="108" t="n">
        <f aca="false">IFERROR(AN129/AN$5,0)</f>
        <v>0</v>
      </c>
      <c r="AQ129" s="93" t="n">
        <f aca="false">AN129/$AR$1</f>
        <v>0</v>
      </c>
      <c r="AR129" s="94" t="n">
        <f aca="false">IFERROR(AQ129/AQ$5,0)</f>
        <v>0</v>
      </c>
      <c r="AT129" s="122"/>
    </row>
    <row r="130" customFormat="false" ht="14.25" hidden="true" customHeight="false" outlineLevel="1" collapsed="false">
      <c r="B130" s="89" t="s">
        <v>147</v>
      </c>
      <c r="D130" s="75" t="n">
        <f aca="false">SUMIFS('Dados Mov Financeira'!$N:$N,'Dados Mov Financeira'!$O:$O,'DRE 2019'!$B130,'Dados Mov Financeira'!$A:$A,'DRE 2019'!D$1)</f>
        <v>0</v>
      </c>
      <c r="E130" s="91" t="n">
        <f aca="false">IFERROR(D130/D$5,0)</f>
        <v>0</v>
      </c>
      <c r="G130" s="75" t="n">
        <f aca="false">SUMIFS('Dados Mov Financeira'!$N:$N,'Dados Mov Financeira'!$O:$O,'DRE 2019'!$B130,'Dados Mov Financeira'!$A:$A,'DRE 2019'!G$1)</f>
        <v>0</v>
      </c>
      <c r="H130" s="91" t="n">
        <f aca="false">IFERROR(G130/G$5,0)</f>
        <v>0</v>
      </c>
      <c r="J130" s="75" t="n">
        <f aca="false">SUMIFS('Dados Mov Financeira'!$N:$N,'Dados Mov Financeira'!$O:$O,'DRE 2019'!$B130,'Dados Mov Financeira'!$A:$A,'DRE 2019'!J$1)</f>
        <v>0</v>
      </c>
      <c r="K130" s="91" t="n">
        <f aca="false">IFERROR(J130/J$5,0)</f>
        <v>0</v>
      </c>
      <c r="M130" s="75" t="n">
        <f aca="false">SUMIFS('Dados Mov Financeira'!$N:$N,'Dados Mov Financeira'!$O:$O,'DRE 2019'!$B130,'Dados Mov Financeira'!$A:$A,'DRE 2019'!M$1)</f>
        <v>0</v>
      </c>
      <c r="N130" s="91" t="n">
        <f aca="false">IFERROR(M130/M$5,0)</f>
        <v>0</v>
      </c>
      <c r="P130" s="75" t="n">
        <f aca="false">SUMIFS('Dados Mov Financeira'!$N:$N,'Dados Mov Financeira'!$O:$O,'DRE 2019'!$B130,'Dados Mov Financeira'!$A:$A,'DRE 2019'!P$1)</f>
        <v>0</v>
      </c>
      <c r="Q130" s="91" t="n">
        <f aca="false">IFERROR(P130/P$5,0)</f>
        <v>0</v>
      </c>
      <c r="S130" s="75" t="n">
        <f aca="false">SUMIFS('Dados Mov Financeira'!$N:$N,'Dados Mov Financeira'!$O:$O,'DRE 2019'!$B130,'Dados Mov Financeira'!$A:$A,'DRE 2019'!S$1)</f>
        <v>0</v>
      </c>
      <c r="T130" s="91" t="n">
        <f aca="false">IFERROR(S130/S$5,0)</f>
        <v>0</v>
      </c>
      <c r="V130" s="75" t="n">
        <f aca="false">SUMIFS('Dados Mov Financeira'!$N:$N,'Dados Mov Financeira'!$O:$O,'DRE 2019'!$B130,'Dados Mov Financeira'!$A:$A,'DRE 2019'!V$1)</f>
        <v>0</v>
      </c>
      <c r="W130" s="91" t="n">
        <f aca="false">IFERROR(V130/V$5,0)</f>
        <v>0</v>
      </c>
      <c r="Y130" s="75" t="n">
        <f aca="false">SUMIFS('Dados Mov Financeira'!$N:$N,'Dados Mov Financeira'!$O:$O,'DRE 2019'!$B130,'Dados Mov Financeira'!$A:$A,'DRE 2019'!Y$1)</f>
        <v>0</v>
      </c>
      <c r="Z130" s="91" t="n">
        <f aca="false">IFERROR(Y130/Y$5,0)</f>
        <v>0</v>
      </c>
      <c r="AB130" s="75" t="n">
        <f aca="false">SUMIFS('Dados Mov Financeira'!$N:$N,'Dados Mov Financeira'!$O:$O,'DRE 2019'!$B130,'Dados Mov Financeira'!$A:$A,'DRE 2019'!AB$1)</f>
        <v>0</v>
      </c>
      <c r="AC130" s="91" t="n">
        <f aca="false">IFERROR(AB130/AB$5,0)</f>
        <v>0</v>
      </c>
      <c r="AE130" s="75" t="n">
        <f aca="false">SUMIFS('Dados Mov Financeira'!$N:$N,'Dados Mov Financeira'!$O:$O,'DRE 2019'!$B130,'Dados Mov Financeira'!$A:$A,'DRE 2019'!AE$1)</f>
        <v>0</v>
      </c>
      <c r="AF130" s="91" t="n">
        <f aca="false">IFERROR(AE130/AE$5,0)</f>
        <v>0</v>
      </c>
      <c r="AH130" s="75" t="n">
        <f aca="false">SUMIFS('Dados Mov Financeira'!$N:$N,'Dados Mov Financeira'!$O:$O,'DRE 2019'!$B130,'Dados Mov Financeira'!$A:$A,'DRE 2019'!AH$1)</f>
        <v>0</v>
      </c>
      <c r="AI130" s="91" t="n">
        <f aca="false">IFERROR(AH130/AH$5,0)</f>
        <v>0</v>
      </c>
      <c r="AK130" s="75" t="n">
        <f aca="false">SUMIFS('Dados Mov Financeira'!$N:$N,'Dados Mov Financeira'!$O:$O,'DRE 2019'!$B130,'Dados Mov Financeira'!$A:$A,'DRE 2019'!AK$1)</f>
        <v>0</v>
      </c>
      <c r="AL130" s="91" t="n">
        <f aca="false">IFERROR(AK130/AK$5,0)</f>
        <v>0</v>
      </c>
      <c r="AN130" s="92" t="n">
        <f aca="false">SUM(D130,G130,J130,M130,P130,S130,V130,Y130,AB130,AE130,AH130,AK130)</f>
        <v>0</v>
      </c>
      <c r="AO130" s="108" t="n">
        <f aca="false">IFERROR(AN130/AN$5,0)</f>
        <v>0</v>
      </c>
      <c r="AQ130" s="93" t="n">
        <f aca="false">AN130/$AR$1</f>
        <v>0</v>
      </c>
      <c r="AR130" s="94" t="n">
        <f aca="false">IFERROR(AQ130/AQ$5,0)</f>
        <v>0</v>
      </c>
      <c r="AT130" s="116"/>
    </row>
    <row r="131" customFormat="false" ht="14.25" hidden="true" customHeight="false" outlineLevel="1" collapsed="false">
      <c r="B131" s="89" t="s">
        <v>148</v>
      </c>
      <c r="D131" s="75" t="n">
        <f aca="false">SUMIFS('Dados Mov Financeira'!$N:$N,'Dados Mov Financeira'!$O:$O,'DRE 2019'!$B131,'Dados Mov Financeira'!$A:$A,'DRE 2019'!D$1)</f>
        <v>0</v>
      </c>
      <c r="E131" s="91" t="n">
        <f aca="false">IFERROR(D131/D$5,0)</f>
        <v>0</v>
      </c>
      <c r="G131" s="75" t="n">
        <f aca="false">SUMIFS('Dados Mov Financeira'!$N:$N,'Dados Mov Financeira'!$O:$O,'DRE 2019'!$B131,'Dados Mov Financeira'!$A:$A,'DRE 2019'!G$1)</f>
        <v>0</v>
      </c>
      <c r="H131" s="91" t="n">
        <f aca="false">IFERROR(G131/G$5,0)</f>
        <v>0</v>
      </c>
      <c r="J131" s="75" t="n">
        <f aca="false">SUMIFS('Dados Mov Financeira'!$N:$N,'Dados Mov Financeira'!$O:$O,'DRE 2019'!$B131,'Dados Mov Financeira'!$A:$A,'DRE 2019'!J$1)</f>
        <v>0</v>
      </c>
      <c r="K131" s="91" t="n">
        <f aca="false">IFERROR(J131/J$5,0)</f>
        <v>0</v>
      </c>
      <c r="M131" s="75" t="n">
        <f aca="false">SUMIFS('Dados Mov Financeira'!$N:$N,'Dados Mov Financeira'!$O:$O,'DRE 2019'!$B131,'Dados Mov Financeira'!$A:$A,'DRE 2019'!M$1)</f>
        <v>0</v>
      </c>
      <c r="N131" s="91" t="n">
        <f aca="false">IFERROR(M131/M$5,0)</f>
        <v>0</v>
      </c>
      <c r="P131" s="75" t="n">
        <f aca="false">SUMIFS('Dados Mov Financeira'!$N:$N,'Dados Mov Financeira'!$O:$O,'DRE 2019'!$B131,'Dados Mov Financeira'!$A:$A,'DRE 2019'!P$1)</f>
        <v>0</v>
      </c>
      <c r="Q131" s="91" t="n">
        <f aca="false">IFERROR(P131/P$5,0)</f>
        <v>0</v>
      </c>
      <c r="S131" s="75" t="n">
        <f aca="false">SUMIFS('Dados Mov Financeira'!$N:$N,'Dados Mov Financeira'!$O:$O,'DRE 2019'!$B131,'Dados Mov Financeira'!$A:$A,'DRE 2019'!S$1)</f>
        <v>0</v>
      </c>
      <c r="T131" s="91" t="n">
        <f aca="false">IFERROR(S131/S$5,0)</f>
        <v>0</v>
      </c>
      <c r="V131" s="75" t="n">
        <f aca="false">SUMIFS('Dados Mov Financeira'!$N:$N,'Dados Mov Financeira'!$O:$O,'DRE 2019'!$B131,'Dados Mov Financeira'!$A:$A,'DRE 2019'!V$1)</f>
        <v>0</v>
      </c>
      <c r="W131" s="91" t="n">
        <f aca="false">IFERROR(V131/V$5,0)</f>
        <v>0</v>
      </c>
      <c r="Y131" s="75" t="n">
        <f aca="false">SUMIFS('Dados Mov Financeira'!$N:$N,'Dados Mov Financeira'!$O:$O,'DRE 2019'!$B131,'Dados Mov Financeira'!$A:$A,'DRE 2019'!Y$1)</f>
        <v>0</v>
      </c>
      <c r="Z131" s="91" t="n">
        <f aca="false">IFERROR(Y131/Y$5,0)</f>
        <v>0</v>
      </c>
      <c r="AB131" s="75" t="n">
        <f aca="false">SUMIFS('Dados Mov Financeira'!$N:$N,'Dados Mov Financeira'!$O:$O,'DRE 2019'!$B131,'Dados Mov Financeira'!$A:$A,'DRE 2019'!AB$1)</f>
        <v>0</v>
      </c>
      <c r="AC131" s="91" t="n">
        <f aca="false">IFERROR(AB131/AB$5,0)</f>
        <v>0</v>
      </c>
      <c r="AE131" s="75" t="n">
        <f aca="false">SUMIFS('Dados Mov Financeira'!$N:$N,'Dados Mov Financeira'!$O:$O,'DRE 2019'!$B131,'Dados Mov Financeira'!$A:$A,'DRE 2019'!AE$1)</f>
        <v>0</v>
      </c>
      <c r="AF131" s="91" t="n">
        <f aca="false">IFERROR(AE131/AE$5,0)</f>
        <v>0</v>
      </c>
      <c r="AH131" s="75" t="n">
        <f aca="false">SUMIFS('Dados Mov Financeira'!$N:$N,'Dados Mov Financeira'!$O:$O,'DRE 2019'!$B131,'Dados Mov Financeira'!$A:$A,'DRE 2019'!AH$1)</f>
        <v>0</v>
      </c>
      <c r="AI131" s="91" t="n">
        <f aca="false">IFERROR(AH131/AH$5,0)</f>
        <v>0</v>
      </c>
      <c r="AK131" s="75" t="n">
        <f aca="false">SUMIFS('Dados Mov Financeira'!$N:$N,'Dados Mov Financeira'!$O:$O,'DRE 2019'!$B131,'Dados Mov Financeira'!$A:$A,'DRE 2019'!AK$1)</f>
        <v>0</v>
      </c>
      <c r="AL131" s="91" t="n">
        <f aca="false">IFERROR(AK131/AK$5,0)</f>
        <v>0</v>
      </c>
      <c r="AN131" s="92" t="n">
        <f aca="false">SUM(D131,G131,J131,M131,P131,S131,V131,Y131,AB131,AE131,AH131,AK131)</f>
        <v>0</v>
      </c>
      <c r="AO131" s="108" t="n">
        <f aca="false">IFERROR(AN131/AN$5,0)</f>
        <v>0</v>
      </c>
      <c r="AQ131" s="93" t="n">
        <f aca="false">AN131/$AR$1</f>
        <v>0</v>
      </c>
      <c r="AR131" s="94" t="n">
        <f aca="false">IFERROR(AQ131/AQ$5,0)</f>
        <v>0</v>
      </c>
      <c r="AT131" s="116"/>
    </row>
    <row r="132" customFormat="false" ht="14.25" hidden="true" customHeight="false" outlineLevel="1" collapsed="false">
      <c r="B132" s="89" t="s">
        <v>149</v>
      </c>
      <c r="D132" s="75" t="n">
        <f aca="false">SUMIFS('Dados Mov Financeira'!$N:$N,'Dados Mov Financeira'!$O:$O,'DRE 2019'!$B132,'Dados Mov Financeira'!$A:$A,'DRE 2019'!D$1)</f>
        <v>0</v>
      </c>
      <c r="E132" s="91" t="n">
        <f aca="false">IFERROR(D132/D$5,0)</f>
        <v>0</v>
      </c>
      <c r="G132" s="75" t="n">
        <f aca="false">SUMIFS('Dados Mov Financeira'!$N:$N,'Dados Mov Financeira'!$O:$O,'DRE 2019'!$B132,'Dados Mov Financeira'!$A:$A,'DRE 2019'!G$1)</f>
        <v>0</v>
      </c>
      <c r="H132" s="91" t="n">
        <f aca="false">IFERROR(G132/G$5,0)</f>
        <v>0</v>
      </c>
      <c r="J132" s="75" t="n">
        <f aca="false">SUMIFS('Dados Mov Financeira'!$N:$N,'Dados Mov Financeira'!$O:$O,'DRE 2019'!$B132,'Dados Mov Financeira'!$A:$A,'DRE 2019'!J$1)</f>
        <v>0</v>
      </c>
      <c r="K132" s="91" t="n">
        <f aca="false">IFERROR(J132/J$5,0)</f>
        <v>0</v>
      </c>
      <c r="M132" s="75" t="n">
        <f aca="false">SUMIFS('Dados Mov Financeira'!$N:$N,'Dados Mov Financeira'!$O:$O,'DRE 2019'!$B132,'Dados Mov Financeira'!$A:$A,'DRE 2019'!M$1)</f>
        <v>0</v>
      </c>
      <c r="N132" s="91" t="n">
        <f aca="false">IFERROR(M132/M$5,0)</f>
        <v>0</v>
      </c>
      <c r="P132" s="75" t="n">
        <f aca="false">SUMIFS('Dados Mov Financeira'!$N:$N,'Dados Mov Financeira'!$O:$O,'DRE 2019'!$B132,'Dados Mov Financeira'!$A:$A,'DRE 2019'!P$1)</f>
        <v>0</v>
      </c>
      <c r="Q132" s="91" t="n">
        <f aca="false">IFERROR(P132/P$5,0)</f>
        <v>0</v>
      </c>
      <c r="S132" s="75" t="n">
        <f aca="false">SUMIFS('Dados Mov Financeira'!$N:$N,'Dados Mov Financeira'!$O:$O,'DRE 2019'!$B132,'Dados Mov Financeira'!$A:$A,'DRE 2019'!S$1)</f>
        <v>0</v>
      </c>
      <c r="T132" s="91" t="n">
        <f aca="false">IFERROR(S132/S$5,0)</f>
        <v>0</v>
      </c>
      <c r="V132" s="75" t="n">
        <f aca="false">SUMIFS('Dados Mov Financeira'!$N:$N,'Dados Mov Financeira'!$O:$O,'DRE 2019'!$B132,'Dados Mov Financeira'!$A:$A,'DRE 2019'!V$1)</f>
        <v>0</v>
      </c>
      <c r="W132" s="91" t="n">
        <f aca="false">IFERROR(V132/V$5,0)</f>
        <v>0</v>
      </c>
      <c r="Y132" s="75" t="n">
        <f aca="false">SUMIFS('Dados Mov Financeira'!$N:$N,'Dados Mov Financeira'!$O:$O,'DRE 2019'!$B132,'Dados Mov Financeira'!$A:$A,'DRE 2019'!Y$1)</f>
        <v>0</v>
      </c>
      <c r="Z132" s="91" t="n">
        <f aca="false">IFERROR(Y132/Y$5,0)</f>
        <v>0</v>
      </c>
      <c r="AB132" s="75" t="n">
        <f aca="false">SUMIFS('Dados Mov Financeira'!$N:$N,'Dados Mov Financeira'!$O:$O,'DRE 2019'!$B132,'Dados Mov Financeira'!$A:$A,'DRE 2019'!AB$1)</f>
        <v>0</v>
      </c>
      <c r="AC132" s="91" t="n">
        <f aca="false">IFERROR(AB132/AB$5,0)</f>
        <v>0</v>
      </c>
      <c r="AE132" s="75" t="n">
        <f aca="false">SUMIFS('Dados Mov Financeira'!$N:$N,'Dados Mov Financeira'!$O:$O,'DRE 2019'!$B132,'Dados Mov Financeira'!$A:$A,'DRE 2019'!AE$1)</f>
        <v>0</v>
      </c>
      <c r="AF132" s="91" t="n">
        <f aca="false">IFERROR(AE132/AE$5,0)</f>
        <v>0</v>
      </c>
      <c r="AH132" s="75" t="n">
        <f aca="false">SUMIFS('Dados Mov Financeira'!$N:$N,'Dados Mov Financeira'!$O:$O,'DRE 2019'!$B132,'Dados Mov Financeira'!$A:$A,'DRE 2019'!AH$1)</f>
        <v>0</v>
      </c>
      <c r="AI132" s="91" t="n">
        <f aca="false">IFERROR(AH132/AH$5,0)</f>
        <v>0</v>
      </c>
      <c r="AK132" s="75" t="n">
        <f aca="false">SUMIFS('Dados Mov Financeira'!$N:$N,'Dados Mov Financeira'!$O:$O,'DRE 2019'!$B132,'Dados Mov Financeira'!$A:$A,'DRE 2019'!AK$1)</f>
        <v>0</v>
      </c>
      <c r="AL132" s="91" t="n">
        <f aca="false">IFERROR(AK132/AK$5,0)</f>
        <v>0</v>
      </c>
      <c r="AN132" s="92" t="n">
        <f aca="false">SUM(D132,G132,J132,M132,P132,S132,V132,Y132,AB132,AE132,AH132,AK132)</f>
        <v>0</v>
      </c>
      <c r="AO132" s="108" t="n">
        <f aca="false">IFERROR(AN132/AN$5,0)</f>
        <v>0</v>
      </c>
      <c r="AQ132" s="93" t="n">
        <f aca="false">AN132/$AR$1</f>
        <v>0</v>
      </c>
      <c r="AR132" s="94" t="n">
        <f aca="false">IFERROR(AQ132/AQ$5,0)</f>
        <v>0</v>
      </c>
      <c r="AT132" s="116"/>
    </row>
    <row r="133" customFormat="false" ht="14.25" hidden="true" customHeight="false" outlineLevel="1" collapsed="false">
      <c r="B133" s="89" t="s">
        <v>150</v>
      </c>
      <c r="D133" s="75" t="n">
        <f aca="false">SUMIFS('Dados Mov Financeira'!$N:$N,'Dados Mov Financeira'!$O:$O,'DRE 2019'!$B133,'Dados Mov Financeira'!$A:$A,'DRE 2019'!D$1)</f>
        <v>0</v>
      </c>
      <c r="E133" s="91" t="n">
        <f aca="false">IFERROR(D133/D$5,0)</f>
        <v>0</v>
      </c>
      <c r="G133" s="75" t="n">
        <f aca="false">SUMIFS('Dados Mov Financeira'!$N:$N,'Dados Mov Financeira'!$O:$O,'DRE 2019'!$B133,'Dados Mov Financeira'!$A:$A,'DRE 2019'!G$1)</f>
        <v>0</v>
      </c>
      <c r="H133" s="91" t="n">
        <f aca="false">IFERROR(G133/G$5,0)</f>
        <v>0</v>
      </c>
      <c r="J133" s="75" t="n">
        <f aca="false">SUMIFS('Dados Mov Financeira'!$N:$N,'Dados Mov Financeira'!$O:$O,'DRE 2019'!$B133,'Dados Mov Financeira'!$A:$A,'DRE 2019'!J$1)</f>
        <v>0</v>
      </c>
      <c r="K133" s="91" t="n">
        <f aca="false">IFERROR(J133/J$5,0)</f>
        <v>0</v>
      </c>
      <c r="M133" s="75" t="n">
        <f aca="false">SUMIFS('Dados Mov Financeira'!$N:$N,'Dados Mov Financeira'!$O:$O,'DRE 2019'!$B133,'Dados Mov Financeira'!$A:$A,'DRE 2019'!M$1)</f>
        <v>0</v>
      </c>
      <c r="N133" s="91" t="n">
        <f aca="false">IFERROR(M133/M$5,0)</f>
        <v>0</v>
      </c>
      <c r="P133" s="75" t="n">
        <f aca="false">SUMIFS('Dados Mov Financeira'!$N:$N,'Dados Mov Financeira'!$O:$O,'DRE 2019'!$B133,'Dados Mov Financeira'!$A:$A,'DRE 2019'!P$1)</f>
        <v>0</v>
      </c>
      <c r="Q133" s="91" t="n">
        <f aca="false">IFERROR(P133/P$5,0)</f>
        <v>0</v>
      </c>
      <c r="S133" s="75" t="n">
        <f aca="false">SUMIFS('Dados Mov Financeira'!$N:$N,'Dados Mov Financeira'!$O:$O,'DRE 2019'!$B133,'Dados Mov Financeira'!$A:$A,'DRE 2019'!S$1)</f>
        <v>0</v>
      </c>
      <c r="T133" s="91" t="n">
        <f aca="false">IFERROR(S133/S$5,0)</f>
        <v>0</v>
      </c>
      <c r="V133" s="75" t="n">
        <f aca="false">SUMIFS('Dados Mov Financeira'!$N:$N,'Dados Mov Financeira'!$O:$O,'DRE 2019'!$B133,'Dados Mov Financeira'!$A:$A,'DRE 2019'!V$1)</f>
        <v>0</v>
      </c>
      <c r="W133" s="91" t="n">
        <f aca="false">IFERROR(V133/V$5,0)</f>
        <v>0</v>
      </c>
      <c r="Y133" s="75" t="n">
        <f aca="false">SUMIFS('Dados Mov Financeira'!$N:$N,'Dados Mov Financeira'!$O:$O,'DRE 2019'!$B133,'Dados Mov Financeira'!$A:$A,'DRE 2019'!Y$1)</f>
        <v>0</v>
      </c>
      <c r="Z133" s="91" t="n">
        <f aca="false">IFERROR(Y133/Y$5,0)</f>
        <v>0</v>
      </c>
      <c r="AB133" s="75" t="n">
        <f aca="false">SUMIFS('Dados Mov Financeira'!$N:$N,'Dados Mov Financeira'!$O:$O,'DRE 2019'!$B133,'Dados Mov Financeira'!$A:$A,'DRE 2019'!AB$1)</f>
        <v>0</v>
      </c>
      <c r="AC133" s="91" t="n">
        <f aca="false">IFERROR(AB133/AB$5,0)</f>
        <v>0</v>
      </c>
      <c r="AE133" s="75" t="n">
        <f aca="false">SUMIFS('Dados Mov Financeira'!$N:$N,'Dados Mov Financeira'!$O:$O,'DRE 2019'!$B133,'Dados Mov Financeira'!$A:$A,'DRE 2019'!AE$1)</f>
        <v>0</v>
      </c>
      <c r="AF133" s="91" t="n">
        <f aca="false">IFERROR(AE133/AE$5,0)</f>
        <v>0</v>
      </c>
      <c r="AH133" s="75" t="n">
        <f aca="false">SUMIFS('Dados Mov Financeira'!$N:$N,'Dados Mov Financeira'!$O:$O,'DRE 2019'!$B133,'Dados Mov Financeira'!$A:$A,'DRE 2019'!AH$1)</f>
        <v>0</v>
      </c>
      <c r="AI133" s="91" t="n">
        <f aca="false">IFERROR(AH133/AH$5,0)</f>
        <v>0</v>
      </c>
      <c r="AK133" s="75" t="n">
        <f aca="false">SUMIFS('Dados Mov Financeira'!$N:$N,'Dados Mov Financeira'!$O:$O,'DRE 2019'!$B133,'Dados Mov Financeira'!$A:$A,'DRE 2019'!AK$1)</f>
        <v>0</v>
      </c>
      <c r="AL133" s="91" t="n">
        <f aca="false">IFERROR(AK133/AK$5,0)</f>
        <v>0</v>
      </c>
      <c r="AN133" s="92" t="n">
        <f aca="false">SUM(D133,G133,J133,M133,P133,S133,V133,Y133,AB133,AE133,AH133,AK133)</f>
        <v>0</v>
      </c>
      <c r="AO133" s="108" t="n">
        <f aca="false">IFERROR(AN133/AN$5,0)</f>
        <v>0</v>
      </c>
      <c r="AQ133" s="93" t="n">
        <f aca="false">AN133/$AR$1</f>
        <v>0</v>
      </c>
      <c r="AR133" s="94" t="n">
        <f aca="false">IFERROR(AQ133/AQ$5,0)</f>
        <v>0</v>
      </c>
      <c r="AT133" s="116"/>
    </row>
    <row r="134" customFormat="false" ht="14.25" hidden="true" customHeight="false" outlineLevel="1" collapsed="false">
      <c r="B134" s="89" t="s">
        <v>151</v>
      </c>
      <c r="D134" s="75" t="n">
        <f aca="false">SUMIFS('Dados Mov Financeira'!$N:$N,'Dados Mov Financeira'!$O:$O,'DRE 2019'!$B134,'Dados Mov Financeira'!$A:$A,'DRE 2019'!D$1)</f>
        <v>0</v>
      </c>
      <c r="E134" s="91" t="n">
        <f aca="false">IFERROR(D134/D$5,0)</f>
        <v>0</v>
      </c>
      <c r="G134" s="75" t="n">
        <f aca="false">SUMIFS('Dados Mov Financeira'!$N:$N,'Dados Mov Financeira'!$O:$O,'DRE 2019'!$B134,'Dados Mov Financeira'!$A:$A,'DRE 2019'!G$1)</f>
        <v>0</v>
      </c>
      <c r="H134" s="91" t="n">
        <f aca="false">IFERROR(G134/G$5,0)</f>
        <v>0</v>
      </c>
      <c r="J134" s="75" t="n">
        <f aca="false">SUMIFS('Dados Mov Financeira'!$N:$N,'Dados Mov Financeira'!$O:$O,'DRE 2019'!$B134,'Dados Mov Financeira'!$A:$A,'DRE 2019'!J$1)</f>
        <v>0</v>
      </c>
      <c r="K134" s="91" t="n">
        <f aca="false">IFERROR(J134/J$5,0)</f>
        <v>0</v>
      </c>
      <c r="M134" s="75" t="n">
        <f aca="false">SUMIFS('Dados Mov Financeira'!$N:$N,'Dados Mov Financeira'!$O:$O,'DRE 2019'!$B134,'Dados Mov Financeira'!$A:$A,'DRE 2019'!M$1)</f>
        <v>0</v>
      </c>
      <c r="N134" s="91" t="n">
        <f aca="false">IFERROR(M134/M$5,0)</f>
        <v>0</v>
      </c>
      <c r="P134" s="75" t="n">
        <f aca="false">SUMIFS('Dados Mov Financeira'!$N:$N,'Dados Mov Financeira'!$O:$O,'DRE 2019'!$B134,'Dados Mov Financeira'!$A:$A,'DRE 2019'!P$1)</f>
        <v>0</v>
      </c>
      <c r="Q134" s="91" t="n">
        <f aca="false">IFERROR(P134/P$5,0)</f>
        <v>0</v>
      </c>
      <c r="S134" s="75" t="n">
        <f aca="false">SUMIFS('Dados Mov Financeira'!$N:$N,'Dados Mov Financeira'!$O:$O,'DRE 2019'!$B134,'Dados Mov Financeira'!$A:$A,'DRE 2019'!S$1)</f>
        <v>0</v>
      </c>
      <c r="T134" s="91" t="n">
        <f aca="false">IFERROR(S134/S$5,0)</f>
        <v>0</v>
      </c>
      <c r="V134" s="75" t="n">
        <f aca="false">SUMIFS('Dados Mov Financeira'!$N:$N,'Dados Mov Financeira'!$O:$O,'DRE 2019'!$B134,'Dados Mov Financeira'!$A:$A,'DRE 2019'!V$1)</f>
        <v>0</v>
      </c>
      <c r="W134" s="91" t="n">
        <f aca="false">IFERROR(V134/V$5,0)</f>
        <v>0</v>
      </c>
      <c r="Y134" s="75" t="n">
        <f aca="false">SUMIFS('Dados Mov Financeira'!$N:$N,'Dados Mov Financeira'!$O:$O,'DRE 2019'!$B134,'Dados Mov Financeira'!$A:$A,'DRE 2019'!Y$1)</f>
        <v>0</v>
      </c>
      <c r="Z134" s="91" t="n">
        <f aca="false">IFERROR(Y134/Y$5,0)</f>
        <v>0</v>
      </c>
      <c r="AB134" s="75" t="n">
        <f aca="false">SUMIFS('Dados Mov Financeira'!$N:$N,'Dados Mov Financeira'!$O:$O,'DRE 2019'!$B134,'Dados Mov Financeira'!$A:$A,'DRE 2019'!AB$1)</f>
        <v>0</v>
      </c>
      <c r="AC134" s="91" t="n">
        <f aca="false">IFERROR(AB134/AB$5,0)</f>
        <v>0</v>
      </c>
      <c r="AE134" s="75" t="n">
        <f aca="false">SUMIFS('Dados Mov Financeira'!$N:$N,'Dados Mov Financeira'!$O:$O,'DRE 2019'!$B134,'Dados Mov Financeira'!$A:$A,'DRE 2019'!AE$1)</f>
        <v>0</v>
      </c>
      <c r="AF134" s="91" t="n">
        <f aca="false">IFERROR(AE134/AE$5,0)</f>
        <v>0</v>
      </c>
      <c r="AH134" s="75" t="n">
        <f aca="false">SUMIFS('Dados Mov Financeira'!$N:$N,'Dados Mov Financeira'!$O:$O,'DRE 2019'!$B134,'Dados Mov Financeira'!$A:$A,'DRE 2019'!AH$1)</f>
        <v>0</v>
      </c>
      <c r="AI134" s="91" t="n">
        <f aca="false">IFERROR(AH134/AH$5,0)</f>
        <v>0</v>
      </c>
      <c r="AK134" s="75" t="n">
        <f aca="false">SUMIFS('Dados Mov Financeira'!$N:$N,'Dados Mov Financeira'!$O:$O,'DRE 2019'!$B134,'Dados Mov Financeira'!$A:$A,'DRE 2019'!AK$1)</f>
        <v>0</v>
      </c>
      <c r="AL134" s="91" t="n">
        <f aca="false">IFERROR(AK134/AK$5,0)</f>
        <v>0</v>
      </c>
      <c r="AN134" s="92" t="n">
        <f aca="false">SUM(D134,G134,J134,M134,P134,S134,V134,Y134,AB134,AE134,AH134,AK134)</f>
        <v>0</v>
      </c>
      <c r="AO134" s="108" t="n">
        <f aca="false">IFERROR(AN134/AN$5,0)</f>
        <v>0</v>
      </c>
      <c r="AQ134" s="93" t="n">
        <f aca="false">AN134/$AR$1</f>
        <v>0</v>
      </c>
      <c r="AR134" s="94" t="n">
        <f aca="false">IFERROR(AQ134/AQ$5,0)</f>
        <v>0</v>
      </c>
      <c r="AT134" s="116"/>
    </row>
    <row r="135" customFormat="false" ht="14.25" hidden="true" customHeight="false" outlineLevel="1" collapsed="false">
      <c r="B135" s="89" t="s">
        <v>152</v>
      </c>
      <c r="D135" s="75" t="n">
        <f aca="false">SUMIFS('Dados Mov Financeira'!$N:$N,'Dados Mov Financeira'!$O:$O,'DRE 2019'!$B135,'Dados Mov Financeira'!$A:$A,'DRE 2019'!D$1)</f>
        <v>0</v>
      </c>
      <c r="E135" s="91" t="n">
        <f aca="false">IFERROR(D135/D$5,0)</f>
        <v>0</v>
      </c>
      <c r="G135" s="75" t="n">
        <f aca="false">SUMIFS('Dados Mov Financeira'!$N:$N,'Dados Mov Financeira'!$O:$O,'DRE 2019'!$B135,'Dados Mov Financeira'!$A:$A,'DRE 2019'!G$1)</f>
        <v>0</v>
      </c>
      <c r="H135" s="91" t="n">
        <f aca="false">IFERROR(G135/G$5,0)</f>
        <v>0</v>
      </c>
      <c r="J135" s="75" t="n">
        <f aca="false">SUMIFS('Dados Mov Financeira'!$N:$N,'Dados Mov Financeira'!$O:$O,'DRE 2019'!$B135,'Dados Mov Financeira'!$A:$A,'DRE 2019'!J$1)</f>
        <v>0</v>
      </c>
      <c r="K135" s="91" t="n">
        <f aca="false">IFERROR(J135/J$5,0)</f>
        <v>0</v>
      </c>
      <c r="M135" s="75" t="n">
        <f aca="false">SUMIFS('Dados Mov Financeira'!$N:$N,'Dados Mov Financeira'!$O:$O,'DRE 2019'!$B135,'Dados Mov Financeira'!$A:$A,'DRE 2019'!M$1)</f>
        <v>0</v>
      </c>
      <c r="N135" s="91" t="n">
        <f aca="false">IFERROR(M135/M$5,0)</f>
        <v>0</v>
      </c>
      <c r="P135" s="75" t="n">
        <f aca="false">SUMIFS('Dados Mov Financeira'!$N:$N,'Dados Mov Financeira'!$O:$O,'DRE 2019'!$B135,'Dados Mov Financeira'!$A:$A,'DRE 2019'!P$1)</f>
        <v>0</v>
      </c>
      <c r="Q135" s="91" t="n">
        <f aca="false">IFERROR(P135/P$5,0)</f>
        <v>0</v>
      </c>
      <c r="S135" s="75" t="n">
        <f aca="false">SUMIFS('Dados Mov Financeira'!$N:$N,'Dados Mov Financeira'!$O:$O,'DRE 2019'!$B135,'Dados Mov Financeira'!$A:$A,'DRE 2019'!S$1)</f>
        <v>0</v>
      </c>
      <c r="T135" s="91" t="n">
        <f aca="false">IFERROR(S135/S$5,0)</f>
        <v>0</v>
      </c>
      <c r="V135" s="75" t="n">
        <f aca="false">SUMIFS('Dados Mov Financeira'!$N:$N,'Dados Mov Financeira'!$O:$O,'DRE 2019'!$B135,'Dados Mov Financeira'!$A:$A,'DRE 2019'!V$1)</f>
        <v>0</v>
      </c>
      <c r="W135" s="91" t="n">
        <f aca="false">IFERROR(V135/V$5,0)</f>
        <v>0</v>
      </c>
      <c r="Y135" s="75" t="n">
        <f aca="false">SUMIFS('Dados Mov Financeira'!$N:$N,'Dados Mov Financeira'!$O:$O,'DRE 2019'!$B135,'Dados Mov Financeira'!$A:$A,'DRE 2019'!Y$1)</f>
        <v>0</v>
      </c>
      <c r="Z135" s="91" t="n">
        <f aca="false">IFERROR(Y135/Y$5,0)</f>
        <v>0</v>
      </c>
      <c r="AB135" s="75" t="n">
        <f aca="false">SUMIFS('Dados Mov Financeira'!$N:$N,'Dados Mov Financeira'!$O:$O,'DRE 2019'!$B135,'Dados Mov Financeira'!$A:$A,'DRE 2019'!AB$1)</f>
        <v>0</v>
      </c>
      <c r="AC135" s="91" t="n">
        <f aca="false">IFERROR(AB135/AB$5,0)</f>
        <v>0</v>
      </c>
      <c r="AE135" s="75" t="n">
        <f aca="false">SUMIFS('Dados Mov Financeira'!$N:$N,'Dados Mov Financeira'!$O:$O,'DRE 2019'!$B135,'Dados Mov Financeira'!$A:$A,'DRE 2019'!AE$1)</f>
        <v>0</v>
      </c>
      <c r="AF135" s="91" t="n">
        <f aca="false">IFERROR(AE135/AE$5,0)</f>
        <v>0</v>
      </c>
      <c r="AH135" s="75" t="n">
        <f aca="false">SUMIFS('Dados Mov Financeira'!$N:$N,'Dados Mov Financeira'!$O:$O,'DRE 2019'!$B135,'Dados Mov Financeira'!$A:$A,'DRE 2019'!AH$1)</f>
        <v>0</v>
      </c>
      <c r="AI135" s="91" t="n">
        <f aca="false">IFERROR(AH135/AH$5,0)</f>
        <v>0</v>
      </c>
      <c r="AK135" s="75" t="n">
        <f aca="false">SUMIFS('Dados Mov Financeira'!$N:$N,'Dados Mov Financeira'!$O:$O,'DRE 2019'!$B135,'Dados Mov Financeira'!$A:$A,'DRE 2019'!AK$1)</f>
        <v>0</v>
      </c>
      <c r="AL135" s="91" t="n">
        <f aca="false">IFERROR(AK135/AK$5,0)</f>
        <v>0</v>
      </c>
      <c r="AN135" s="92" t="n">
        <f aca="false">SUM(D135,G135,J135,M135,P135,S135,V135,Y135,AB135,AE135,AH135,AK135)</f>
        <v>0</v>
      </c>
      <c r="AO135" s="108" t="n">
        <f aca="false">IFERROR(AN135/AN$5,0)</f>
        <v>0</v>
      </c>
      <c r="AQ135" s="93" t="n">
        <f aca="false">AN135/$AR$1</f>
        <v>0</v>
      </c>
      <c r="AR135" s="94" t="n">
        <f aca="false">IFERROR(AQ135/AQ$5,0)</f>
        <v>0</v>
      </c>
      <c r="AT135" s="116"/>
    </row>
    <row r="136" customFormat="false" ht="14.25" hidden="true" customHeight="false" outlineLevel="1" collapsed="false">
      <c r="B136" s="89" t="s">
        <v>153</v>
      </c>
      <c r="D136" s="75" t="n">
        <f aca="false">SUMIFS('Dados Mov Financeira'!$N:$N,'Dados Mov Financeira'!$O:$O,'DRE 2019'!$B136,'Dados Mov Financeira'!$A:$A,'DRE 2019'!D$1)</f>
        <v>0</v>
      </c>
      <c r="E136" s="91" t="n">
        <f aca="false">IFERROR(D136/D$5,0)</f>
        <v>0</v>
      </c>
      <c r="G136" s="75" t="n">
        <f aca="false">SUMIFS('Dados Mov Financeira'!$N:$N,'Dados Mov Financeira'!$O:$O,'DRE 2019'!$B136,'Dados Mov Financeira'!$A:$A,'DRE 2019'!G$1)</f>
        <v>0</v>
      </c>
      <c r="H136" s="91" t="n">
        <f aca="false">IFERROR(G136/G$5,0)</f>
        <v>0</v>
      </c>
      <c r="J136" s="75" t="n">
        <f aca="false">SUMIFS('Dados Mov Financeira'!$N:$N,'Dados Mov Financeira'!$O:$O,'DRE 2019'!$B136,'Dados Mov Financeira'!$A:$A,'DRE 2019'!J$1)</f>
        <v>0</v>
      </c>
      <c r="K136" s="91" t="n">
        <f aca="false">IFERROR(J136/J$5,0)</f>
        <v>0</v>
      </c>
      <c r="M136" s="75" t="n">
        <f aca="false">SUMIFS('Dados Mov Financeira'!$N:$N,'Dados Mov Financeira'!$O:$O,'DRE 2019'!$B136,'Dados Mov Financeira'!$A:$A,'DRE 2019'!M$1)</f>
        <v>0</v>
      </c>
      <c r="N136" s="91" t="n">
        <f aca="false">IFERROR(M136/M$5,0)</f>
        <v>0</v>
      </c>
      <c r="P136" s="75" t="n">
        <f aca="false">SUMIFS('Dados Mov Financeira'!$N:$N,'Dados Mov Financeira'!$O:$O,'DRE 2019'!$B136,'Dados Mov Financeira'!$A:$A,'DRE 2019'!P$1)</f>
        <v>0</v>
      </c>
      <c r="Q136" s="91" t="n">
        <f aca="false">IFERROR(P136/P$5,0)</f>
        <v>0</v>
      </c>
      <c r="S136" s="75" t="n">
        <f aca="false">SUMIFS('Dados Mov Financeira'!$N:$N,'Dados Mov Financeira'!$O:$O,'DRE 2019'!$B136,'Dados Mov Financeira'!$A:$A,'DRE 2019'!S$1)</f>
        <v>0</v>
      </c>
      <c r="T136" s="91" t="n">
        <f aca="false">IFERROR(S136/S$5,0)</f>
        <v>0</v>
      </c>
      <c r="V136" s="75" t="n">
        <f aca="false">SUMIFS('Dados Mov Financeira'!$N:$N,'Dados Mov Financeira'!$O:$O,'DRE 2019'!$B136,'Dados Mov Financeira'!$A:$A,'DRE 2019'!V$1)</f>
        <v>0</v>
      </c>
      <c r="W136" s="91" t="n">
        <f aca="false">IFERROR(V136/V$5,0)</f>
        <v>0</v>
      </c>
      <c r="Y136" s="75" t="n">
        <f aca="false">SUMIFS('Dados Mov Financeira'!$N:$N,'Dados Mov Financeira'!$O:$O,'DRE 2019'!$B136,'Dados Mov Financeira'!$A:$A,'DRE 2019'!Y$1)</f>
        <v>0</v>
      </c>
      <c r="Z136" s="91" t="n">
        <f aca="false">IFERROR(Y136/Y$5,0)</f>
        <v>0</v>
      </c>
      <c r="AB136" s="75" t="n">
        <f aca="false">SUMIFS('Dados Mov Financeira'!$N:$N,'Dados Mov Financeira'!$O:$O,'DRE 2019'!$B136,'Dados Mov Financeira'!$A:$A,'DRE 2019'!AB$1)</f>
        <v>0</v>
      </c>
      <c r="AC136" s="91" t="n">
        <f aca="false">IFERROR(AB136/AB$5,0)</f>
        <v>0</v>
      </c>
      <c r="AE136" s="75" t="n">
        <f aca="false">SUMIFS('Dados Mov Financeira'!$N:$N,'Dados Mov Financeira'!$O:$O,'DRE 2019'!$B136,'Dados Mov Financeira'!$A:$A,'DRE 2019'!AE$1)</f>
        <v>0</v>
      </c>
      <c r="AF136" s="91" t="n">
        <f aca="false">IFERROR(AE136/AE$5,0)</f>
        <v>0</v>
      </c>
      <c r="AH136" s="75" t="n">
        <f aca="false">SUMIFS('Dados Mov Financeira'!$N:$N,'Dados Mov Financeira'!$O:$O,'DRE 2019'!$B136,'Dados Mov Financeira'!$A:$A,'DRE 2019'!AH$1)</f>
        <v>0</v>
      </c>
      <c r="AI136" s="91" t="n">
        <f aca="false">IFERROR(AH136/AH$5,0)</f>
        <v>0</v>
      </c>
      <c r="AK136" s="75" t="n">
        <f aca="false">SUMIFS('Dados Mov Financeira'!$N:$N,'Dados Mov Financeira'!$O:$O,'DRE 2019'!$B136,'Dados Mov Financeira'!$A:$A,'DRE 2019'!AK$1)</f>
        <v>0</v>
      </c>
      <c r="AL136" s="91" t="n">
        <f aca="false">IFERROR(AK136/AK$5,0)</f>
        <v>0</v>
      </c>
      <c r="AN136" s="92" t="n">
        <f aca="false">SUM(D136,G136,J136,M136,P136,S136,V136,Y136,AB136,AE136,AH136,AK136)</f>
        <v>0</v>
      </c>
      <c r="AO136" s="108" t="n">
        <f aca="false">IFERROR(AN136/AN$5,0)</f>
        <v>0</v>
      </c>
      <c r="AQ136" s="93" t="n">
        <f aca="false">AN136/$AR$1</f>
        <v>0</v>
      </c>
      <c r="AR136" s="94" t="n">
        <f aca="false">IFERROR(AQ136/AQ$5,0)</f>
        <v>0</v>
      </c>
      <c r="AT136" s="116"/>
    </row>
    <row r="137" customFormat="false" ht="14.25" hidden="true" customHeight="false" outlineLevel="1" collapsed="false">
      <c r="B137" s="89" t="s">
        <v>154</v>
      </c>
      <c r="D137" s="75" t="n">
        <f aca="false">SUMIFS('Dados Mov Financeira'!$N:$N,'Dados Mov Financeira'!$O:$O,'DRE 2019'!$B137,'Dados Mov Financeira'!$A:$A,'DRE 2019'!D$1)</f>
        <v>0</v>
      </c>
      <c r="E137" s="91" t="n">
        <f aca="false">IFERROR(D137/D$5,0)</f>
        <v>0</v>
      </c>
      <c r="G137" s="75" t="n">
        <f aca="false">SUMIFS('Dados Mov Financeira'!$N:$N,'Dados Mov Financeira'!$O:$O,'DRE 2019'!$B137,'Dados Mov Financeira'!$A:$A,'DRE 2019'!G$1)</f>
        <v>0</v>
      </c>
      <c r="H137" s="91" t="n">
        <f aca="false">IFERROR(G137/G$5,0)</f>
        <v>0</v>
      </c>
      <c r="J137" s="75" t="n">
        <f aca="false">SUMIFS('Dados Mov Financeira'!$N:$N,'Dados Mov Financeira'!$O:$O,'DRE 2019'!$B137,'Dados Mov Financeira'!$A:$A,'DRE 2019'!J$1)</f>
        <v>0</v>
      </c>
      <c r="K137" s="91" t="n">
        <f aca="false">IFERROR(J137/J$5,0)</f>
        <v>0</v>
      </c>
      <c r="M137" s="75" t="n">
        <f aca="false">SUMIFS('Dados Mov Financeira'!$N:$N,'Dados Mov Financeira'!$O:$O,'DRE 2019'!$B137,'Dados Mov Financeira'!$A:$A,'DRE 2019'!M$1)</f>
        <v>0</v>
      </c>
      <c r="N137" s="91" t="n">
        <f aca="false">IFERROR(M137/M$5,0)</f>
        <v>0</v>
      </c>
      <c r="P137" s="75" t="n">
        <f aca="false">SUMIFS('Dados Mov Financeira'!$N:$N,'Dados Mov Financeira'!$O:$O,'DRE 2019'!$B137,'Dados Mov Financeira'!$A:$A,'DRE 2019'!P$1)</f>
        <v>0</v>
      </c>
      <c r="Q137" s="91" t="n">
        <f aca="false">IFERROR(P137/P$5,0)</f>
        <v>0</v>
      </c>
      <c r="S137" s="75" t="n">
        <f aca="false">SUMIFS('Dados Mov Financeira'!$N:$N,'Dados Mov Financeira'!$O:$O,'DRE 2019'!$B137,'Dados Mov Financeira'!$A:$A,'DRE 2019'!S$1)</f>
        <v>0</v>
      </c>
      <c r="T137" s="91" t="n">
        <f aca="false">IFERROR(S137/S$5,0)</f>
        <v>0</v>
      </c>
      <c r="V137" s="75" t="n">
        <f aca="false">SUMIFS('Dados Mov Financeira'!$N:$N,'Dados Mov Financeira'!$O:$O,'DRE 2019'!$B137,'Dados Mov Financeira'!$A:$A,'DRE 2019'!V$1)</f>
        <v>0</v>
      </c>
      <c r="W137" s="91" t="n">
        <f aca="false">IFERROR(V137/V$5,0)</f>
        <v>0</v>
      </c>
      <c r="Y137" s="75" t="n">
        <f aca="false">SUMIFS('Dados Mov Financeira'!$N:$N,'Dados Mov Financeira'!$O:$O,'DRE 2019'!$B137,'Dados Mov Financeira'!$A:$A,'DRE 2019'!Y$1)</f>
        <v>0</v>
      </c>
      <c r="Z137" s="91" t="n">
        <f aca="false">IFERROR(Y137/Y$5,0)</f>
        <v>0</v>
      </c>
      <c r="AB137" s="75" t="n">
        <f aca="false">SUMIFS('Dados Mov Financeira'!$N:$N,'Dados Mov Financeira'!$O:$O,'DRE 2019'!$B137,'Dados Mov Financeira'!$A:$A,'DRE 2019'!AB$1)</f>
        <v>0</v>
      </c>
      <c r="AC137" s="91" t="n">
        <f aca="false">IFERROR(AB137/AB$5,0)</f>
        <v>0</v>
      </c>
      <c r="AE137" s="75" t="n">
        <f aca="false">SUMIFS('Dados Mov Financeira'!$N:$N,'Dados Mov Financeira'!$O:$O,'DRE 2019'!$B137,'Dados Mov Financeira'!$A:$A,'DRE 2019'!AE$1)</f>
        <v>0</v>
      </c>
      <c r="AF137" s="91" t="n">
        <f aca="false">IFERROR(AE137/AE$5,0)</f>
        <v>0</v>
      </c>
      <c r="AH137" s="75" t="n">
        <f aca="false">SUMIFS('Dados Mov Financeira'!$N:$N,'Dados Mov Financeira'!$O:$O,'DRE 2019'!$B137,'Dados Mov Financeira'!$A:$A,'DRE 2019'!AH$1)</f>
        <v>0</v>
      </c>
      <c r="AI137" s="91" t="n">
        <f aca="false">IFERROR(AH137/AH$5,0)</f>
        <v>0</v>
      </c>
      <c r="AK137" s="75" t="n">
        <f aca="false">SUMIFS('Dados Mov Financeira'!$N:$N,'Dados Mov Financeira'!$O:$O,'DRE 2019'!$B137,'Dados Mov Financeira'!$A:$A,'DRE 2019'!AK$1)</f>
        <v>0</v>
      </c>
      <c r="AL137" s="91" t="n">
        <f aca="false">IFERROR(AK137/AK$5,0)</f>
        <v>0</v>
      </c>
      <c r="AN137" s="92" t="n">
        <f aca="false">SUM(D137,G137,J137,M137,P137,S137,V137,Y137,AB137,AE137,AH137,AK137)</f>
        <v>0</v>
      </c>
      <c r="AO137" s="108" t="n">
        <f aca="false">IFERROR(AN137/AN$5,0)</f>
        <v>0</v>
      </c>
      <c r="AQ137" s="93" t="n">
        <f aca="false">AN137/$AR$1</f>
        <v>0</v>
      </c>
      <c r="AR137" s="94" t="n">
        <f aca="false">IFERROR(AQ137/AQ$5,0)</f>
        <v>0</v>
      </c>
      <c r="AT137" s="116"/>
    </row>
    <row r="138" customFormat="false" ht="14.25" hidden="true" customHeight="false" outlineLevel="1" collapsed="false">
      <c r="B138" s="89" t="s">
        <v>155</v>
      </c>
      <c r="D138" s="75" t="n">
        <f aca="false">SUMIFS('Dados Mov Financeira'!$N:$N,'Dados Mov Financeira'!$O:$O,'DRE 2019'!$B138,'Dados Mov Financeira'!$A:$A,'DRE 2019'!D$1)</f>
        <v>0</v>
      </c>
      <c r="E138" s="91" t="n">
        <f aca="false">IFERROR(D138/D$5,0)</f>
        <v>0</v>
      </c>
      <c r="G138" s="75" t="n">
        <f aca="false">SUMIFS('Dados Mov Financeira'!$N:$N,'Dados Mov Financeira'!$O:$O,'DRE 2019'!$B138,'Dados Mov Financeira'!$A:$A,'DRE 2019'!G$1)</f>
        <v>0</v>
      </c>
      <c r="H138" s="91" t="n">
        <f aca="false">IFERROR(G138/G$5,0)</f>
        <v>0</v>
      </c>
      <c r="J138" s="75" t="n">
        <f aca="false">SUMIFS('Dados Mov Financeira'!$N:$N,'Dados Mov Financeira'!$O:$O,'DRE 2019'!$B138,'Dados Mov Financeira'!$A:$A,'DRE 2019'!J$1)</f>
        <v>0</v>
      </c>
      <c r="K138" s="91" t="n">
        <f aca="false">IFERROR(J138/J$5,0)</f>
        <v>0</v>
      </c>
      <c r="M138" s="75" t="n">
        <f aca="false">SUMIFS('Dados Mov Financeira'!$N:$N,'Dados Mov Financeira'!$O:$O,'DRE 2019'!$B138,'Dados Mov Financeira'!$A:$A,'DRE 2019'!M$1)</f>
        <v>0</v>
      </c>
      <c r="N138" s="91" t="n">
        <f aca="false">IFERROR(M138/M$5,0)</f>
        <v>0</v>
      </c>
      <c r="P138" s="75" t="n">
        <f aca="false">SUMIFS('Dados Mov Financeira'!$N:$N,'Dados Mov Financeira'!$O:$O,'DRE 2019'!$B138,'Dados Mov Financeira'!$A:$A,'DRE 2019'!P$1)</f>
        <v>0</v>
      </c>
      <c r="Q138" s="91" t="n">
        <f aca="false">IFERROR(P138/P$5,0)</f>
        <v>0</v>
      </c>
      <c r="S138" s="75" t="n">
        <f aca="false">SUMIFS('Dados Mov Financeira'!$N:$N,'Dados Mov Financeira'!$O:$O,'DRE 2019'!$B138,'Dados Mov Financeira'!$A:$A,'DRE 2019'!S$1)</f>
        <v>0</v>
      </c>
      <c r="T138" s="91" t="n">
        <f aca="false">IFERROR(S138/S$5,0)</f>
        <v>0</v>
      </c>
      <c r="V138" s="75" t="n">
        <f aca="false">SUMIFS('Dados Mov Financeira'!$N:$N,'Dados Mov Financeira'!$O:$O,'DRE 2019'!$B138,'Dados Mov Financeira'!$A:$A,'DRE 2019'!V$1)</f>
        <v>0</v>
      </c>
      <c r="W138" s="91" t="n">
        <f aca="false">IFERROR(V138/V$5,0)</f>
        <v>0</v>
      </c>
      <c r="Y138" s="75" t="n">
        <f aca="false">SUMIFS('Dados Mov Financeira'!$N:$N,'Dados Mov Financeira'!$O:$O,'DRE 2019'!$B138,'Dados Mov Financeira'!$A:$A,'DRE 2019'!Y$1)</f>
        <v>0</v>
      </c>
      <c r="Z138" s="91" t="n">
        <f aca="false">IFERROR(Y138/Y$5,0)</f>
        <v>0</v>
      </c>
      <c r="AB138" s="75" t="n">
        <f aca="false">SUMIFS('Dados Mov Financeira'!$N:$N,'Dados Mov Financeira'!$O:$O,'DRE 2019'!$B138,'Dados Mov Financeira'!$A:$A,'DRE 2019'!AB$1)</f>
        <v>0</v>
      </c>
      <c r="AC138" s="91" t="n">
        <f aca="false">IFERROR(AB138/AB$5,0)</f>
        <v>0</v>
      </c>
      <c r="AE138" s="75" t="n">
        <f aca="false">SUMIFS('Dados Mov Financeira'!$N:$N,'Dados Mov Financeira'!$O:$O,'DRE 2019'!$B138,'Dados Mov Financeira'!$A:$A,'DRE 2019'!AE$1)</f>
        <v>0</v>
      </c>
      <c r="AF138" s="91" t="n">
        <f aca="false">IFERROR(AE138/AE$5,0)</f>
        <v>0</v>
      </c>
      <c r="AH138" s="75" t="n">
        <f aca="false">SUMIFS('Dados Mov Financeira'!$N:$N,'Dados Mov Financeira'!$O:$O,'DRE 2019'!$B138,'Dados Mov Financeira'!$A:$A,'DRE 2019'!AH$1)</f>
        <v>0</v>
      </c>
      <c r="AI138" s="91" t="n">
        <f aca="false">IFERROR(AH138/AH$5,0)</f>
        <v>0</v>
      </c>
      <c r="AK138" s="75" t="n">
        <f aca="false">SUMIFS('Dados Mov Financeira'!$N:$N,'Dados Mov Financeira'!$O:$O,'DRE 2019'!$B138,'Dados Mov Financeira'!$A:$A,'DRE 2019'!AK$1)</f>
        <v>0</v>
      </c>
      <c r="AL138" s="91" t="n">
        <f aca="false">IFERROR(AK138/AK$5,0)</f>
        <v>0</v>
      </c>
      <c r="AN138" s="92" t="n">
        <f aca="false">SUM(D138,G138,J138,M138,P138,S138,V138,Y138,AB138,AE138,AH138,AK138)</f>
        <v>0</v>
      </c>
      <c r="AO138" s="108" t="n">
        <f aca="false">IFERROR(AN138/AN$5,0)</f>
        <v>0</v>
      </c>
      <c r="AQ138" s="93" t="n">
        <f aca="false">AN138/$AR$1</f>
        <v>0</v>
      </c>
      <c r="AR138" s="94" t="n">
        <f aca="false">IFERROR(AQ138/AQ$5,0)</f>
        <v>0</v>
      </c>
      <c r="AT138" s="116"/>
    </row>
    <row r="139" customFormat="false" ht="14.25" hidden="true" customHeight="false" outlineLevel="1" collapsed="false">
      <c r="B139" s="89" t="s">
        <v>156</v>
      </c>
      <c r="D139" s="75" t="n">
        <f aca="false">SUMIFS('Dados Mov Financeira'!$N:$N,'Dados Mov Financeira'!$O:$O,'DRE 2019'!$B139,'Dados Mov Financeira'!$A:$A,'DRE 2019'!D$1)</f>
        <v>0</v>
      </c>
      <c r="E139" s="91" t="n">
        <f aca="false">IFERROR(D139/D$5,0)</f>
        <v>0</v>
      </c>
      <c r="G139" s="75" t="n">
        <f aca="false">SUMIFS('Dados Mov Financeira'!$N:$N,'Dados Mov Financeira'!$O:$O,'DRE 2019'!$B139,'Dados Mov Financeira'!$A:$A,'DRE 2019'!G$1)</f>
        <v>0</v>
      </c>
      <c r="H139" s="91" t="n">
        <f aca="false">IFERROR(G139/G$5,0)</f>
        <v>0</v>
      </c>
      <c r="J139" s="75" t="n">
        <f aca="false">SUMIFS('Dados Mov Financeira'!$N:$N,'Dados Mov Financeira'!$O:$O,'DRE 2019'!$B139,'Dados Mov Financeira'!$A:$A,'DRE 2019'!J$1)</f>
        <v>0</v>
      </c>
      <c r="K139" s="91" t="n">
        <f aca="false">IFERROR(J139/J$5,0)</f>
        <v>0</v>
      </c>
      <c r="M139" s="75" t="n">
        <f aca="false">SUMIFS('Dados Mov Financeira'!$N:$N,'Dados Mov Financeira'!$O:$O,'DRE 2019'!$B139,'Dados Mov Financeira'!$A:$A,'DRE 2019'!M$1)</f>
        <v>0</v>
      </c>
      <c r="N139" s="91" t="n">
        <f aca="false">IFERROR(M139/M$5,0)</f>
        <v>0</v>
      </c>
      <c r="P139" s="75" t="n">
        <f aca="false">SUMIFS('Dados Mov Financeira'!$N:$N,'Dados Mov Financeira'!$O:$O,'DRE 2019'!$B139,'Dados Mov Financeira'!$A:$A,'DRE 2019'!P$1)</f>
        <v>0</v>
      </c>
      <c r="Q139" s="91" t="n">
        <f aca="false">IFERROR(P139/P$5,0)</f>
        <v>0</v>
      </c>
      <c r="S139" s="75" t="n">
        <f aca="false">SUMIFS('Dados Mov Financeira'!$N:$N,'Dados Mov Financeira'!$O:$O,'DRE 2019'!$B139,'Dados Mov Financeira'!$A:$A,'DRE 2019'!S$1)</f>
        <v>0</v>
      </c>
      <c r="T139" s="91" t="n">
        <f aca="false">IFERROR(S139/S$5,0)</f>
        <v>0</v>
      </c>
      <c r="V139" s="75" t="n">
        <f aca="false">SUMIFS('Dados Mov Financeira'!$N:$N,'Dados Mov Financeira'!$O:$O,'DRE 2019'!$B139,'Dados Mov Financeira'!$A:$A,'DRE 2019'!V$1)</f>
        <v>0</v>
      </c>
      <c r="W139" s="91" t="n">
        <f aca="false">IFERROR(V139/V$5,0)</f>
        <v>0</v>
      </c>
      <c r="Y139" s="75" t="n">
        <f aca="false">SUMIFS('Dados Mov Financeira'!$N:$N,'Dados Mov Financeira'!$O:$O,'DRE 2019'!$B139,'Dados Mov Financeira'!$A:$A,'DRE 2019'!Y$1)</f>
        <v>0</v>
      </c>
      <c r="Z139" s="91" t="n">
        <f aca="false">IFERROR(Y139/Y$5,0)</f>
        <v>0</v>
      </c>
      <c r="AB139" s="75" t="n">
        <f aca="false">SUMIFS('Dados Mov Financeira'!$N:$N,'Dados Mov Financeira'!$O:$O,'DRE 2019'!$B139,'Dados Mov Financeira'!$A:$A,'DRE 2019'!AB$1)</f>
        <v>0</v>
      </c>
      <c r="AC139" s="91" t="n">
        <f aca="false">IFERROR(AB139/AB$5,0)</f>
        <v>0</v>
      </c>
      <c r="AE139" s="75" t="n">
        <f aca="false">SUMIFS('Dados Mov Financeira'!$N:$N,'Dados Mov Financeira'!$O:$O,'DRE 2019'!$B139,'Dados Mov Financeira'!$A:$A,'DRE 2019'!AE$1)</f>
        <v>0</v>
      </c>
      <c r="AF139" s="91" t="n">
        <f aca="false">IFERROR(AE139/AE$5,0)</f>
        <v>0</v>
      </c>
      <c r="AH139" s="75" t="n">
        <f aca="false">SUMIFS('Dados Mov Financeira'!$N:$N,'Dados Mov Financeira'!$O:$O,'DRE 2019'!$B139,'Dados Mov Financeira'!$A:$A,'DRE 2019'!AH$1)</f>
        <v>0</v>
      </c>
      <c r="AI139" s="91" t="n">
        <f aca="false">IFERROR(AH139/AH$5,0)</f>
        <v>0</v>
      </c>
      <c r="AK139" s="75" t="n">
        <f aca="false">SUMIFS('Dados Mov Financeira'!$N:$N,'Dados Mov Financeira'!$O:$O,'DRE 2019'!$B139,'Dados Mov Financeira'!$A:$A,'DRE 2019'!AK$1)</f>
        <v>0</v>
      </c>
      <c r="AL139" s="91" t="n">
        <f aca="false">IFERROR(AK139/AK$5,0)</f>
        <v>0</v>
      </c>
      <c r="AN139" s="92" t="n">
        <f aca="false">SUM(D139,G139,J139,M139,P139,S139,V139,Y139,AB139,AE139,AH139,AK139)</f>
        <v>0</v>
      </c>
      <c r="AO139" s="108" t="n">
        <f aca="false">IFERROR(AN139/AN$5,0)</f>
        <v>0</v>
      </c>
      <c r="AQ139" s="93" t="n">
        <f aca="false">AN139/$AR$1</f>
        <v>0</v>
      </c>
      <c r="AR139" s="94" t="n">
        <f aca="false">IFERROR(AQ139/AQ$5,0)</f>
        <v>0</v>
      </c>
      <c r="AT139" s="116"/>
    </row>
    <row r="140" customFormat="false" ht="14.25" hidden="true" customHeight="false" outlineLevel="1" collapsed="false">
      <c r="B140" s="89" t="s">
        <v>157</v>
      </c>
      <c r="D140" s="75" t="n">
        <f aca="false">SUMIFS('Dados Mov Financeira'!$N:$N,'Dados Mov Financeira'!$O:$O,'DRE 2019'!$B140,'Dados Mov Financeira'!$A:$A,'DRE 2019'!D$1)</f>
        <v>0</v>
      </c>
      <c r="E140" s="91" t="n">
        <f aca="false">IFERROR(D140/D$5,0)</f>
        <v>0</v>
      </c>
      <c r="G140" s="75" t="n">
        <f aca="false">SUMIFS('Dados Mov Financeira'!$N:$N,'Dados Mov Financeira'!$O:$O,'DRE 2019'!$B140,'Dados Mov Financeira'!$A:$A,'DRE 2019'!G$1)</f>
        <v>0</v>
      </c>
      <c r="H140" s="91" t="n">
        <f aca="false">IFERROR(G140/G$5,0)</f>
        <v>0</v>
      </c>
      <c r="J140" s="75" t="n">
        <f aca="false">SUMIFS('Dados Mov Financeira'!$N:$N,'Dados Mov Financeira'!$O:$O,'DRE 2019'!$B140,'Dados Mov Financeira'!$A:$A,'DRE 2019'!J$1)</f>
        <v>0</v>
      </c>
      <c r="K140" s="91" t="n">
        <f aca="false">IFERROR(J140/J$5,0)</f>
        <v>0</v>
      </c>
      <c r="M140" s="75" t="n">
        <f aca="false">SUMIFS('Dados Mov Financeira'!$N:$N,'Dados Mov Financeira'!$O:$O,'DRE 2019'!$B140,'Dados Mov Financeira'!$A:$A,'DRE 2019'!M$1)</f>
        <v>0</v>
      </c>
      <c r="N140" s="91" t="n">
        <f aca="false">IFERROR(M140/M$5,0)</f>
        <v>0</v>
      </c>
      <c r="P140" s="75" t="n">
        <f aca="false">SUMIFS('Dados Mov Financeira'!$N:$N,'Dados Mov Financeira'!$O:$O,'DRE 2019'!$B140,'Dados Mov Financeira'!$A:$A,'DRE 2019'!P$1)</f>
        <v>0</v>
      </c>
      <c r="Q140" s="91" t="n">
        <f aca="false">IFERROR(P140/P$5,0)</f>
        <v>0</v>
      </c>
      <c r="S140" s="75" t="n">
        <f aca="false">SUMIFS('Dados Mov Financeira'!$N:$N,'Dados Mov Financeira'!$O:$O,'DRE 2019'!$B140,'Dados Mov Financeira'!$A:$A,'DRE 2019'!S$1)</f>
        <v>0</v>
      </c>
      <c r="T140" s="91" t="n">
        <f aca="false">IFERROR(S140/S$5,0)</f>
        <v>0</v>
      </c>
      <c r="V140" s="75" t="n">
        <f aca="false">SUMIFS('Dados Mov Financeira'!$N:$N,'Dados Mov Financeira'!$O:$O,'DRE 2019'!$B140,'Dados Mov Financeira'!$A:$A,'DRE 2019'!V$1)</f>
        <v>0</v>
      </c>
      <c r="W140" s="91" t="n">
        <f aca="false">IFERROR(V140/V$5,0)</f>
        <v>0</v>
      </c>
      <c r="Y140" s="75" t="n">
        <f aca="false">SUMIFS('Dados Mov Financeira'!$N:$N,'Dados Mov Financeira'!$O:$O,'DRE 2019'!$B140,'Dados Mov Financeira'!$A:$A,'DRE 2019'!Y$1)</f>
        <v>0</v>
      </c>
      <c r="Z140" s="91" t="n">
        <f aca="false">IFERROR(Y140/Y$5,0)</f>
        <v>0</v>
      </c>
      <c r="AB140" s="75" t="n">
        <f aca="false">SUMIFS('Dados Mov Financeira'!$N:$N,'Dados Mov Financeira'!$O:$O,'DRE 2019'!$B140,'Dados Mov Financeira'!$A:$A,'DRE 2019'!AB$1)</f>
        <v>0</v>
      </c>
      <c r="AC140" s="91" t="n">
        <f aca="false">IFERROR(AB140/AB$5,0)</f>
        <v>0</v>
      </c>
      <c r="AE140" s="75" t="n">
        <f aca="false">SUMIFS('Dados Mov Financeira'!$N:$N,'Dados Mov Financeira'!$O:$O,'DRE 2019'!$B140,'Dados Mov Financeira'!$A:$A,'DRE 2019'!AE$1)</f>
        <v>0</v>
      </c>
      <c r="AF140" s="91" t="n">
        <f aca="false">IFERROR(AE140/AE$5,0)</f>
        <v>0</v>
      </c>
      <c r="AH140" s="75" t="n">
        <f aca="false">SUMIFS('Dados Mov Financeira'!$N:$N,'Dados Mov Financeira'!$O:$O,'DRE 2019'!$B140,'Dados Mov Financeira'!$A:$A,'DRE 2019'!AH$1)</f>
        <v>0</v>
      </c>
      <c r="AI140" s="91" t="n">
        <f aca="false">IFERROR(AH140/AH$5,0)</f>
        <v>0</v>
      </c>
      <c r="AK140" s="75" t="n">
        <f aca="false">SUMIFS('Dados Mov Financeira'!$N:$N,'Dados Mov Financeira'!$O:$O,'DRE 2019'!$B140,'Dados Mov Financeira'!$A:$A,'DRE 2019'!AK$1)</f>
        <v>0</v>
      </c>
      <c r="AL140" s="91" t="n">
        <f aca="false">IFERROR(AK140/AK$5,0)</f>
        <v>0</v>
      </c>
      <c r="AN140" s="92" t="n">
        <f aca="false">SUM(D140,G140,J140,M140,P140,S140,V140,Y140,AB140,AE140,AH140,AK140)</f>
        <v>0</v>
      </c>
      <c r="AO140" s="108" t="n">
        <f aca="false">IFERROR(AN140/AN$5,0)</f>
        <v>0</v>
      </c>
      <c r="AQ140" s="93" t="n">
        <f aca="false">AN140/$AR$1</f>
        <v>0</v>
      </c>
      <c r="AR140" s="94" t="n">
        <f aca="false">IFERROR(AQ140/AQ$5,0)</f>
        <v>0</v>
      </c>
      <c r="AT140" s="116"/>
    </row>
    <row r="141" customFormat="false" ht="14.25" hidden="true" customHeight="false" outlineLevel="1" collapsed="false">
      <c r="B141" s="89" t="s">
        <v>158</v>
      </c>
      <c r="D141" s="75" t="n">
        <f aca="false">SUMIFS('Dados Mov Financeira'!$N:$N,'Dados Mov Financeira'!$O:$O,'DRE 2019'!$B141,'Dados Mov Financeira'!$A:$A,'DRE 2019'!D$1)</f>
        <v>0</v>
      </c>
      <c r="E141" s="91" t="n">
        <f aca="false">IFERROR(D141/D$5,0)</f>
        <v>0</v>
      </c>
      <c r="G141" s="75" t="n">
        <f aca="false">SUMIFS('Dados Mov Financeira'!$N:$N,'Dados Mov Financeira'!$O:$O,'DRE 2019'!$B141,'Dados Mov Financeira'!$A:$A,'DRE 2019'!G$1)</f>
        <v>0</v>
      </c>
      <c r="H141" s="91" t="n">
        <f aca="false">IFERROR(G141/G$5,0)</f>
        <v>0</v>
      </c>
      <c r="J141" s="75" t="n">
        <f aca="false">SUMIFS('Dados Mov Financeira'!$N:$N,'Dados Mov Financeira'!$O:$O,'DRE 2019'!$B141,'Dados Mov Financeira'!$A:$A,'DRE 2019'!J$1)</f>
        <v>0</v>
      </c>
      <c r="K141" s="91" t="n">
        <f aca="false">IFERROR(J141/J$5,0)</f>
        <v>0</v>
      </c>
      <c r="M141" s="75" t="n">
        <f aca="false">SUMIFS('Dados Mov Financeira'!$N:$N,'Dados Mov Financeira'!$O:$O,'DRE 2019'!$B141,'Dados Mov Financeira'!$A:$A,'DRE 2019'!M$1)</f>
        <v>0</v>
      </c>
      <c r="N141" s="91" t="n">
        <f aca="false">IFERROR(M141/M$5,0)</f>
        <v>0</v>
      </c>
      <c r="P141" s="75" t="n">
        <f aca="false">SUMIFS('Dados Mov Financeira'!$N:$N,'Dados Mov Financeira'!$O:$O,'DRE 2019'!$B141,'Dados Mov Financeira'!$A:$A,'DRE 2019'!P$1)</f>
        <v>0</v>
      </c>
      <c r="Q141" s="91" t="n">
        <f aca="false">IFERROR(P141/P$5,0)</f>
        <v>0</v>
      </c>
      <c r="S141" s="75" t="n">
        <f aca="false">SUMIFS('Dados Mov Financeira'!$N:$N,'Dados Mov Financeira'!$O:$O,'DRE 2019'!$B141,'Dados Mov Financeira'!$A:$A,'DRE 2019'!S$1)</f>
        <v>0</v>
      </c>
      <c r="T141" s="91" t="n">
        <f aca="false">IFERROR(S141/S$5,0)</f>
        <v>0</v>
      </c>
      <c r="V141" s="75" t="n">
        <f aca="false">SUMIFS('Dados Mov Financeira'!$N:$N,'Dados Mov Financeira'!$O:$O,'DRE 2019'!$B141,'Dados Mov Financeira'!$A:$A,'DRE 2019'!V$1)</f>
        <v>0</v>
      </c>
      <c r="W141" s="91" t="n">
        <f aca="false">IFERROR(V141/V$5,0)</f>
        <v>0</v>
      </c>
      <c r="Y141" s="75" t="n">
        <f aca="false">SUMIFS('Dados Mov Financeira'!$N:$N,'Dados Mov Financeira'!$O:$O,'DRE 2019'!$B141,'Dados Mov Financeira'!$A:$A,'DRE 2019'!Y$1)</f>
        <v>0</v>
      </c>
      <c r="Z141" s="91" t="n">
        <f aca="false">IFERROR(Y141/Y$5,0)</f>
        <v>0</v>
      </c>
      <c r="AB141" s="75" t="n">
        <f aca="false">SUMIFS('Dados Mov Financeira'!$N:$N,'Dados Mov Financeira'!$O:$O,'DRE 2019'!$B141,'Dados Mov Financeira'!$A:$A,'DRE 2019'!AB$1)</f>
        <v>0</v>
      </c>
      <c r="AC141" s="91" t="n">
        <f aca="false">IFERROR(AB141/AB$5,0)</f>
        <v>0</v>
      </c>
      <c r="AE141" s="75" t="n">
        <f aca="false">SUMIFS('Dados Mov Financeira'!$N:$N,'Dados Mov Financeira'!$O:$O,'DRE 2019'!$B141,'Dados Mov Financeira'!$A:$A,'DRE 2019'!AE$1)</f>
        <v>0</v>
      </c>
      <c r="AF141" s="91" t="n">
        <f aca="false">IFERROR(AE141/AE$5,0)</f>
        <v>0</v>
      </c>
      <c r="AH141" s="75" t="n">
        <f aca="false">SUMIFS('Dados Mov Financeira'!$N:$N,'Dados Mov Financeira'!$O:$O,'DRE 2019'!$B141,'Dados Mov Financeira'!$A:$A,'DRE 2019'!AH$1)</f>
        <v>0</v>
      </c>
      <c r="AI141" s="91" t="n">
        <f aca="false">IFERROR(AH141/AH$5,0)</f>
        <v>0</v>
      </c>
      <c r="AK141" s="75" t="n">
        <f aca="false">SUMIFS('Dados Mov Financeira'!$N:$N,'Dados Mov Financeira'!$O:$O,'DRE 2019'!$B141,'Dados Mov Financeira'!$A:$A,'DRE 2019'!AK$1)</f>
        <v>0</v>
      </c>
      <c r="AL141" s="91" t="n">
        <f aca="false">IFERROR(AK141/AK$5,0)</f>
        <v>0</v>
      </c>
      <c r="AN141" s="92" t="n">
        <f aca="false">SUM(D141,G141,J141,M141,P141,S141,V141,Y141,AB141,AE141,AH141,AK141)</f>
        <v>0</v>
      </c>
      <c r="AO141" s="108" t="n">
        <f aca="false">IFERROR(AN141/AN$5,0)</f>
        <v>0</v>
      </c>
      <c r="AQ141" s="93" t="n">
        <f aca="false">AN141/$AR$1</f>
        <v>0</v>
      </c>
      <c r="AR141" s="94" t="n">
        <f aca="false">IFERROR(AQ141/AQ$5,0)</f>
        <v>0</v>
      </c>
      <c r="AT141" s="116"/>
    </row>
    <row r="142" customFormat="false" ht="15.75" hidden="true" customHeight="true" outlineLevel="1" collapsed="false">
      <c r="B142" s="89" t="s">
        <v>159</v>
      </c>
      <c r="D142" s="75" t="n">
        <f aca="false">SUMIFS('Dados Mov Financeira'!$N:$N,'Dados Mov Financeira'!$O:$O,'DRE 2019'!$B142,'Dados Mov Financeira'!$A:$A,'DRE 2019'!D$1)</f>
        <v>0</v>
      </c>
      <c r="E142" s="91" t="n">
        <f aca="false">IFERROR(D142/D$5,0)</f>
        <v>0</v>
      </c>
      <c r="G142" s="75" t="n">
        <f aca="false">SUMIFS('Dados Mov Financeira'!$N:$N,'Dados Mov Financeira'!$O:$O,'DRE 2019'!$B142,'Dados Mov Financeira'!$A:$A,'DRE 2019'!G$1)</f>
        <v>0</v>
      </c>
      <c r="H142" s="91" t="n">
        <f aca="false">IFERROR(G142/G$5,0)</f>
        <v>0</v>
      </c>
      <c r="J142" s="75" t="n">
        <f aca="false">SUMIFS('Dados Mov Financeira'!$N:$N,'Dados Mov Financeira'!$O:$O,'DRE 2019'!$B142,'Dados Mov Financeira'!$A:$A,'DRE 2019'!J$1)</f>
        <v>0</v>
      </c>
      <c r="K142" s="91" t="n">
        <f aca="false">IFERROR(J142/J$5,0)</f>
        <v>0</v>
      </c>
      <c r="M142" s="75" t="n">
        <f aca="false">SUMIFS('Dados Mov Financeira'!$N:$N,'Dados Mov Financeira'!$O:$O,'DRE 2019'!$B142,'Dados Mov Financeira'!$A:$A,'DRE 2019'!M$1)</f>
        <v>0</v>
      </c>
      <c r="N142" s="91" t="n">
        <f aca="false">IFERROR(M142/M$5,0)</f>
        <v>0</v>
      </c>
      <c r="P142" s="75" t="n">
        <f aca="false">SUMIFS('Dados Mov Financeira'!$N:$N,'Dados Mov Financeira'!$O:$O,'DRE 2019'!$B142,'Dados Mov Financeira'!$A:$A,'DRE 2019'!P$1)</f>
        <v>0</v>
      </c>
      <c r="Q142" s="91" t="n">
        <f aca="false">IFERROR(P142/P$5,0)</f>
        <v>0</v>
      </c>
      <c r="S142" s="75" t="n">
        <f aca="false">SUMIFS('Dados Mov Financeira'!$N:$N,'Dados Mov Financeira'!$O:$O,'DRE 2019'!$B142,'Dados Mov Financeira'!$A:$A,'DRE 2019'!S$1)</f>
        <v>0</v>
      </c>
      <c r="T142" s="91" t="n">
        <f aca="false">IFERROR(S142/S$5,0)</f>
        <v>0</v>
      </c>
      <c r="V142" s="75" t="n">
        <f aca="false">SUMIFS('Dados Mov Financeira'!$N:$N,'Dados Mov Financeira'!$O:$O,'DRE 2019'!$B142,'Dados Mov Financeira'!$A:$A,'DRE 2019'!V$1)</f>
        <v>0</v>
      </c>
      <c r="W142" s="91" t="n">
        <f aca="false">IFERROR(V142/V$5,0)</f>
        <v>0</v>
      </c>
      <c r="Y142" s="75" t="n">
        <f aca="false">SUMIFS('Dados Mov Financeira'!$N:$N,'Dados Mov Financeira'!$O:$O,'DRE 2019'!$B142,'Dados Mov Financeira'!$A:$A,'DRE 2019'!Y$1)</f>
        <v>0</v>
      </c>
      <c r="Z142" s="91" t="n">
        <f aca="false">IFERROR(Y142/Y$5,0)</f>
        <v>0</v>
      </c>
      <c r="AB142" s="75" t="n">
        <f aca="false">SUMIFS('Dados Mov Financeira'!$N:$N,'Dados Mov Financeira'!$O:$O,'DRE 2019'!$B142,'Dados Mov Financeira'!$A:$A,'DRE 2019'!AB$1)</f>
        <v>0</v>
      </c>
      <c r="AC142" s="91" t="n">
        <f aca="false">IFERROR(AB142/AB$5,0)</f>
        <v>0</v>
      </c>
      <c r="AE142" s="75" t="n">
        <f aca="false">SUMIFS('Dados Mov Financeira'!$N:$N,'Dados Mov Financeira'!$O:$O,'DRE 2019'!$B142,'Dados Mov Financeira'!$A:$A,'DRE 2019'!AE$1)</f>
        <v>0</v>
      </c>
      <c r="AF142" s="91" t="n">
        <f aca="false">IFERROR(AE142/AE$5,0)</f>
        <v>0</v>
      </c>
      <c r="AH142" s="75" t="n">
        <f aca="false">SUMIFS('Dados Mov Financeira'!$N:$N,'Dados Mov Financeira'!$O:$O,'DRE 2019'!$B142,'Dados Mov Financeira'!$A:$A,'DRE 2019'!AH$1)</f>
        <v>0</v>
      </c>
      <c r="AI142" s="91" t="n">
        <f aca="false">IFERROR(AH142/AH$5,0)</f>
        <v>0</v>
      </c>
      <c r="AK142" s="75" t="n">
        <f aca="false">SUMIFS('Dados Mov Financeira'!$N:$N,'Dados Mov Financeira'!$O:$O,'DRE 2019'!$B142,'Dados Mov Financeira'!$A:$A,'DRE 2019'!AK$1)</f>
        <v>0</v>
      </c>
      <c r="AL142" s="91" t="n">
        <f aca="false">IFERROR(AK142/AK$5,0)</f>
        <v>0</v>
      </c>
      <c r="AN142" s="92" t="n">
        <f aca="false">SUM(D142,G142,J142,M142,P142,S142,V142,Y142,AB142,AE142,AH142,AK142)</f>
        <v>0</v>
      </c>
      <c r="AO142" s="91" t="n">
        <f aca="false">IFERROR(AN142/AN$5,0)</f>
        <v>0</v>
      </c>
      <c r="AQ142" s="93" t="n">
        <f aca="false">AN142/$AR$1</f>
        <v>0</v>
      </c>
      <c r="AR142" s="94" t="n">
        <f aca="false">IFERROR(AQ142/AQ$5,0)</f>
        <v>0</v>
      </c>
      <c r="AT142" s="116"/>
    </row>
    <row r="143" customFormat="false" ht="14.25" hidden="true" customHeight="false" outlineLevel="1" collapsed="false">
      <c r="B143" s="89" t="s">
        <v>160</v>
      </c>
      <c r="D143" s="75" t="n">
        <f aca="false">SUMIFS('Dados Mov Financeira'!$N:$N,'Dados Mov Financeira'!$O:$O,'DRE 2019'!$B143,'Dados Mov Financeira'!$A:$A,'DRE 2019'!D$1)</f>
        <v>0</v>
      </c>
      <c r="E143" s="91" t="n">
        <f aca="false">IFERROR(D143/D$5,0)</f>
        <v>0</v>
      </c>
      <c r="G143" s="75" t="n">
        <f aca="false">SUMIFS('Dados Mov Financeira'!$N:$N,'Dados Mov Financeira'!$O:$O,'DRE 2019'!$B143,'Dados Mov Financeira'!$A:$A,'DRE 2019'!G$1)</f>
        <v>0</v>
      </c>
      <c r="H143" s="91" t="n">
        <f aca="false">IFERROR(G143/G$5,0)</f>
        <v>0</v>
      </c>
      <c r="J143" s="75" t="n">
        <f aca="false">SUMIFS('Dados Mov Financeira'!$N:$N,'Dados Mov Financeira'!$O:$O,'DRE 2019'!$B143,'Dados Mov Financeira'!$A:$A,'DRE 2019'!J$1)</f>
        <v>0</v>
      </c>
      <c r="K143" s="91" t="n">
        <f aca="false">IFERROR(J143/J$5,0)</f>
        <v>0</v>
      </c>
      <c r="M143" s="75" t="n">
        <f aca="false">SUMIFS('Dados Mov Financeira'!$N:$N,'Dados Mov Financeira'!$O:$O,'DRE 2019'!$B143,'Dados Mov Financeira'!$A:$A,'DRE 2019'!M$1)</f>
        <v>0</v>
      </c>
      <c r="N143" s="91" t="n">
        <f aca="false">IFERROR(M143/M$5,0)</f>
        <v>0</v>
      </c>
      <c r="P143" s="75" t="n">
        <f aca="false">SUMIFS('Dados Mov Financeira'!$N:$N,'Dados Mov Financeira'!$O:$O,'DRE 2019'!$B143,'Dados Mov Financeira'!$A:$A,'DRE 2019'!P$1)</f>
        <v>0</v>
      </c>
      <c r="Q143" s="91" t="n">
        <f aca="false">IFERROR(P143/P$5,0)</f>
        <v>0</v>
      </c>
      <c r="S143" s="75" t="n">
        <f aca="false">SUMIFS('Dados Mov Financeira'!$N:$N,'Dados Mov Financeira'!$O:$O,'DRE 2019'!$B143,'Dados Mov Financeira'!$A:$A,'DRE 2019'!S$1)</f>
        <v>0</v>
      </c>
      <c r="T143" s="91" t="n">
        <f aca="false">IFERROR(S143/S$5,0)</f>
        <v>0</v>
      </c>
      <c r="V143" s="75" t="n">
        <f aca="false">SUMIFS('Dados Mov Financeira'!$N:$N,'Dados Mov Financeira'!$O:$O,'DRE 2019'!$B143,'Dados Mov Financeira'!$A:$A,'DRE 2019'!V$1)</f>
        <v>0</v>
      </c>
      <c r="W143" s="91" t="n">
        <f aca="false">IFERROR(V143/V$5,0)</f>
        <v>0</v>
      </c>
      <c r="Y143" s="75" t="n">
        <f aca="false">SUMIFS('Dados Mov Financeira'!$N:$N,'Dados Mov Financeira'!$O:$O,'DRE 2019'!$B143,'Dados Mov Financeira'!$A:$A,'DRE 2019'!Y$1)</f>
        <v>0</v>
      </c>
      <c r="Z143" s="91" t="n">
        <f aca="false">IFERROR(Y143/Y$5,0)</f>
        <v>0</v>
      </c>
      <c r="AB143" s="75" t="n">
        <f aca="false">SUMIFS('Dados Mov Financeira'!$N:$N,'Dados Mov Financeira'!$O:$O,'DRE 2019'!$B143,'Dados Mov Financeira'!$A:$A,'DRE 2019'!AB$1)</f>
        <v>0</v>
      </c>
      <c r="AC143" s="91" t="n">
        <f aca="false">IFERROR(AB143/AB$5,0)</f>
        <v>0</v>
      </c>
      <c r="AE143" s="75" t="n">
        <f aca="false">SUMIFS('Dados Mov Financeira'!$N:$N,'Dados Mov Financeira'!$O:$O,'DRE 2019'!$B143,'Dados Mov Financeira'!$A:$A,'DRE 2019'!AE$1)</f>
        <v>0</v>
      </c>
      <c r="AF143" s="91" t="n">
        <f aca="false">IFERROR(AE143/AE$5,0)</f>
        <v>0</v>
      </c>
      <c r="AH143" s="75" t="n">
        <f aca="false">SUMIFS('Dados Mov Financeira'!$N:$N,'Dados Mov Financeira'!$O:$O,'DRE 2019'!$B143,'Dados Mov Financeira'!$A:$A,'DRE 2019'!AH$1)</f>
        <v>0</v>
      </c>
      <c r="AI143" s="91" t="n">
        <f aca="false">IFERROR(AH143/AH$5,0)</f>
        <v>0</v>
      </c>
      <c r="AK143" s="75" t="n">
        <f aca="false">SUMIFS('Dados Mov Financeira'!$N:$N,'Dados Mov Financeira'!$O:$O,'DRE 2019'!$B143,'Dados Mov Financeira'!$A:$A,'DRE 2019'!AK$1)</f>
        <v>0</v>
      </c>
      <c r="AL143" s="91" t="n">
        <f aca="false">IFERROR(AK143/AK$5,0)</f>
        <v>0</v>
      </c>
      <c r="AN143" s="92" t="n">
        <f aca="false">SUM(D143,G143,J143,M143,P143,S143,V143,Y143,AB143,AE143,AH143,AK143)</f>
        <v>0</v>
      </c>
      <c r="AO143" s="108" t="n">
        <f aca="false">IFERROR(AN143/AN$5,0)</f>
        <v>0</v>
      </c>
      <c r="AQ143" s="93" t="n">
        <f aca="false">AN143/$AR$1</f>
        <v>0</v>
      </c>
      <c r="AR143" s="94" t="n">
        <f aca="false">IFERROR(AQ143/AQ$5,0)</f>
        <v>0</v>
      </c>
      <c r="AT143" s="116"/>
    </row>
    <row r="144" customFormat="false" ht="14.25" hidden="true" customHeight="false" outlineLevel="1" collapsed="false">
      <c r="B144" s="89" t="s">
        <v>161</v>
      </c>
      <c r="D144" s="75" t="n">
        <f aca="false">SUMIFS('Dados Mov Financeira'!$N:$N,'Dados Mov Financeira'!$O:$O,'DRE 2019'!$B144,'Dados Mov Financeira'!$A:$A,'DRE 2019'!D$1)</f>
        <v>0</v>
      </c>
      <c r="E144" s="91" t="n">
        <f aca="false">IFERROR(D144/D$5,0)</f>
        <v>0</v>
      </c>
      <c r="G144" s="75" t="n">
        <f aca="false">SUMIFS('Dados Mov Financeira'!$N:$N,'Dados Mov Financeira'!$O:$O,'DRE 2019'!$B144,'Dados Mov Financeira'!$A:$A,'DRE 2019'!G$1)</f>
        <v>0</v>
      </c>
      <c r="H144" s="91" t="n">
        <f aca="false">IFERROR(G144/G$5,0)</f>
        <v>0</v>
      </c>
      <c r="J144" s="75" t="n">
        <f aca="false">SUMIFS('Dados Mov Financeira'!$N:$N,'Dados Mov Financeira'!$O:$O,'DRE 2019'!$B144,'Dados Mov Financeira'!$A:$A,'DRE 2019'!J$1)</f>
        <v>0</v>
      </c>
      <c r="K144" s="91" t="n">
        <f aca="false">IFERROR(J144/J$5,0)</f>
        <v>0</v>
      </c>
      <c r="M144" s="75" t="n">
        <f aca="false">SUMIFS('Dados Mov Financeira'!$N:$N,'Dados Mov Financeira'!$O:$O,'DRE 2019'!$B144,'Dados Mov Financeira'!$A:$A,'DRE 2019'!M$1)</f>
        <v>0</v>
      </c>
      <c r="N144" s="91" t="n">
        <f aca="false">IFERROR(M144/M$5,0)</f>
        <v>0</v>
      </c>
      <c r="P144" s="75" t="n">
        <f aca="false">SUMIFS('Dados Mov Financeira'!$N:$N,'Dados Mov Financeira'!$O:$O,'DRE 2019'!$B144,'Dados Mov Financeira'!$A:$A,'DRE 2019'!P$1)</f>
        <v>0</v>
      </c>
      <c r="Q144" s="91" t="n">
        <f aca="false">IFERROR(P144/P$5,0)</f>
        <v>0</v>
      </c>
      <c r="S144" s="75" t="n">
        <f aca="false">SUMIFS('Dados Mov Financeira'!$N:$N,'Dados Mov Financeira'!$O:$O,'DRE 2019'!$B144,'Dados Mov Financeira'!$A:$A,'DRE 2019'!S$1)</f>
        <v>0</v>
      </c>
      <c r="T144" s="91" t="n">
        <f aca="false">IFERROR(S144/S$5,0)</f>
        <v>0</v>
      </c>
      <c r="V144" s="75" t="n">
        <f aca="false">SUMIFS('Dados Mov Financeira'!$N:$N,'Dados Mov Financeira'!$O:$O,'DRE 2019'!$B144,'Dados Mov Financeira'!$A:$A,'DRE 2019'!V$1)</f>
        <v>0</v>
      </c>
      <c r="W144" s="91" t="n">
        <f aca="false">IFERROR(V144/V$5,0)</f>
        <v>0</v>
      </c>
      <c r="Y144" s="75" t="n">
        <f aca="false">SUMIFS('Dados Mov Financeira'!$N:$N,'Dados Mov Financeira'!$O:$O,'DRE 2019'!$B144,'Dados Mov Financeira'!$A:$A,'DRE 2019'!Y$1)</f>
        <v>0</v>
      </c>
      <c r="Z144" s="91" t="n">
        <f aca="false">IFERROR(Y144/Y$5,0)</f>
        <v>0</v>
      </c>
      <c r="AB144" s="75" t="n">
        <f aca="false">SUMIFS('Dados Mov Financeira'!$N:$N,'Dados Mov Financeira'!$O:$O,'DRE 2019'!$B144,'Dados Mov Financeira'!$A:$A,'DRE 2019'!AB$1)</f>
        <v>0</v>
      </c>
      <c r="AC144" s="91" t="n">
        <f aca="false">IFERROR(AB144/AB$5,0)</f>
        <v>0</v>
      </c>
      <c r="AE144" s="75" t="n">
        <f aca="false">SUMIFS('Dados Mov Financeira'!$N:$N,'Dados Mov Financeira'!$O:$O,'DRE 2019'!$B144,'Dados Mov Financeira'!$A:$A,'DRE 2019'!AE$1)</f>
        <v>0</v>
      </c>
      <c r="AF144" s="91" t="n">
        <f aca="false">IFERROR(AE144/AE$5,0)</f>
        <v>0</v>
      </c>
      <c r="AH144" s="75" t="n">
        <f aca="false">SUMIFS('Dados Mov Financeira'!$N:$N,'Dados Mov Financeira'!$O:$O,'DRE 2019'!$B144,'Dados Mov Financeira'!$A:$A,'DRE 2019'!AH$1)</f>
        <v>0</v>
      </c>
      <c r="AI144" s="91" t="n">
        <f aca="false">IFERROR(AH144/AH$5,0)</f>
        <v>0</v>
      </c>
      <c r="AK144" s="75" t="n">
        <f aca="false">SUMIFS('Dados Mov Financeira'!$N:$N,'Dados Mov Financeira'!$O:$O,'DRE 2019'!$B144,'Dados Mov Financeira'!$A:$A,'DRE 2019'!AK$1)</f>
        <v>0</v>
      </c>
      <c r="AL144" s="91" t="n">
        <f aca="false">IFERROR(AK144/AK$5,0)</f>
        <v>0</v>
      </c>
      <c r="AN144" s="92" t="n">
        <f aca="false">SUM(D144,G144,J144,M144,P144,S144,V144,Y144,AB144,AE144,AH144,AK144)</f>
        <v>0</v>
      </c>
      <c r="AO144" s="108" t="n">
        <f aca="false">IFERROR(AN144/AN$5,0)</f>
        <v>0</v>
      </c>
      <c r="AQ144" s="93" t="n">
        <f aca="false">AN144/$AR$1</f>
        <v>0</v>
      </c>
      <c r="AR144" s="94" t="n">
        <f aca="false">IFERROR(AQ144/AQ$5,0)</f>
        <v>0</v>
      </c>
      <c r="AT144" s="116"/>
    </row>
    <row r="145" s="57" customFormat="true" ht="9" hidden="false" customHeight="true" outlineLevel="0" collapsed="false">
      <c r="B145" s="48"/>
      <c r="C145" s="58"/>
      <c r="D145" s="59"/>
      <c r="E145" s="60"/>
      <c r="F145" s="58"/>
      <c r="G145" s="59"/>
      <c r="H145" s="60"/>
      <c r="I145" s="58"/>
      <c r="J145" s="59"/>
      <c r="K145" s="60"/>
      <c r="L145" s="58"/>
      <c r="M145" s="59"/>
      <c r="N145" s="60"/>
      <c r="O145" s="58"/>
      <c r="P145" s="59"/>
      <c r="Q145" s="60"/>
      <c r="R145" s="58"/>
      <c r="S145" s="59"/>
      <c r="T145" s="60"/>
      <c r="U145" s="58"/>
      <c r="V145" s="59"/>
      <c r="W145" s="60"/>
      <c r="X145" s="58"/>
      <c r="Y145" s="59"/>
      <c r="Z145" s="60"/>
      <c r="AA145" s="58"/>
      <c r="AB145" s="59"/>
      <c r="AC145" s="60"/>
      <c r="AD145" s="58"/>
      <c r="AE145" s="59"/>
      <c r="AF145" s="60"/>
      <c r="AG145" s="58"/>
      <c r="AH145" s="59"/>
      <c r="AI145" s="60"/>
      <c r="AJ145" s="58"/>
      <c r="AK145" s="59"/>
      <c r="AL145" s="60"/>
      <c r="AM145" s="58"/>
      <c r="AN145" s="59"/>
      <c r="AO145" s="60"/>
      <c r="AP145" s="58"/>
      <c r="AQ145" s="61"/>
      <c r="AR145" s="60"/>
      <c r="AS145" s="58"/>
      <c r="AT145" s="62"/>
    </row>
    <row r="146" s="63" customFormat="true" ht="20.85" hidden="false" customHeight="false" outlineLevel="0" collapsed="false">
      <c r="A146" s="36"/>
      <c r="B146" s="102" t="s">
        <v>162</v>
      </c>
      <c r="D146" s="103" t="n">
        <f aca="false">D126+D128</f>
        <v>0</v>
      </c>
      <c r="E146" s="104" t="n">
        <f aca="false">IFERROR(D146/D$5,0)</f>
        <v>0</v>
      </c>
      <c r="G146" s="103" t="n">
        <f aca="false">G126+G128</f>
        <v>0</v>
      </c>
      <c r="H146" s="104" t="n">
        <f aca="false">IFERROR(G146/G$5,0)</f>
        <v>0</v>
      </c>
      <c r="J146" s="103" t="n">
        <f aca="false">J126+J128</f>
        <v>0</v>
      </c>
      <c r="K146" s="104" t="n">
        <f aca="false">IFERROR(J146/J$5,0)</f>
        <v>0</v>
      </c>
      <c r="M146" s="103" t="n">
        <f aca="false">M126+M128</f>
        <v>0</v>
      </c>
      <c r="N146" s="104" t="n">
        <f aca="false">IFERROR(M146/M$5,0)</f>
        <v>0</v>
      </c>
      <c r="P146" s="103" t="n">
        <f aca="false">P126+P128</f>
        <v>0</v>
      </c>
      <c r="Q146" s="104" t="n">
        <f aca="false">IFERROR(P146/P$5,0)</f>
        <v>0</v>
      </c>
      <c r="S146" s="103" t="n">
        <f aca="false">S126+S128</f>
        <v>0</v>
      </c>
      <c r="T146" s="104" t="n">
        <f aca="false">IFERROR(S146/S$5,0)</f>
        <v>0</v>
      </c>
      <c r="V146" s="103" t="n">
        <f aca="false">V126+V128</f>
        <v>0</v>
      </c>
      <c r="W146" s="104" t="n">
        <f aca="false">IFERROR(V146/V$5,0)</f>
        <v>0</v>
      </c>
      <c r="Y146" s="103" t="n">
        <f aca="false">Y126+Y128</f>
        <v>0</v>
      </c>
      <c r="Z146" s="104" t="n">
        <f aca="false">IFERROR(Y146/Y$5,0)</f>
        <v>0</v>
      </c>
      <c r="AB146" s="103" t="n">
        <f aca="false">AB126+AB128</f>
        <v>0</v>
      </c>
      <c r="AC146" s="104" t="n">
        <f aca="false">IFERROR(AB146/AB$5,0)</f>
        <v>0</v>
      </c>
      <c r="AE146" s="103" t="n">
        <f aca="false">AE126+AE128</f>
        <v>0</v>
      </c>
      <c r="AF146" s="104" t="n">
        <f aca="false">IFERROR(AE146/AE$5,0)</f>
        <v>0</v>
      </c>
      <c r="AH146" s="103" t="n">
        <f aca="false">AH126+AH128</f>
        <v>0</v>
      </c>
      <c r="AI146" s="104" t="n">
        <f aca="false">IFERROR(AH146/AH$5,0)</f>
        <v>0</v>
      </c>
      <c r="AK146" s="103" t="n">
        <f aca="false">AK126+AK128</f>
        <v>0</v>
      </c>
      <c r="AL146" s="104" t="n">
        <f aca="false">IFERROR(AK146/AK$5,0)</f>
        <v>0</v>
      </c>
      <c r="AN146" s="103" t="n">
        <f aca="false">AN126+AN128</f>
        <v>0</v>
      </c>
      <c r="AO146" s="104" t="n">
        <f aca="false">IFERROR(AN146/AN$5,0)</f>
        <v>0</v>
      </c>
      <c r="AQ146" s="103" t="n">
        <f aca="false">AQ126+AQ128</f>
        <v>0</v>
      </c>
      <c r="AR146" s="104" t="n">
        <f aca="false">IFERROR(AQ146/AQ$5,0)</f>
        <v>0</v>
      </c>
      <c r="AT146" s="123"/>
    </row>
    <row r="147" customFormat="false" ht="14.25" hidden="true" customHeight="false" outlineLevel="0" collapsed="false">
      <c r="B147" s="106" t="s">
        <v>163</v>
      </c>
      <c r="D147" s="99" t="e">
        <f aca="false">-D43/(E41)</f>
        <v>#DIV/0!</v>
      </c>
      <c r="E147" s="95" t="n">
        <f aca="false">IFERROR(D147/D$5,0)</f>
        <v>0</v>
      </c>
      <c r="G147" s="99" t="e">
        <f aca="false">-G43/(H41)</f>
        <v>#DIV/0!</v>
      </c>
      <c r="H147" s="95" t="n">
        <f aca="false">IFERROR(G147/G$5,0)</f>
        <v>0</v>
      </c>
      <c r="J147" s="99" t="e">
        <f aca="false">-J43/(K41)</f>
        <v>#DIV/0!</v>
      </c>
      <c r="K147" s="95" t="n">
        <f aca="false">IFERROR(J147/J$5,0)</f>
        <v>0</v>
      </c>
      <c r="M147" s="99" t="e">
        <f aca="false">-M43/(N41)</f>
        <v>#DIV/0!</v>
      </c>
      <c r="N147" s="95" t="n">
        <f aca="false">IFERROR(M147/M$5,0)</f>
        <v>0</v>
      </c>
      <c r="P147" s="99" t="e">
        <f aca="false">-P43/(Q41)</f>
        <v>#DIV/0!</v>
      </c>
      <c r="Q147" s="95" t="n">
        <f aca="false">IFERROR(P147/P$5,0)</f>
        <v>0</v>
      </c>
      <c r="S147" s="99" t="e">
        <f aca="false">-S43/(T41)</f>
        <v>#DIV/0!</v>
      </c>
      <c r="T147" s="95" t="n">
        <f aca="false">IFERROR(S147/S$5,0)</f>
        <v>0</v>
      </c>
      <c r="V147" s="99" t="e">
        <f aca="false">-V43/(W41)</f>
        <v>#DIV/0!</v>
      </c>
      <c r="W147" s="95" t="n">
        <f aca="false">IFERROR(V147/V$5,0)</f>
        <v>0</v>
      </c>
      <c r="Y147" s="99" t="e">
        <f aca="false">-Y43/(Z41)</f>
        <v>#DIV/0!</v>
      </c>
      <c r="Z147" s="95" t="n">
        <f aca="false">IFERROR(Y147/Y$5,0)</f>
        <v>0</v>
      </c>
      <c r="AB147" s="99" t="e">
        <f aca="false">-AB43/(AC41)</f>
        <v>#DIV/0!</v>
      </c>
      <c r="AC147" s="95" t="n">
        <f aca="false">IFERROR(AB147/AB$5,0)</f>
        <v>0</v>
      </c>
      <c r="AE147" s="99" t="e">
        <f aca="false">-AE43/(AF41)</f>
        <v>#DIV/0!</v>
      </c>
      <c r="AF147" s="95" t="n">
        <f aca="false">IFERROR(AE147/AE$5,0)</f>
        <v>0</v>
      </c>
      <c r="AH147" s="99" t="e">
        <f aca="false">-AH43/(AI41)</f>
        <v>#DIV/0!</v>
      </c>
      <c r="AI147" s="95" t="n">
        <f aca="false">IFERROR(AH147/AH$5,0)</f>
        <v>0</v>
      </c>
      <c r="AK147" s="99" t="e">
        <f aca="false">-AK43/(AL41)</f>
        <v>#DIV/0!</v>
      </c>
      <c r="AL147" s="95" t="n">
        <f aca="false">IFERROR(AK147/AK$5,0)</f>
        <v>0</v>
      </c>
      <c r="AN147" s="99" t="e">
        <f aca="false">-AN43/(AO41)</f>
        <v>#DIV/0!</v>
      </c>
      <c r="AO147" s="95" t="n">
        <f aca="false">IFERROR(AN147/AN$5,0)</f>
        <v>0</v>
      </c>
      <c r="AQ147" s="99" t="e">
        <f aca="false">-AQ43/(AR41)</f>
        <v>#DIV/0!</v>
      </c>
      <c r="AR147" s="95" t="n">
        <f aca="false">IFERROR(AQ147/AQ$5,0)</f>
        <v>0</v>
      </c>
      <c r="AT147" s="78"/>
    </row>
    <row r="148" customFormat="false" ht="14.25" hidden="true" customHeight="false" outlineLevel="0" collapsed="false">
      <c r="B148" s="106" t="s">
        <v>164</v>
      </c>
      <c r="D148" s="99" t="e">
        <f aca="false">-(D43-D112+D128)/E41</f>
        <v>#DIV/0!</v>
      </c>
      <c r="E148" s="95" t="n">
        <f aca="false">IFERROR(D148/D$5,0)</f>
        <v>0</v>
      </c>
      <c r="G148" s="99" t="e">
        <f aca="false">-(G43-G112+G128)/H41</f>
        <v>#DIV/0!</v>
      </c>
      <c r="H148" s="95" t="n">
        <f aca="false">IFERROR(G148/G$5,0)</f>
        <v>0</v>
      </c>
      <c r="J148" s="99" t="e">
        <f aca="false">-(J43-J112+J128)/K41</f>
        <v>#DIV/0!</v>
      </c>
      <c r="K148" s="95" t="n">
        <f aca="false">IFERROR(J148/J$5,0)</f>
        <v>0</v>
      </c>
      <c r="M148" s="99" t="e">
        <f aca="false">-(M43-M112+M128)/N41</f>
        <v>#DIV/0!</v>
      </c>
      <c r="N148" s="95" t="n">
        <f aca="false">IFERROR(M148/M$5,0)</f>
        <v>0</v>
      </c>
      <c r="P148" s="99" t="e">
        <f aca="false">-(P43-P112+P128)/Q41</f>
        <v>#DIV/0!</v>
      </c>
      <c r="Q148" s="95" t="n">
        <f aca="false">IFERROR(P148/P$5,0)</f>
        <v>0</v>
      </c>
      <c r="S148" s="99" t="e">
        <f aca="false">-(S43-S112+S128)/T41</f>
        <v>#DIV/0!</v>
      </c>
      <c r="T148" s="95" t="n">
        <f aca="false">IFERROR(S148/S$5,0)</f>
        <v>0</v>
      </c>
      <c r="V148" s="99" t="e">
        <f aca="false">-(V43-V112+V128)/W41</f>
        <v>#DIV/0!</v>
      </c>
      <c r="W148" s="95" t="n">
        <f aca="false">IFERROR(V148/V$5,0)</f>
        <v>0</v>
      </c>
      <c r="Y148" s="99" t="e">
        <f aca="false">-(Y43-Y112+Y128)/Z41</f>
        <v>#DIV/0!</v>
      </c>
      <c r="Z148" s="95" t="n">
        <f aca="false">IFERROR(Y148/Y$5,0)</f>
        <v>0</v>
      </c>
      <c r="AB148" s="99" t="e">
        <f aca="false">-(AB43-AB112+AB128)/AC41</f>
        <v>#DIV/0!</v>
      </c>
      <c r="AC148" s="95" t="n">
        <f aca="false">IFERROR(AB148/AB$5,0)</f>
        <v>0</v>
      </c>
      <c r="AE148" s="99" t="e">
        <f aca="false">-(AE43-AE112+AE128)/AF41</f>
        <v>#DIV/0!</v>
      </c>
      <c r="AF148" s="95" t="n">
        <f aca="false">IFERROR(AE148/AE$5,0)</f>
        <v>0</v>
      </c>
      <c r="AH148" s="99" t="e">
        <f aca="false">-(AH43-AH112+AH128)/AI41</f>
        <v>#DIV/0!</v>
      </c>
      <c r="AI148" s="95" t="n">
        <f aca="false">IFERROR(AH148/AH$5,0)</f>
        <v>0</v>
      </c>
      <c r="AK148" s="99" t="e">
        <f aca="false">-(AK43-AK112+AK128)/AL41</f>
        <v>#DIV/0!</v>
      </c>
      <c r="AL148" s="95" t="n">
        <f aca="false">IFERROR(AK148/AK$5,0)</f>
        <v>0</v>
      </c>
      <c r="AN148" s="99" t="e">
        <f aca="false">-(AN43-AN112+AN128)/AO41</f>
        <v>#DIV/0!</v>
      </c>
      <c r="AO148" s="95" t="n">
        <f aca="false">IFERROR(AN148/AN$5,0)</f>
        <v>0</v>
      </c>
      <c r="AQ148" s="99" t="e">
        <f aca="false">-(AQ43-AQ112+AQ128)/AR41</f>
        <v>#DIV/0!</v>
      </c>
      <c r="AR148" s="95" t="n">
        <f aca="false">IFERROR(AQ148/AQ$5,0)</f>
        <v>0</v>
      </c>
      <c r="AT148" s="78"/>
    </row>
  </sheetData>
  <conditionalFormatting sqref="B33:AT33">
    <cfRule type="cellIs" priority="2" operator="lessThan" aboveAverage="0" equalAverage="0" bottom="0" percent="0" rank="0" text="" dxfId="7">
      <formula>0</formula>
    </cfRule>
  </conditionalFormatting>
  <conditionalFormatting sqref="B146:AT146">
    <cfRule type="cellIs" priority="3" operator="lessThan" aboveAverage="0" equalAverage="0" bottom="0" percent="0" rank="0" text="" dxfId="8">
      <formula>0</formula>
    </cfRule>
  </conditionalFormatting>
  <conditionalFormatting sqref="B110:AT110">
    <cfRule type="cellIs" priority="4" operator="lessThan" aboveAverage="0" equalAverage="0" bottom="0" percent="0" rank="0" text="" dxfId="9">
      <formula>0</formula>
    </cfRule>
  </conditionalFormatting>
  <conditionalFormatting sqref="B112:AT112">
    <cfRule type="cellIs" priority="5" operator="lessThan" aboveAverage="0" equalAverage="0" bottom="0" percent="0" rank="0" text="" dxfId="10">
      <formula>0</formula>
    </cfRule>
  </conditionalFormatting>
  <conditionalFormatting sqref="B126:AT126">
    <cfRule type="cellIs" priority="6" operator="lessThan" aboveAverage="0" equalAverage="0" bottom="0" percent="0" rank="0" text="" dxfId="11">
      <formula>0</formula>
    </cfRule>
  </conditionalFormatting>
  <conditionalFormatting sqref="B128:AT128">
    <cfRule type="cellIs" priority="7" operator="lessThan" aboveAverage="0" equalAverage="0" bottom="0" percent="0" rank="0" text="" dxfId="12">
      <formula>0</formula>
    </cfRule>
  </conditionalFormatting>
  <conditionalFormatting sqref="B41:AT41">
    <cfRule type="cellIs" priority="8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5968"/>
    <pageSetUpPr fitToPage="true"/>
  </sheetPr>
  <dimension ref="A1:AU14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Q23" activeCellId="1" sqref="O2:O308 AQ23"/>
    </sheetView>
  </sheetViews>
  <sheetFormatPr defaultColWidth="9.11328125" defaultRowHeight="14.25" zeroHeight="false" outlineLevelRow="1" outlineLevelCol="1"/>
  <cols>
    <col collapsed="false" customWidth="true" hidden="false" outlineLevel="0" max="1" min="1" style="36" width="5.56"/>
    <col collapsed="false" customWidth="true" hidden="false" outlineLevel="0" max="2" min="2" style="36" width="66"/>
    <col collapsed="false" customWidth="true" hidden="false" outlineLevel="0" max="3" min="3" style="36" width="1.11"/>
    <col collapsed="false" customWidth="true" hidden="true" outlineLevel="1" max="4" min="4" style="37" width="13"/>
    <col collapsed="false" customWidth="true" hidden="true" outlineLevel="1" max="5" min="5" style="38" width="8"/>
    <col collapsed="false" customWidth="true" hidden="true" outlineLevel="1" max="6" min="6" style="36" width="1"/>
    <col collapsed="false" customWidth="true" hidden="true" outlineLevel="1" max="7" min="7" style="37" width="15.67"/>
    <col collapsed="false" customWidth="true" hidden="true" outlineLevel="1" max="8" min="8" style="38" width="7.45"/>
    <col collapsed="false" customWidth="true" hidden="true" outlineLevel="1" max="9" min="9" style="36" width="1"/>
    <col collapsed="false" customWidth="true" hidden="true" outlineLevel="1" max="10" min="10" style="37" width="13.11"/>
    <col collapsed="false" customWidth="true" hidden="true" outlineLevel="1" max="11" min="11" style="38" width="7.45"/>
    <col collapsed="false" customWidth="true" hidden="true" outlineLevel="1" max="12" min="12" style="36" width="1"/>
    <col collapsed="false" customWidth="true" hidden="true" outlineLevel="1" max="13" min="13" style="37" width="13.11"/>
    <col collapsed="false" customWidth="true" hidden="true" outlineLevel="1" max="14" min="14" style="38" width="7.45"/>
    <col collapsed="false" customWidth="true" hidden="true" outlineLevel="1" max="15" min="15" style="36" width="1"/>
    <col collapsed="false" customWidth="true" hidden="true" outlineLevel="1" max="16" min="16" style="37" width="13.11"/>
    <col collapsed="false" customWidth="true" hidden="true" outlineLevel="1" max="17" min="17" style="38" width="7.45"/>
    <col collapsed="false" customWidth="true" hidden="true" outlineLevel="1" max="18" min="18" style="36" width="1"/>
    <col collapsed="false" customWidth="true" hidden="true" outlineLevel="1" max="19" min="19" style="37" width="13.11"/>
    <col collapsed="false" customWidth="true" hidden="true" outlineLevel="1" max="20" min="20" style="38" width="7.45"/>
    <col collapsed="false" customWidth="true" hidden="true" outlineLevel="1" max="21" min="21" style="36" width="1"/>
    <col collapsed="false" customWidth="true" hidden="true" outlineLevel="1" max="22" min="22" style="37" width="13.89"/>
    <col collapsed="false" customWidth="true" hidden="true" outlineLevel="1" max="23" min="23" style="38" width="7.45"/>
    <col collapsed="false" customWidth="true" hidden="true" outlineLevel="1" max="24" min="24" style="36" width="1"/>
    <col collapsed="false" customWidth="true" hidden="true" outlineLevel="1" max="25" min="25" style="37" width="12.55"/>
    <col collapsed="false" customWidth="true" hidden="true" outlineLevel="1" max="26" min="26" style="38" width="7.45"/>
    <col collapsed="false" customWidth="true" hidden="true" outlineLevel="1" max="27" min="27" style="36" width="1"/>
    <col collapsed="false" customWidth="true" hidden="true" outlineLevel="1" max="28" min="28" style="37" width="16.11"/>
    <col collapsed="false" customWidth="true" hidden="true" outlineLevel="1" max="29" min="29" style="38" width="7.45"/>
    <col collapsed="false" customWidth="true" hidden="true" outlineLevel="1" max="30" min="30" style="36" width="1"/>
    <col collapsed="false" customWidth="true" hidden="true" outlineLevel="1" max="31" min="31" style="37" width="14.34"/>
    <col collapsed="false" customWidth="true" hidden="true" outlineLevel="1" max="32" min="32" style="38" width="7.45"/>
    <col collapsed="false" customWidth="true" hidden="true" outlineLevel="1" max="33" min="33" style="36" width="1"/>
    <col collapsed="false" customWidth="true" hidden="true" outlineLevel="1" max="34" min="34" style="37" width="16.67"/>
    <col collapsed="false" customWidth="true" hidden="true" outlineLevel="1" max="35" min="35" style="38" width="7.45"/>
    <col collapsed="false" customWidth="true" hidden="true" outlineLevel="1" max="36" min="36" style="36" width="1"/>
    <col collapsed="false" customWidth="true" hidden="true" outlineLevel="1" max="37" min="37" style="37" width="16.55"/>
    <col collapsed="false" customWidth="true" hidden="true" outlineLevel="1" max="38" min="38" style="38" width="7.45"/>
    <col collapsed="false" customWidth="true" hidden="true" outlineLevel="1" max="39" min="39" style="36" width="1.11"/>
    <col collapsed="false" customWidth="true" hidden="false" outlineLevel="0" max="40" min="40" style="37" width="18"/>
    <col collapsed="false" customWidth="true" hidden="false" outlineLevel="0" max="41" min="41" style="38" width="7.45"/>
    <col collapsed="false" customWidth="true" hidden="false" outlineLevel="0" max="42" min="42" style="36" width="1"/>
    <col collapsed="false" customWidth="true" hidden="false" outlineLevel="0" max="43" min="43" style="37" width="13.11"/>
    <col collapsed="false" customWidth="true" hidden="false" outlineLevel="0" max="44" min="44" style="38" width="7.45"/>
    <col collapsed="false" customWidth="true" hidden="false" outlineLevel="0" max="45" min="45" style="36" width="1"/>
    <col collapsed="false" customWidth="true" hidden="false" outlineLevel="0" max="46" min="46" style="39" width="17.33"/>
    <col collapsed="false" customWidth="false" hidden="false" outlineLevel="0" max="16384" min="47" style="36" width="9.11"/>
  </cols>
  <sheetData>
    <row r="1" s="42" customFormat="true" ht="15" hidden="false" customHeight="true" outlineLevel="0" collapsed="false">
      <c r="A1" s="40"/>
      <c r="B1" s="41"/>
      <c r="D1" s="43" t="n">
        <f aca="false">MONTH(D3)</f>
        <v>1</v>
      </c>
      <c r="E1" s="44"/>
      <c r="G1" s="43" t="n">
        <f aca="false">MONTH(G3)</f>
        <v>2</v>
      </c>
      <c r="H1" s="44"/>
      <c r="J1" s="43" t="n">
        <f aca="false">MONTH(J3)</f>
        <v>3</v>
      </c>
      <c r="K1" s="44"/>
      <c r="M1" s="43" t="n">
        <f aca="false">MONTH(M3)</f>
        <v>4</v>
      </c>
      <c r="N1" s="44"/>
      <c r="P1" s="43" t="n">
        <f aca="false">MONTH(P3)</f>
        <v>5</v>
      </c>
      <c r="Q1" s="44"/>
      <c r="S1" s="43" t="n">
        <f aca="false">MONTH(S3)</f>
        <v>6</v>
      </c>
      <c r="T1" s="44"/>
      <c r="V1" s="43" t="n">
        <f aca="false">MONTH(V3)</f>
        <v>7</v>
      </c>
      <c r="W1" s="44"/>
      <c r="Y1" s="43" t="n">
        <f aca="false">MONTH(Y3)</f>
        <v>8</v>
      </c>
      <c r="Z1" s="44"/>
      <c r="AB1" s="43" t="n">
        <f aca="false">MONTH(AB3)</f>
        <v>9</v>
      </c>
      <c r="AC1" s="44"/>
      <c r="AE1" s="43" t="n">
        <f aca="false">MONTH(AE3)</f>
        <v>10</v>
      </c>
      <c r="AF1" s="44"/>
      <c r="AH1" s="43" t="n">
        <f aca="false">MONTH(AH3)</f>
        <v>11</v>
      </c>
      <c r="AI1" s="44"/>
      <c r="AK1" s="43" t="n">
        <f aca="false">MONTH(AK3)</f>
        <v>12</v>
      </c>
      <c r="AL1" s="44"/>
      <c r="AN1" s="43"/>
      <c r="AO1" s="44"/>
      <c r="AQ1" s="43"/>
      <c r="AR1" s="45" t="n">
        <v>12</v>
      </c>
      <c r="AT1" s="46"/>
    </row>
    <row r="2" s="42" customFormat="true" ht="15" hidden="false" customHeight="true" outlineLevel="0" collapsed="false">
      <c r="A2" s="40"/>
      <c r="B2" s="47" t="s">
        <v>30</v>
      </c>
      <c r="D2" s="43" t="n">
        <f aca="false">YEAR(D3)</f>
        <v>2020</v>
      </c>
      <c r="E2" s="44"/>
      <c r="G2" s="43" t="n">
        <f aca="false">YEAR(G3)</f>
        <v>2020</v>
      </c>
      <c r="H2" s="44"/>
      <c r="J2" s="43" t="n">
        <f aca="false">YEAR(J3)</f>
        <v>2020</v>
      </c>
      <c r="K2" s="44"/>
      <c r="M2" s="43" t="n">
        <f aca="false">YEAR(M3)</f>
        <v>2020</v>
      </c>
      <c r="N2" s="44"/>
      <c r="P2" s="43" t="n">
        <f aca="false">YEAR(P3)</f>
        <v>2020</v>
      </c>
      <c r="Q2" s="44"/>
      <c r="S2" s="43" t="n">
        <f aca="false">YEAR(S3)</f>
        <v>2020</v>
      </c>
      <c r="T2" s="44"/>
      <c r="V2" s="43" t="n">
        <f aca="false">YEAR(V3)</f>
        <v>2020</v>
      </c>
      <c r="W2" s="44"/>
      <c r="Y2" s="43" t="n">
        <f aca="false">YEAR(Y3)</f>
        <v>2020</v>
      </c>
      <c r="Z2" s="44"/>
      <c r="AB2" s="43" t="n">
        <f aca="false">YEAR(AB3)</f>
        <v>2020</v>
      </c>
      <c r="AC2" s="44"/>
      <c r="AE2" s="43" t="n">
        <f aca="false">YEAR(AE3)</f>
        <v>2020</v>
      </c>
      <c r="AF2" s="44"/>
      <c r="AH2" s="43" t="n">
        <f aca="false">YEAR(AH3)</f>
        <v>2020</v>
      </c>
      <c r="AI2" s="44"/>
      <c r="AK2" s="43" t="n">
        <f aca="false">YEAR(AK3)</f>
        <v>2020</v>
      </c>
      <c r="AL2" s="44"/>
      <c r="AN2" s="43"/>
      <c r="AO2" s="44"/>
      <c r="AQ2" s="43"/>
      <c r="AR2" s="45"/>
      <c r="AT2" s="46"/>
    </row>
    <row r="3" customFormat="false" ht="18.75" hidden="false" customHeight="true" outlineLevel="0" collapsed="false">
      <c r="B3" s="48"/>
      <c r="C3" s="49"/>
      <c r="D3" s="50" t="n">
        <v>43831</v>
      </c>
      <c r="E3" s="51" t="s">
        <v>31</v>
      </c>
      <c r="F3" s="49"/>
      <c r="G3" s="50" t="n">
        <f aca="false">D3+31</f>
        <v>43862</v>
      </c>
      <c r="H3" s="51" t="s">
        <v>31</v>
      </c>
      <c r="I3" s="49"/>
      <c r="J3" s="50" t="n">
        <f aca="false">G3+31</f>
        <v>43893</v>
      </c>
      <c r="K3" s="51" t="s">
        <v>31</v>
      </c>
      <c r="L3" s="49"/>
      <c r="M3" s="50" t="n">
        <f aca="false">J3+31</f>
        <v>43924</v>
      </c>
      <c r="N3" s="51" t="s">
        <v>31</v>
      </c>
      <c r="O3" s="49"/>
      <c r="P3" s="50" t="n">
        <f aca="false">M3+31</f>
        <v>43955</v>
      </c>
      <c r="Q3" s="51" t="s">
        <v>31</v>
      </c>
      <c r="R3" s="49"/>
      <c r="S3" s="50" t="n">
        <f aca="false">P3+31</f>
        <v>43986</v>
      </c>
      <c r="T3" s="51" t="s">
        <v>31</v>
      </c>
      <c r="U3" s="49"/>
      <c r="V3" s="50" t="n">
        <f aca="false">S3+31</f>
        <v>44017</v>
      </c>
      <c r="W3" s="51" t="s">
        <v>31</v>
      </c>
      <c r="X3" s="49"/>
      <c r="Y3" s="50" t="n">
        <f aca="false">V3+31</f>
        <v>44048</v>
      </c>
      <c r="Z3" s="51" t="s">
        <v>31</v>
      </c>
      <c r="AA3" s="49"/>
      <c r="AB3" s="50" t="n">
        <f aca="false">Y3+31</f>
        <v>44079</v>
      </c>
      <c r="AC3" s="51" t="s">
        <v>31</v>
      </c>
      <c r="AD3" s="49"/>
      <c r="AE3" s="50" t="n">
        <f aca="false">AB3+31</f>
        <v>44110</v>
      </c>
      <c r="AF3" s="51" t="s">
        <v>31</v>
      </c>
      <c r="AG3" s="49"/>
      <c r="AH3" s="50" t="n">
        <f aca="false">AE3+31</f>
        <v>44141</v>
      </c>
      <c r="AI3" s="51" t="s">
        <v>31</v>
      </c>
      <c r="AJ3" s="49"/>
      <c r="AK3" s="50" t="n">
        <f aca="false">AH3+31</f>
        <v>44172</v>
      </c>
      <c r="AL3" s="51" t="s">
        <v>31</v>
      </c>
      <c r="AM3" s="49"/>
      <c r="AN3" s="52" t="s">
        <v>165</v>
      </c>
      <c r="AO3" s="53" t="s">
        <v>31</v>
      </c>
      <c r="AP3" s="49"/>
      <c r="AQ3" s="54" t="s">
        <v>166</v>
      </c>
      <c r="AR3" s="55" t="s">
        <v>31</v>
      </c>
      <c r="AS3" s="49"/>
      <c r="AT3" s="56" t="s">
        <v>34</v>
      </c>
    </row>
    <row r="4" s="57" customFormat="true" ht="18.75" hidden="false" customHeight="true" outlineLevel="0" collapsed="false">
      <c r="B4" s="48"/>
      <c r="C4" s="58"/>
      <c r="D4" s="59"/>
      <c r="E4" s="60"/>
      <c r="F4" s="58"/>
      <c r="G4" s="59"/>
      <c r="H4" s="60"/>
      <c r="I4" s="58"/>
      <c r="J4" s="59"/>
      <c r="K4" s="60"/>
      <c r="L4" s="58"/>
      <c r="M4" s="59"/>
      <c r="N4" s="60"/>
      <c r="O4" s="58"/>
      <c r="P4" s="59"/>
      <c r="Q4" s="60"/>
      <c r="R4" s="58"/>
      <c r="S4" s="59"/>
      <c r="T4" s="60"/>
      <c r="U4" s="58"/>
      <c r="V4" s="59"/>
      <c r="W4" s="60"/>
      <c r="X4" s="58"/>
      <c r="Y4" s="59"/>
      <c r="Z4" s="60"/>
      <c r="AA4" s="58"/>
      <c r="AB4" s="59"/>
      <c r="AC4" s="60"/>
      <c r="AD4" s="58"/>
      <c r="AE4" s="59"/>
      <c r="AF4" s="60"/>
      <c r="AG4" s="58"/>
      <c r="AH4" s="59"/>
      <c r="AI4" s="60"/>
      <c r="AJ4" s="58"/>
      <c r="AK4" s="59"/>
      <c r="AL4" s="60"/>
      <c r="AM4" s="58"/>
      <c r="AN4" s="59"/>
      <c r="AO4" s="60"/>
      <c r="AP4" s="58"/>
      <c r="AQ4" s="61"/>
      <c r="AR4" s="60"/>
      <c r="AS4" s="58"/>
      <c r="AT4" s="62"/>
    </row>
    <row r="5" s="63" customFormat="true" ht="17.35" hidden="false" customHeight="false" outlineLevel="0" collapsed="false">
      <c r="B5" s="64" t="s">
        <v>35</v>
      </c>
      <c r="C5" s="65"/>
      <c r="D5" s="66" t="n">
        <f aca="false">SUM(D6:D7)</f>
        <v>0</v>
      </c>
      <c r="E5" s="67" t="n">
        <f aca="false">IFERROR(D5/D$5,0)</f>
        <v>0</v>
      </c>
      <c r="F5" s="65"/>
      <c r="G5" s="66" t="n">
        <f aca="false">SUM(G6:G7)</f>
        <v>0</v>
      </c>
      <c r="H5" s="67" t="n">
        <f aca="false">IFERROR(G5/G$5,0)</f>
        <v>0</v>
      </c>
      <c r="I5" s="65"/>
      <c r="J5" s="66" t="n">
        <f aca="false">SUM(J6:J7)</f>
        <v>0</v>
      </c>
      <c r="K5" s="67" t="n">
        <f aca="false">IFERROR(J5/J$5,0)</f>
        <v>0</v>
      </c>
      <c r="L5" s="65"/>
      <c r="M5" s="66" t="n">
        <f aca="false">SUM(M6:M7)</f>
        <v>0</v>
      </c>
      <c r="N5" s="67" t="n">
        <f aca="false">IFERROR(M5/M$5,0)</f>
        <v>0</v>
      </c>
      <c r="O5" s="65"/>
      <c r="P5" s="66" t="n">
        <f aca="false">SUM(P6:P7)</f>
        <v>0</v>
      </c>
      <c r="Q5" s="67" t="n">
        <f aca="false">IFERROR(P5/P$5,0)</f>
        <v>0</v>
      </c>
      <c r="R5" s="65"/>
      <c r="S5" s="66" t="n">
        <f aca="false">SUM(S6:S7)</f>
        <v>0</v>
      </c>
      <c r="T5" s="67" t="n">
        <f aca="false">IFERROR(S5/S$5,0)</f>
        <v>0</v>
      </c>
      <c r="U5" s="65"/>
      <c r="V5" s="66" t="n">
        <f aca="false">SUM(V6:V7)</f>
        <v>0</v>
      </c>
      <c r="W5" s="67" t="n">
        <f aca="false">IFERROR(V5/V$5,0)</f>
        <v>0</v>
      </c>
      <c r="X5" s="65"/>
      <c r="Y5" s="66" t="n">
        <f aca="false">SUM(Y6:Y7)</f>
        <v>0</v>
      </c>
      <c r="Z5" s="67" t="n">
        <f aca="false">IFERROR(Y5/Y$5,0)</f>
        <v>0</v>
      </c>
      <c r="AA5" s="65"/>
      <c r="AB5" s="66" t="n">
        <f aca="false">SUM(AB6:AB7)</f>
        <v>0</v>
      </c>
      <c r="AC5" s="67" t="n">
        <f aca="false">IFERROR(AB5/AB$5,0)</f>
        <v>0</v>
      </c>
      <c r="AD5" s="65"/>
      <c r="AE5" s="66" t="n">
        <f aca="false">SUM(AE6:AE7)</f>
        <v>0</v>
      </c>
      <c r="AF5" s="67" t="n">
        <f aca="false">IFERROR(AE5/AE$5,0)</f>
        <v>0</v>
      </c>
      <c r="AG5" s="65"/>
      <c r="AH5" s="66" t="n">
        <f aca="false">SUM(AH6:AH7)</f>
        <v>0</v>
      </c>
      <c r="AI5" s="67" t="n">
        <f aca="false">IFERROR(AH5/AH$5,0)</f>
        <v>0</v>
      </c>
      <c r="AJ5" s="65"/>
      <c r="AK5" s="66" t="n">
        <f aca="false">SUM(AK6:AK7)</f>
        <v>0</v>
      </c>
      <c r="AL5" s="67" t="n">
        <f aca="false">IFERROR(AK5/AK$5,0)</f>
        <v>0</v>
      </c>
      <c r="AM5" s="65"/>
      <c r="AN5" s="68" t="n">
        <f aca="false">SUM(AN6:AN7)</f>
        <v>0</v>
      </c>
      <c r="AO5" s="69" t="n">
        <f aca="false">IFERROR(AN5/AN$5,0)</f>
        <v>0</v>
      </c>
      <c r="AP5" s="65"/>
      <c r="AQ5" s="70" t="n">
        <f aca="false">SUM(AQ6:AQ7)</f>
        <v>0</v>
      </c>
      <c r="AR5" s="71" t="n">
        <f aca="false">IFERROR(AQ5/AQ$5,0)</f>
        <v>0</v>
      </c>
      <c r="AS5" s="65"/>
      <c r="AT5" s="72" t="n">
        <v>1</v>
      </c>
    </row>
    <row r="6" s="63" customFormat="true" ht="14.25" hidden="false" customHeight="false" outlineLevel="0" collapsed="false">
      <c r="B6" s="73" t="s">
        <v>167</v>
      </c>
      <c r="C6" s="74"/>
      <c r="D6" s="75" t="n">
        <f aca="false">SUMIFS('Dados Mov Financeira'!$N:$N,'Dados Mov Financeira'!$O:$O,'DRE 2020'!$B6,'Dados Mov Financeira'!$A:$A,'DRE 2020'!D$1,'Dados Mov Financeira'!$B:$B,'DRE 2020'!D$2)</f>
        <v>0</v>
      </c>
      <c r="E6" s="76" t="n">
        <f aca="false">IFERROR(D6/D$5,0)</f>
        <v>0</v>
      </c>
      <c r="F6" s="74"/>
      <c r="G6" s="75" t="n">
        <f aca="false">SUMIFS('Dados Mov Financeira'!$N:$N,'Dados Mov Financeira'!$O:$O,'DRE 2020'!$B6,'Dados Mov Financeira'!$A:$A,'DRE 2020'!G$1,'Dados Mov Financeira'!$B:$B,'DRE 2020'!G$2)</f>
        <v>0</v>
      </c>
      <c r="H6" s="76" t="n">
        <f aca="false">IFERROR(G6/G$5,0)</f>
        <v>0</v>
      </c>
      <c r="I6" s="74"/>
      <c r="J6" s="75" t="n">
        <f aca="false">SUMIFS('Dados Mov Financeira'!$N:$N,'Dados Mov Financeira'!$O:$O,'DRE 2020'!$B6,'Dados Mov Financeira'!$A:$A,'DRE 2020'!J$1,'Dados Mov Financeira'!$B:$B,'DRE 2020'!J$2)</f>
        <v>0</v>
      </c>
      <c r="K6" s="76" t="n">
        <f aca="false">IFERROR(J6/J$5,0)</f>
        <v>0</v>
      </c>
      <c r="L6" s="74"/>
      <c r="M6" s="75" t="n">
        <f aca="false">SUMIFS('Dados Mov Financeira'!$N:$N,'Dados Mov Financeira'!$O:$O,'DRE 2020'!$B6,'Dados Mov Financeira'!$A:$A,'DRE 2020'!M$1,'Dados Mov Financeira'!$B:$B,'DRE 2020'!M$2)</f>
        <v>0</v>
      </c>
      <c r="N6" s="76" t="n">
        <f aca="false">IFERROR(M6/M$5,0)</f>
        <v>0</v>
      </c>
      <c r="O6" s="74"/>
      <c r="P6" s="75" t="n">
        <f aca="false">SUMIFS('Dados Mov Financeira'!$N:$N,'Dados Mov Financeira'!$O:$O,'DRE 2020'!$B6,'Dados Mov Financeira'!$A:$A,'DRE 2020'!P$1,'Dados Mov Financeira'!$B:$B,'DRE 2020'!P$2)</f>
        <v>0</v>
      </c>
      <c r="Q6" s="76" t="n">
        <f aca="false">IFERROR(P6/P$5,0)</f>
        <v>0</v>
      </c>
      <c r="R6" s="74"/>
      <c r="S6" s="75" t="n">
        <f aca="false">SUMIFS('Dados Mov Financeira'!$N:$N,'Dados Mov Financeira'!$O:$O,'DRE 2020'!$B6,'Dados Mov Financeira'!$A:$A,'DRE 2020'!S$1,'Dados Mov Financeira'!$B:$B,'DRE 2020'!S$2)</f>
        <v>0</v>
      </c>
      <c r="T6" s="76" t="n">
        <f aca="false">IFERROR(S6/S$5,0)</f>
        <v>0</v>
      </c>
      <c r="U6" s="74"/>
      <c r="V6" s="75" t="n">
        <f aca="false">SUMIFS('Dados Mov Financeira'!$N:$N,'Dados Mov Financeira'!$O:$O,'DRE 2020'!$B6,'Dados Mov Financeira'!$A:$A,'DRE 2020'!V$1,'Dados Mov Financeira'!$B:$B,'DRE 2020'!V$2)</f>
        <v>0</v>
      </c>
      <c r="W6" s="76" t="n">
        <f aca="false">IFERROR(V6/V$5,0)</f>
        <v>0</v>
      </c>
      <c r="X6" s="74"/>
      <c r="Y6" s="75" t="n">
        <f aca="false">SUMIFS('Dados Mov Financeira'!$N:$N,'Dados Mov Financeira'!$O:$O,'DRE 2020'!$B6,'Dados Mov Financeira'!$A:$A,'DRE 2020'!Y$1,'Dados Mov Financeira'!$B:$B,'DRE 2020'!Y$2)</f>
        <v>0</v>
      </c>
      <c r="Z6" s="76" t="n">
        <f aca="false">IFERROR(Y6/Y$5,0)</f>
        <v>0</v>
      </c>
      <c r="AA6" s="74"/>
      <c r="AB6" s="75" t="n">
        <f aca="false">SUMIFS('Dados Mov Financeira'!$N:$N,'Dados Mov Financeira'!$O:$O,'DRE 2020'!$B6,'Dados Mov Financeira'!$A:$A,'DRE 2020'!AB$1,'Dados Mov Financeira'!$B:$B,'DRE 2020'!AB$2)</f>
        <v>0</v>
      </c>
      <c r="AC6" s="76" t="n">
        <f aca="false">IFERROR(AB6/AB$5,0)</f>
        <v>0</v>
      </c>
      <c r="AD6" s="74"/>
      <c r="AE6" s="75" t="n">
        <f aca="false">SUMIFS('Dados Mov Financeira'!$N:$N,'Dados Mov Financeira'!$O:$O,'DRE 2020'!$B6,'Dados Mov Financeira'!$A:$A,'DRE 2020'!AE$1,'Dados Mov Financeira'!$B:$B,'DRE 2020'!AE$2)</f>
        <v>0</v>
      </c>
      <c r="AF6" s="76" t="n">
        <f aca="false">IFERROR(AE6/AE$5,0)</f>
        <v>0</v>
      </c>
      <c r="AG6" s="74"/>
      <c r="AH6" s="75" t="n">
        <f aca="false">SUMIFS('Dados Mov Financeira'!$N:$N,'Dados Mov Financeira'!$O:$O,'DRE 2020'!$B6,'Dados Mov Financeira'!$A:$A,'DRE 2020'!AH$1,'Dados Mov Financeira'!$B:$B,'DRE 2020'!AH$2)</f>
        <v>0</v>
      </c>
      <c r="AI6" s="76" t="n">
        <f aca="false">IFERROR(AH6/AH$5,0)</f>
        <v>0</v>
      </c>
      <c r="AJ6" s="74"/>
      <c r="AK6" s="75" t="n">
        <f aca="false">SUMIFS('Dados Mov Financeira'!$N:$N,'Dados Mov Financeira'!$O:$O,'DRE 2020'!$B6,'Dados Mov Financeira'!$A:$A,'DRE 2020'!AK$1,'Dados Mov Financeira'!$B:$B,'DRE 2020'!AK$2)</f>
        <v>0</v>
      </c>
      <c r="AL6" s="76" t="n">
        <f aca="false">IFERROR(AK6/AK$5,0)</f>
        <v>0</v>
      </c>
      <c r="AM6" s="74"/>
      <c r="AN6" s="75" t="n">
        <f aca="false">SUM(D6,G6,J6,M6,P6,S6,V6,Y6,AB6,AE6,AH6,AK6)</f>
        <v>0</v>
      </c>
      <c r="AO6" s="76" t="n">
        <f aca="false">IFERROR(AN6/AN$5,0)</f>
        <v>0</v>
      </c>
      <c r="AP6" s="74"/>
      <c r="AQ6" s="77" t="n">
        <f aca="false">AN6/$AR$1</f>
        <v>0</v>
      </c>
      <c r="AR6" s="76" t="n">
        <f aca="false">IFERROR(AQ6/AQ$5,0)</f>
        <v>0</v>
      </c>
      <c r="AS6" s="74"/>
      <c r="AT6" s="78" t="n">
        <v>1</v>
      </c>
    </row>
    <row r="7" s="63" customFormat="true" ht="14.25" hidden="false" customHeight="false" outlineLevel="0" collapsed="false">
      <c r="B7" s="73" t="s">
        <v>168</v>
      </c>
      <c r="C7" s="74"/>
      <c r="D7" s="75" t="n">
        <f aca="false">SUMIFS('Dados Mov Financeira'!$N:$N,'Dados Mov Financeira'!$O:$O,'DRE 2020'!$B7,'Dados Mov Financeira'!$A:$A,'DRE 2020'!D$1,'Dados Mov Financeira'!$B:$B,'DRE 2020'!D$2)</f>
        <v>0</v>
      </c>
      <c r="E7" s="76" t="n">
        <f aca="false">IFERROR(D7/D$5,0)</f>
        <v>0</v>
      </c>
      <c r="F7" s="74"/>
      <c r="G7" s="75" t="n">
        <f aca="false">SUMIFS('Dados Mov Financeira'!$N:$N,'Dados Mov Financeira'!$O:$O,'DRE 2020'!$B7,'Dados Mov Financeira'!$A:$A,'DRE 2020'!G$1,'Dados Mov Financeira'!$B:$B,'DRE 2020'!G$2)</f>
        <v>0</v>
      </c>
      <c r="H7" s="76" t="n">
        <f aca="false">IFERROR(G7/G$5,0)</f>
        <v>0</v>
      </c>
      <c r="I7" s="74"/>
      <c r="J7" s="75" t="n">
        <f aca="false">SUMIFS('Dados Mov Financeira'!$N:$N,'Dados Mov Financeira'!$O:$O,'DRE 2020'!$B7,'Dados Mov Financeira'!$A:$A,'DRE 2020'!J$1,'Dados Mov Financeira'!$B:$B,'DRE 2020'!J$2)</f>
        <v>0</v>
      </c>
      <c r="K7" s="76" t="n">
        <f aca="false">IFERROR(J7/J$5,0)</f>
        <v>0</v>
      </c>
      <c r="L7" s="74"/>
      <c r="M7" s="75" t="n">
        <f aca="false">SUMIFS('Dados Mov Financeira'!$N:$N,'Dados Mov Financeira'!$O:$O,'DRE 2020'!$B7,'Dados Mov Financeira'!$A:$A,'DRE 2020'!M$1,'Dados Mov Financeira'!$B:$B,'DRE 2020'!M$2)</f>
        <v>0</v>
      </c>
      <c r="N7" s="76" t="n">
        <f aca="false">IFERROR(M7/M$5,0)</f>
        <v>0</v>
      </c>
      <c r="O7" s="74"/>
      <c r="P7" s="75" t="n">
        <f aca="false">SUMIFS('Dados Mov Financeira'!$N:$N,'Dados Mov Financeira'!$O:$O,'DRE 2020'!$B7,'Dados Mov Financeira'!$A:$A,'DRE 2020'!P$1,'Dados Mov Financeira'!$B:$B,'DRE 2020'!P$2)</f>
        <v>0</v>
      </c>
      <c r="Q7" s="76" t="n">
        <f aca="false">IFERROR(P7/P$5,0)</f>
        <v>0</v>
      </c>
      <c r="R7" s="74"/>
      <c r="S7" s="75" t="n">
        <f aca="false">SUMIFS('Dados Mov Financeira'!$N:$N,'Dados Mov Financeira'!$O:$O,'DRE 2020'!$B7,'Dados Mov Financeira'!$A:$A,'DRE 2020'!S$1,'Dados Mov Financeira'!$B:$B,'DRE 2020'!S$2)</f>
        <v>0</v>
      </c>
      <c r="T7" s="76" t="n">
        <f aca="false">IFERROR(S7/S$5,0)</f>
        <v>0</v>
      </c>
      <c r="U7" s="74"/>
      <c r="V7" s="75" t="n">
        <f aca="false">SUMIFS('Dados Mov Financeira'!$N:$N,'Dados Mov Financeira'!$O:$O,'DRE 2020'!$B7,'Dados Mov Financeira'!$A:$A,'DRE 2020'!V$1,'Dados Mov Financeira'!$B:$B,'DRE 2020'!V$2)</f>
        <v>0</v>
      </c>
      <c r="W7" s="76" t="n">
        <f aca="false">IFERROR(V7/V$5,0)</f>
        <v>0</v>
      </c>
      <c r="X7" s="74"/>
      <c r="Y7" s="75" t="n">
        <f aca="false">SUMIFS('Dados Mov Financeira'!$N:$N,'Dados Mov Financeira'!$O:$O,'DRE 2020'!$B7,'Dados Mov Financeira'!$A:$A,'DRE 2020'!Y$1,'Dados Mov Financeira'!$B:$B,'DRE 2020'!Y$2)</f>
        <v>0</v>
      </c>
      <c r="Z7" s="76" t="n">
        <f aca="false">IFERROR(Y7/Y$5,0)</f>
        <v>0</v>
      </c>
      <c r="AA7" s="74"/>
      <c r="AB7" s="75" t="n">
        <f aca="false">SUMIFS('Dados Mov Financeira'!$N:$N,'Dados Mov Financeira'!$O:$O,'DRE 2020'!$B7,'Dados Mov Financeira'!$A:$A,'DRE 2020'!AB$1,'Dados Mov Financeira'!$B:$B,'DRE 2020'!AB$2)</f>
        <v>0</v>
      </c>
      <c r="AC7" s="76" t="n">
        <f aca="false">IFERROR(AB7/AB$5,0)</f>
        <v>0</v>
      </c>
      <c r="AD7" s="74"/>
      <c r="AE7" s="75" t="n">
        <f aca="false">SUMIFS('Dados Mov Financeira'!$N:$N,'Dados Mov Financeira'!$O:$O,'DRE 2020'!$B7,'Dados Mov Financeira'!$A:$A,'DRE 2020'!AE$1,'Dados Mov Financeira'!$B:$B,'DRE 2020'!AE$2)</f>
        <v>0</v>
      </c>
      <c r="AF7" s="76" t="n">
        <f aca="false">IFERROR(AE7/AE$5,0)</f>
        <v>0</v>
      </c>
      <c r="AG7" s="74"/>
      <c r="AH7" s="75" t="n">
        <f aca="false">SUMIFS('Dados Mov Financeira'!$N:$N,'Dados Mov Financeira'!$O:$O,'DRE 2020'!$B7,'Dados Mov Financeira'!$A:$A,'DRE 2020'!AH$1,'Dados Mov Financeira'!$B:$B,'DRE 2020'!AH$2)</f>
        <v>0</v>
      </c>
      <c r="AI7" s="76" t="n">
        <f aca="false">IFERROR(AH7/AH$5,0)</f>
        <v>0</v>
      </c>
      <c r="AJ7" s="74"/>
      <c r="AK7" s="75" t="n">
        <f aca="false">SUMIFS('Dados Mov Financeira'!$N:$N,'Dados Mov Financeira'!$O:$O,'DRE 2020'!$B7,'Dados Mov Financeira'!$A:$A,'DRE 2020'!AK$1,'Dados Mov Financeira'!$B:$B,'DRE 2020'!AK$2)</f>
        <v>0</v>
      </c>
      <c r="AL7" s="76" t="n">
        <f aca="false">IFERROR(AK7/AK$5,0)</f>
        <v>0</v>
      </c>
      <c r="AM7" s="74"/>
      <c r="AN7" s="75" t="n">
        <f aca="false">SUM(D7,G7,J7,M7,P7,S7,V7,Y7,AB7,AE7,AH7,AK7)</f>
        <v>0</v>
      </c>
      <c r="AO7" s="76" t="n">
        <f aca="false">IFERROR(AN7/AN$5,0)</f>
        <v>0</v>
      </c>
      <c r="AP7" s="74"/>
      <c r="AQ7" s="77" t="n">
        <f aca="false">AN7/$AR$1</f>
        <v>0</v>
      </c>
      <c r="AR7" s="76" t="n">
        <f aca="false">IFERROR(AQ7/AQ$5,0)</f>
        <v>0</v>
      </c>
      <c r="AS7" s="74"/>
      <c r="AT7" s="78" t="n">
        <v>1</v>
      </c>
    </row>
    <row r="8" s="57" customFormat="true" ht="7.5" hidden="false" customHeight="true" outlineLevel="0" collapsed="false">
      <c r="B8" s="48"/>
      <c r="C8" s="58"/>
      <c r="D8" s="59"/>
      <c r="E8" s="60"/>
      <c r="F8" s="58"/>
      <c r="G8" s="59"/>
      <c r="H8" s="60"/>
      <c r="I8" s="58"/>
      <c r="J8" s="59"/>
      <c r="K8" s="60"/>
      <c r="L8" s="58"/>
      <c r="M8" s="59"/>
      <c r="N8" s="60"/>
      <c r="O8" s="58"/>
      <c r="P8" s="59"/>
      <c r="Q8" s="60"/>
      <c r="R8" s="58"/>
      <c r="S8" s="59"/>
      <c r="T8" s="60"/>
      <c r="U8" s="58"/>
      <c r="V8" s="59"/>
      <c r="W8" s="60"/>
      <c r="X8" s="58"/>
      <c r="Y8" s="59"/>
      <c r="Z8" s="60"/>
      <c r="AA8" s="58"/>
      <c r="AB8" s="59"/>
      <c r="AC8" s="60"/>
      <c r="AD8" s="58"/>
      <c r="AE8" s="59"/>
      <c r="AF8" s="60"/>
      <c r="AG8" s="58"/>
      <c r="AH8" s="59"/>
      <c r="AI8" s="60"/>
      <c r="AJ8" s="58"/>
      <c r="AK8" s="59"/>
      <c r="AL8" s="60"/>
      <c r="AM8" s="58"/>
      <c r="AN8" s="59"/>
      <c r="AO8" s="60"/>
      <c r="AP8" s="58"/>
      <c r="AQ8" s="61"/>
      <c r="AR8" s="60"/>
      <c r="AS8" s="58"/>
      <c r="AT8" s="62"/>
    </row>
    <row r="9" s="63" customFormat="true" ht="17.35" hidden="false" customHeight="false" outlineLevel="0" collapsed="false">
      <c r="A9" s="36"/>
      <c r="B9" s="79" t="s">
        <v>38</v>
      </c>
      <c r="D9" s="80" t="n">
        <f aca="false">D10+D15</f>
        <v>0</v>
      </c>
      <c r="E9" s="81" t="n">
        <f aca="false">IFERROR(D9/D$5,0)</f>
        <v>0</v>
      </c>
      <c r="G9" s="80" t="n">
        <f aca="false">G10+G15</f>
        <v>0</v>
      </c>
      <c r="H9" s="81" t="n">
        <f aca="false">IFERROR(G9/G$5,0)</f>
        <v>0</v>
      </c>
      <c r="J9" s="80" t="n">
        <f aca="false">J10+J15</f>
        <v>0</v>
      </c>
      <c r="K9" s="81" t="n">
        <f aca="false">IFERROR(J9/J$5,0)</f>
        <v>0</v>
      </c>
      <c r="M9" s="80" t="n">
        <f aca="false">M10+M15</f>
        <v>0</v>
      </c>
      <c r="N9" s="81" t="n">
        <f aca="false">IFERROR(M9/M$5,0)</f>
        <v>0</v>
      </c>
      <c r="P9" s="80" t="n">
        <f aca="false">P10+P15</f>
        <v>0</v>
      </c>
      <c r="Q9" s="81" t="n">
        <f aca="false">IFERROR(P9/P$5,0)</f>
        <v>0</v>
      </c>
      <c r="S9" s="80" t="n">
        <f aca="false">S10+S15</f>
        <v>0</v>
      </c>
      <c r="T9" s="81" t="n">
        <f aca="false">IFERROR(S9/S$5,0)</f>
        <v>0</v>
      </c>
      <c r="V9" s="80" t="n">
        <f aca="false">V10+V15</f>
        <v>0</v>
      </c>
      <c r="W9" s="81" t="n">
        <f aca="false">IFERROR(V9/V$5,0)</f>
        <v>0</v>
      </c>
      <c r="Y9" s="80" t="n">
        <f aca="false">Y10+Y15</f>
        <v>0</v>
      </c>
      <c r="Z9" s="81" t="n">
        <f aca="false">IFERROR(Y9/Y$5,0)</f>
        <v>0</v>
      </c>
      <c r="AB9" s="80" t="n">
        <f aca="false">AB10+AB15</f>
        <v>0</v>
      </c>
      <c r="AC9" s="81" t="n">
        <f aca="false">IFERROR(AB9/AB$5,0)</f>
        <v>0</v>
      </c>
      <c r="AE9" s="80" t="n">
        <f aca="false">AE10+AE15</f>
        <v>0</v>
      </c>
      <c r="AF9" s="81" t="n">
        <f aca="false">IFERROR(AE9/AE$5,0)</f>
        <v>0</v>
      </c>
      <c r="AH9" s="80" t="n">
        <f aca="false">AH10+AH15</f>
        <v>0</v>
      </c>
      <c r="AI9" s="81" t="n">
        <f aca="false">IFERROR(AH9/AH$5,0)</f>
        <v>0</v>
      </c>
      <c r="AK9" s="80" t="n">
        <f aca="false">AK10+AK15</f>
        <v>0</v>
      </c>
      <c r="AL9" s="81" t="n">
        <f aca="false">IFERROR(AK9/AK$5,0)</f>
        <v>0</v>
      </c>
      <c r="AN9" s="80" t="n">
        <f aca="false">AN10+AN15</f>
        <v>0</v>
      </c>
      <c r="AO9" s="81" t="n">
        <f aca="false">IFERROR(AN9/AN$5,0)</f>
        <v>0</v>
      </c>
      <c r="AQ9" s="82" t="n">
        <f aca="false">AQ10+AQ15</f>
        <v>0</v>
      </c>
      <c r="AR9" s="83" t="n">
        <f aca="false">IFERROR(AQ9/AQ$5,0)</f>
        <v>0</v>
      </c>
      <c r="AT9" s="84" t="n">
        <f aca="false">SUM(AT10:AT15)</f>
        <v>-0.0665</v>
      </c>
    </row>
    <row r="10" s="63" customFormat="true" ht="14.25" hidden="false" customHeight="false" outlineLevel="0" collapsed="false">
      <c r="B10" s="85" t="s">
        <v>39</v>
      </c>
      <c r="C10" s="86"/>
      <c r="D10" s="87" t="n">
        <f aca="false">SUM(D11:D14)</f>
        <v>0</v>
      </c>
      <c r="E10" s="88" t="n">
        <f aca="false">IFERROR(D10/D$5,0)</f>
        <v>0</v>
      </c>
      <c r="F10" s="86"/>
      <c r="G10" s="87" t="n">
        <f aca="false">SUM(G11:G14)</f>
        <v>0</v>
      </c>
      <c r="H10" s="88" t="n">
        <f aca="false">IFERROR(G10/G$5,0)</f>
        <v>0</v>
      </c>
      <c r="I10" s="86"/>
      <c r="J10" s="87" t="n">
        <f aca="false">SUM(J11:J14)</f>
        <v>0</v>
      </c>
      <c r="K10" s="88" t="n">
        <f aca="false">IFERROR(J10/J$5,0)</f>
        <v>0</v>
      </c>
      <c r="L10" s="86"/>
      <c r="M10" s="87" t="n">
        <f aca="false">SUM(M11:M14)</f>
        <v>0</v>
      </c>
      <c r="N10" s="88" t="n">
        <f aca="false">IFERROR(M10/M$5,0)</f>
        <v>0</v>
      </c>
      <c r="O10" s="86"/>
      <c r="P10" s="87" t="n">
        <f aca="false">SUM(P11:P14)</f>
        <v>0</v>
      </c>
      <c r="Q10" s="88" t="n">
        <f aca="false">IFERROR(P10/P$5,0)</f>
        <v>0</v>
      </c>
      <c r="R10" s="86"/>
      <c r="S10" s="87" t="n">
        <f aca="false">SUM(S11:S14)</f>
        <v>0</v>
      </c>
      <c r="T10" s="88" t="n">
        <f aca="false">IFERROR(S10/S$5,0)</f>
        <v>0</v>
      </c>
      <c r="U10" s="86"/>
      <c r="V10" s="87" t="n">
        <f aca="false">SUM(V11:V14)</f>
        <v>0</v>
      </c>
      <c r="W10" s="88" t="n">
        <f aca="false">IFERROR(V10/V$5,0)</f>
        <v>0</v>
      </c>
      <c r="X10" s="86"/>
      <c r="Y10" s="87" t="n">
        <f aca="false">SUM(Y11:Y14)</f>
        <v>0</v>
      </c>
      <c r="Z10" s="88" t="n">
        <f aca="false">IFERROR(Y10/Y$5,0)</f>
        <v>0</v>
      </c>
      <c r="AA10" s="86"/>
      <c r="AB10" s="87" t="n">
        <f aca="false">SUM(AB11:AB14)</f>
        <v>0</v>
      </c>
      <c r="AC10" s="88" t="n">
        <f aca="false">IFERROR(AB10/AB$5,0)</f>
        <v>0</v>
      </c>
      <c r="AD10" s="86"/>
      <c r="AE10" s="87" t="n">
        <f aca="false">SUM(AE11:AE14)</f>
        <v>0</v>
      </c>
      <c r="AF10" s="88" t="n">
        <f aca="false">IFERROR(AE10/AE$5,0)</f>
        <v>0</v>
      </c>
      <c r="AG10" s="86"/>
      <c r="AH10" s="87" t="n">
        <f aca="false">SUM(AH11:AH14)</f>
        <v>0</v>
      </c>
      <c r="AI10" s="88" t="n">
        <f aca="false">IFERROR(AH10/AH$5,0)</f>
        <v>0</v>
      </c>
      <c r="AJ10" s="86"/>
      <c r="AK10" s="87" t="n">
        <f aca="false">SUM(AK11:AK14)</f>
        <v>0</v>
      </c>
      <c r="AL10" s="88" t="n">
        <f aca="false">IFERROR(AK10/AK$5,0)</f>
        <v>0</v>
      </c>
      <c r="AM10" s="86"/>
      <c r="AN10" s="75" t="n">
        <f aca="false">SUM(D10,G10,J10,M10,P10,S10,V10,Y10,AB10,AE10,AH10,AK10)</f>
        <v>0</v>
      </c>
      <c r="AO10" s="88" t="n">
        <f aca="false">IFERROR(AN10/AN$5,0)</f>
        <v>0</v>
      </c>
      <c r="AP10" s="86"/>
      <c r="AQ10" s="77" t="n">
        <f aca="false">AN10/$AR$1</f>
        <v>0</v>
      </c>
      <c r="AR10" s="76" t="n">
        <f aca="false">IFERROR(AQ10/AQ$5,0)</f>
        <v>0</v>
      </c>
      <c r="AS10" s="86"/>
      <c r="AT10" s="78" t="n">
        <v>0</v>
      </c>
    </row>
    <row r="11" customFormat="false" ht="14.25" hidden="true" customHeight="false" outlineLevel="1" collapsed="false">
      <c r="B11" s="89" t="s">
        <v>40</v>
      </c>
      <c r="C11" s="90"/>
      <c r="D11" s="75" t="n">
        <f aca="false">SUMIFS('Dados Mov Financeira'!$N:$N,'Dados Mov Financeira'!$O:$O,'DRE 2020'!$B11,'Dados Mov Financeira'!$A:$A,'DRE 2020'!D$1,'Dados Mov Financeira'!$B:$B,'DRE 2020'!D$2)</f>
        <v>0</v>
      </c>
      <c r="E11" s="91" t="n">
        <f aca="false">IFERROR(D11/D$5,0)</f>
        <v>0</v>
      </c>
      <c r="F11" s="90"/>
      <c r="G11" s="75" t="n">
        <f aca="false">SUMIFS('Dados Mov Financeira'!$N:$N,'Dados Mov Financeira'!$O:$O,'DRE 2020'!$B11,'Dados Mov Financeira'!$A:$A,'DRE 2020'!G$1,'Dados Mov Financeira'!$B:$B,'DRE 2020'!G$2)</f>
        <v>0</v>
      </c>
      <c r="H11" s="91" t="n">
        <f aca="false">IFERROR(G11/G$5,0)</f>
        <v>0</v>
      </c>
      <c r="I11" s="90"/>
      <c r="J11" s="75" t="n">
        <f aca="false">SUMIFS('Dados Mov Financeira'!$N:$N,'Dados Mov Financeira'!$O:$O,'DRE 2020'!$B11,'Dados Mov Financeira'!$A:$A,'DRE 2020'!J$1,'Dados Mov Financeira'!$B:$B,'DRE 2020'!J$2)</f>
        <v>0</v>
      </c>
      <c r="K11" s="91" t="n">
        <f aca="false">IFERROR(J11/J$5,0)</f>
        <v>0</v>
      </c>
      <c r="L11" s="90"/>
      <c r="M11" s="75" t="n">
        <f aca="false">SUMIFS('Dados Mov Financeira'!$N:$N,'Dados Mov Financeira'!$O:$O,'DRE 2020'!$B11,'Dados Mov Financeira'!$A:$A,'DRE 2020'!M$1,'Dados Mov Financeira'!$B:$B,'DRE 2020'!M$2)</f>
        <v>0</v>
      </c>
      <c r="N11" s="91" t="n">
        <f aca="false">IFERROR(M11/M$5,0)</f>
        <v>0</v>
      </c>
      <c r="O11" s="90"/>
      <c r="P11" s="75" t="n">
        <f aca="false">SUMIFS('Dados Mov Financeira'!$N:$N,'Dados Mov Financeira'!$O:$O,'DRE 2020'!$B11,'Dados Mov Financeira'!$A:$A,'DRE 2020'!P$1,'Dados Mov Financeira'!$B:$B,'DRE 2020'!P$2)</f>
        <v>0</v>
      </c>
      <c r="Q11" s="91" t="n">
        <f aca="false">IFERROR(P11/P$5,0)</f>
        <v>0</v>
      </c>
      <c r="R11" s="90"/>
      <c r="S11" s="75" t="n">
        <f aca="false">SUMIFS('Dados Mov Financeira'!$N:$N,'Dados Mov Financeira'!$O:$O,'DRE 2020'!$B11,'Dados Mov Financeira'!$A:$A,'DRE 2020'!S$1,'Dados Mov Financeira'!$B:$B,'DRE 2020'!S$2)</f>
        <v>0</v>
      </c>
      <c r="T11" s="91" t="n">
        <f aca="false">IFERROR(S11/S$5,0)</f>
        <v>0</v>
      </c>
      <c r="U11" s="90"/>
      <c r="V11" s="75" t="n">
        <f aca="false">SUMIFS('Dados Mov Financeira'!$N:$N,'Dados Mov Financeira'!$O:$O,'DRE 2020'!$B11,'Dados Mov Financeira'!$A:$A,'DRE 2020'!V$1,'Dados Mov Financeira'!$B:$B,'DRE 2020'!V$2)</f>
        <v>0</v>
      </c>
      <c r="W11" s="91" t="n">
        <f aca="false">IFERROR(V11/V$5,0)</f>
        <v>0</v>
      </c>
      <c r="X11" s="90"/>
      <c r="Y11" s="75" t="n">
        <f aca="false">SUMIFS('Dados Mov Financeira'!$N:$N,'Dados Mov Financeira'!$O:$O,'DRE 2020'!$B11,'Dados Mov Financeira'!$A:$A,'DRE 2020'!Y$1,'Dados Mov Financeira'!$B:$B,'DRE 2020'!Y$2)</f>
        <v>0</v>
      </c>
      <c r="Z11" s="91" t="n">
        <f aca="false">IFERROR(Y11/Y$5,0)</f>
        <v>0</v>
      </c>
      <c r="AA11" s="90"/>
      <c r="AB11" s="75" t="n">
        <f aca="false">SUMIFS('Dados Mov Financeira'!$N:$N,'Dados Mov Financeira'!$O:$O,'DRE 2020'!$B11,'Dados Mov Financeira'!$A:$A,'DRE 2020'!AB$1,'Dados Mov Financeira'!$B:$B,'DRE 2020'!AB$2)</f>
        <v>0</v>
      </c>
      <c r="AC11" s="91" t="n">
        <f aca="false">IFERROR(AB11/AB$5,0)</f>
        <v>0</v>
      </c>
      <c r="AD11" s="90"/>
      <c r="AE11" s="75" t="n">
        <f aca="false">SUMIFS('Dados Mov Financeira'!$N:$N,'Dados Mov Financeira'!$O:$O,'DRE 2020'!$B11,'Dados Mov Financeira'!$A:$A,'DRE 2020'!AE$1,'Dados Mov Financeira'!$B:$B,'DRE 2020'!AE$2)</f>
        <v>0</v>
      </c>
      <c r="AF11" s="91" t="n">
        <f aca="false">IFERROR(AE11/AE$5,0)</f>
        <v>0</v>
      </c>
      <c r="AG11" s="90"/>
      <c r="AH11" s="75" t="n">
        <f aca="false">SUMIFS('Dados Mov Financeira'!$N:$N,'Dados Mov Financeira'!$O:$O,'DRE 2020'!$B11,'Dados Mov Financeira'!$A:$A,'DRE 2020'!AH$1,'Dados Mov Financeira'!$B:$B,'DRE 2020'!AH$2)</f>
        <v>0</v>
      </c>
      <c r="AI11" s="91" t="n">
        <f aca="false">IFERROR(AH11/AH$5,0)</f>
        <v>0</v>
      </c>
      <c r="AJ11" s="90"/>
      <c r="AK11" s="75" t="n">
        <f aca="false">SUMIFS('Dados Mov Financeira'!$N:$N,'Dados Mov Financeira'!$O:$O,'DRE 2020'!$B11,'Dados Mov Financeira'!$A:$A,'DRE 2020'!AK$1,'Dados Mov Financeira'!$B:$B,'DRE 2020'!AK$2)</f>
        <v>0</v>
      </c>
      <c r="AL11" s="91" t="n">
        <f aca="false">IFERROR(AK11/AK$5,0)</f>
        <v>0</v>
      </c>
      <c r="AM11" s="90"/>
      <c r="AN11" s="92" t="n">
        <f aca="false">SUM(D11,G11,J11,M11,P11,S11,V11,Y11,AB11,AE11,AH11,AK11)</f>
        <v>0</v>
      </c>
      <c r="AO11" s="91" t="n">
        <f aca="false">IFERROR(AN11/AN$5,0)</f>
        <v>0</v>
      </c>
      <c r="AP11" s="90"/>
      <c r="AQ11" s="93" t="n">
        <f aca="false">AN11/$AR$1</f>
        <v>0</v>
      </c>
      <c r="AR11" s="94" t="n">
        <f aca="false">IFERROR(AQ11/AQ$5,0)</f>
        <v>0</v>
      </c>
      <c r="AS11" s="90"/>
      <c r="AT11" s="78"/>
    </row>
    <row r="12" customFormat="false" ht="14.25" hidden="true" customHeight="false" outlineLevel="1" collapsed="false">
      <c r="B12" s="89" t="s">
        <v>41</v>
      </c>
      <c r="C12" s="90"/>
      <c r="D12" s="75" t="n">
        <f aca="false">SUMIFS('Dados Mov Financeira'!$N:$N,'Dados Mov Financeira'!$O:$O,'DRE 2020'!$B12,'Dados Mov Financeira'!$A:$A,'DRE 2020'!D$1,'Dados Mov Financeira'!$B:$B,'DRE 2020'!D$2)</f>
        <v>0</v>
      </c>
      <c r="E12" s="91" t="n">
        <f aca="false">IFERROR(D12/D$5,0)</f>
        <v>0</v>
      </c>
      <c r="F12" s="90"/>
      <c r="G12" s="75" t="n">
        <f aca="false">SUMIFS('Dados Mov Financeira'!$N:$N,'Dados Mov Financeira'!$O:$O,'DRE 2020'!$B12,'Dados Mov Financeira'!$A:$A,'DRE 2020'!G$1,'Dados Mov Financeira'!$B:$B,'DRE 2020'!G$2)</f>
        <v>0</v>
      </c>
      <c r="H12" s="91" t="n">
        <f aca="false">IFERROR(G12/G$5,0)</f>
        <v>0</v>
      </c>
      <c r="I12" s="90"/>
      <c r="J12" s="75" t="n">
        <f aca="false">SUMIFS('Dados Mov Financeira'!$N:$N,'Dados Mov Financeira'!$O:$O,'DRE 2020'!$B12,'Dados Mov Financeira'!$A:$A,'DRE 2020'!J$1,'Dados Mov Financeira'!$B:$B,'DRE 2020'!J$2)</f>
        <v>0</v>
      </c>
      <c r="K12" s="91" t="n">
        <f aca="false">IFERROR(J12/J$5,0)</f>
        <v>0</v>
      </c>
      <c r="L12" s="90"/>
      <c r="M12" s="75" t="n">
        <f aca="false">SUMIFS('Dados Mov Financeira'!$N:$N,'Dados Mov Financeira'!$O:$O,'DRE 2020'!$B12,'Dados Mov Financeira'!$A:$A,'DRE 2020'!M$1,'Dados Mov Financeira'!$B:$B,'DRE 2020'!M$2)</f>
        <v>0</v>
      </c>
      <c r="N12" s="91" t="n">
        <f aca="false">IFERROR(M12/M$5,0)</f>
        <v>0</v>
      </c>
      <c r="O12" s="90"/>
      <c r="P12" s="75" t="n">
        <f aca="false">SUMIFS('Dados Mov Financeira'!$N:$N,'Dados Mov Financeira'!$O:$O,'DRE 2020'!$B12,'Dados Mov Financeira'!$A:$A,'DRE 2020'!P$1,'Dados Mov Financeira'!$B:$B,'DRE 2020'!P$2)</f>
        <v>0</v>
      </c>
      <c r="Q12" s="91" t="n">
        <f aca="false">IFERROR(P12/P$5,0)</f>
        <v>0</v>
      </c>
      <c r="R12" s="90"/>
      <c r="S12" s="75" t="n">
        <f aca="false">SUMIFS('Dados Mov Financeira'!$N:$N,'Dados Mov Financeira'!$O:$O,'DRE 2020'!$B12,'Dados Mov Financeira'!$A:$A,'DRE 2020'!S$1,'Dados Mov Financeira'!$B:$B,'DRE 2020'!S$2)</f>
        <v>0</v>
      </c>
      <c r="T12" s="91" t="n">
        <f aca="false">IFERROR(S12/S$5,0)</f>
        <v>0</v>
      </c>
      <c r="U12" s="90"/>
      <c r="V12" s="75" t="n">
        <f aca="false">SUMIFS('Dados Mov Financeira'!$N:$N,'Dados Mov Financeira'!$O:$O,'DRE 2020'!$B12,'Dados Mov Financeira'!$A:$A,'DRE 2020'!V$1,'Dados Mov Financeira'!$B:$B,'DRE 2020'!V$2)</f>
        <v>0</v>
      </c>
      <c r="W12" s="91" t="n">
        <f aca="false">IFERROR(V12/V$5,0)</f>
        <v>0</v>
      </c>
      <c r="X12" s="90"/>
      <c r="Y12" s="75" t="n">
        <f aca="false">SUMIFS('Dados Mov Financeira'!$N:$N,'Dados Mov Financeira'!$O:$O,'DRE 2020'!$B12,'Dados Mov Financeira'!$A:$A,'DRE 2020'!Y$1,'Dados Mov Financeira'!$B:$B,'DRE 2020'!Y$2)</f>
        <v>0</v>
      </c>
      <c r="Z12" s="91" t="n">
        <f aca="false">IFERROR(Y12/Y$5,0)</f>
        <v>0</v>
      </c>
      <c r="AA12" s="90"/>
      <c r="AB12" s="75" t="n">
        <f aca="false">SUMIFS('Dados Mov Financeira'!$N:$N,'Dados Mov Financeira'!$O:$O,'DRE 2020'!$B12,'Dados Mov Financeira'!$A:$A,'DRE 2020'!AB$1,'Dados Mov Financeira'!$B:$B,'DRE 2020'!AB$2)</f>
        <v>0</v>
      </c>
      <c r="AC12" s="91" t="n">
        <f aca="false">IFERROR(AB12/AB$5,0)</f>
        <v>0</v>
      </c>
      <c r="AD12" s="90"/>
      <c r="AE12" s="75" t="n">
        <f aca="false">SUMIFS('Dados Mov Financeira'!$N:$N,'Dados Mov Financeira'!$O:$O,'DRE 2020'!$B12,'Dados Mov Financeira'!$A:$A,'DRE 2020'!AE$1,'Dados Mov Financeira'!$B:$B,'DRE 2020'!AE$2)</f>
        <v>0</v>
      </c>
      <c r="AF12" s="91" t="n">
        <f aca="false">IFERROR(AE12/AE$5,0)</f>
        <v>0</v>
      </c>
      <c r="AG12" s="90"/>
      <c r="AH12" s="75" t="n">
        <f aca="false">SUMIFS('Dados Mov Financeira'!$N:$N,'Dados Mov Financeira'!$O:$O,'DRE 2020'!$B12,'Dados Mov Financeira'!$A:$A,'DRE 2020'!AH$1,'Dados Mov Financeira'!$B:$B,'DRE 2020'!AH$2)</f>
        <v>0</v>
      </c>
      <c r="AI12" s="91" t="n">
        <f aca="false">IFERROR(AH12/AH$5,0)</f>
        <v>0</v>
      </c>
      <c r="AJ12" s="90"/>
      <c r="AK12" s="75" t="n">
        <f aca="false">SUMIFS('Dados Mov Financeira'!$N:$N,'Dados Mov Financeira'!$O:$O,'DRE 2020'!$B12,'Dados Mov Financeira'!$A:$A,'DRE 2020'!AK$1,'Dados Mov Financeira'!$B:$B,'DRE 2020'!AK$2)</f>
        <v>0</v>
      </c>
      <c r="AL12" s="91" t="n">
        <f aca="false">IFERROR(AK12/AK$5,0)</f>
        <v>0</v>
      </c>
      <c r="AM12" s="90"/>
      <c r="AN12" s="92" t="n">
        <f aca="false">SUM(D12,G12,J12,M12,P12,S12,V12,Y12,AB12,AE12,AH12,AK12)</f>
        <v>0</v>
      </c>
      <c r="AO12" s="91" t="n">
        <f aca="false">IFERROR(AN12/AN$5,0)</f>
        <v>0</v>
      </c>
      <c r="AP12" s="90"/>
      <c r="AQ12" s="93" t="n">
        <f aca="false">AN12/$AR$1</f>
        <v>0</v>
      </c>
      <c r="AR12" s="94" t="n">
        <f aca="false">IFERROR(AQ12/AQ$5,0)</f>
        <v>0</v>
      </c>
      <c r="AS12" s="90"/>
      <c r="AT12" s="78"/>
    </row>
    <row r="13" customFormat="false" ht="14.25" hidden="true" customHeight="false" outlineLevel="1" collapsed="false">
      <c r="B13" s="89" t="s">
        <v>42</v>
      </c>
      <c r="C13" s="90"/>
      <c r="D13" s="75" t="n">
        <f aca="false">SUMIFS('Dados Mov Financeira'!$N:$N,'Dados Mov Financeira'!$O:$O,'DRE 2020'!$B13,'Dados Mov Financeira'!$A:$A,'DRE 2020'!D$1,'Dados Mov Financeira'!$B:$B,'DRE 2020'!D$2)</f>
        <v>0</v>
      </c>
      <c r="E13" s="91" t="n">
        <f aca="false">IFERROR(D13/D$5,0)</f>
        <v>0</v>
      </c>
      <c r="F13" s="90"/>
      <c r="G13" s="75" t="n">
        <f aca="false">SUMIFS('Dados Mov Financeira'!$N:$N,'Dados Mov Financeira'!$O:$O,'DRE 2020'!$B13,'Dados Mov Financeira'!$A:$A,'DRE 2020'!G$1,'Dados Mov Financeira'!$B:$B,'DRE 2020'!G$2)</f>
        <v>0</v>
      </c>
      <c r="H13" s="91" t="n">
        <f aca="false">IFERROR(G13/G$5,0)</f>
        <v>0</v>
      </c>
      <c r="I13" s="90"/>
      <c r="J13" s="75" t="n">
        <f aca="false">SUMIFS('Dados Mov Financeira'!$N:$N,'Dados Mov Financeira'!$O:$O,'DRE 2020'!$B13,'Dados Mov Financeira'!$A:$A,'DRE 2020'!J$1,'Dados Mov Financeira'!$B:$B,'DRE 2020'!J$2)</f>
        <v>0</v>
      </c>
      <c r="K13" s="91" t="n">
        <f aca="false">IFERROR(J13/J$5,0)</f>
        <v>0</v>
      </c>
      <c r="L13" s="90"/>
      <c r="M13" s="75" t="n">
        <f aca="false">SUMIFS('Dados Mov Financeira'!$N:$N,'Dados Mov Financeira'!$O:$O,'DRE 2020'!$B13,'Dados Mov Financeira'!$A:$A,'DRE 2020'!M$1,'Dados Mov Financeira'!$B:$B,'DRE 2020'!M$2)</f>
        <v>0</v>
      </c>
      <c r="N13" s="91" t="n">
        <f aca="false">IFERROR(M13/M$5,0)</f>
        <v>0</v>
      </c>
      <c r="O13" s="90"/>
      <c r="P13" s="75" t="n">
        <f aca="false">SUMIFS('Dados Mov Financeira'!$N:$N,'Dados Mov Financeira'!$O:$O,'DRE 2020'!$B13,'Dados Mov Financeira'!$A:$A,'DRE 2020'!P$1,'Dados Mov Financeira'!$B:$B,'DRE 2020'!P$2)</f>
        <v>0</v>
      </c>
      <c r="Q13" s="91" t="n">
        <f aca="false">IFERROR(P13/P$5,0)</f>
        <v>0</v>
      </c>
      <c r="R13" s="90"/>
      <c r="S13" s="75" t="n">
        <f aca="false">SUMIFS('Dados Mov Financeira'!$N:$N,'Dados Mov Financeira'!$O:$O,'DRE 2020'!$B13,'Dados Mov Financeira'!$A:$A,'DRE 2020'!S$1,'Dados Mov Financeira'!$B:$B,'DRE 2020'!S$2)</f>
        <v>0</v>
      </c>
      <c r="T13" s="91" t="n">
        <f aca="false">IFERROR(S13/S$5,0)</f>
        <v>0</v>
      </c>
      <c r="U13" s="90"/>
      <c r="V13" s="75" t="n">
        <f aca="false">SUMIFS('Dados Mov Financeira'!$N:$N,'Dados Mov Financeira'!$O:$O,'DRE 2020'!$B13,'Dados Mov Financeira'!$A:$A,'DRE 2020'!V$1,'Dados Mov Financeira'!$B:$B,'DRE 2020'!V$2)</f>
        <v>0</v>
      </c>
      <c r="W13" s="91" t="n">
        <f aca="false">IFERROR(V13/V$5,0)</f>
        <v>0</v>
      </c>
      <c r="X13" s="90"/>
      <c r="Y13" s="75" t="n">
        <f aca="false">SUMIFS('Dados Mov Financeira'!$N:$N,'Dados Mov Financeira'!$O:$O,'DRE 2020'!$B13,'Dados Mov Financeira'!$A:$A,'DRE 2020'!Y$1,'Dados Mov Financeira'!$B:$B,'DRE 2020'!Y$2)</f>
        <v>0</v>
      </c>
      <c r="Z13" s="91" t="n">
        <f aca="false">IFERROR(Y13/Y$5,0)</f>
        <v>0</v>
      </c>
      <c r="AA13" s="90"/>
      <c r="AB13" s="75" t="n">
        <f aca="false">SUMIFS('Dados Mov Financeira'!$N:$N,'Dados Mov Financeira'!$O:$O,'DRE 2020'!$B13,'Dados Mov Financeira'!$A:$A,'DRE 2020'!AB$1,'Dados Mov Financeira'!$B:$B,'DRE 2020'!AB$2)</f>
        <v>0</v>
      </c>
      <c r="AC13" s="91" t="n">
        <f aca="false">IFERROR(AB13/AB$5,0)</f>
        <v>0</v>
      </c>
      <c r="AD13" s="90"/>
      <c r="AE13" s="75" t="n">
        <f aca="false">SUMIFS('Dados Mov Financeira'!$N:$N,'Dados Mov Financeira'!$O:$O,'DRE 2020'!$B13,'Dados Mov Financeira'!$A:$A,'DRE 2020'!AE$1,'Dados Mov Financeira'!$B:$B,'DRE 2020'!AE$2)</f>
        <v>0</v>
      </c>
      <c r="AF13" s="91" t="n">
        <f aca="false">IFERROR(AE13/AE$5,0)</f>
        <v>0</v>
      </c>
      <c r="AG13" s="90"/>
      <c r="AH13" s="75" t="n">
        <f aca="false">SUMIFS('Dados Mov Financeira'!$N:$N,'Dados Mov Financeira'!$O:$O,'DRE 2020'!$B13,'Dados Mov Financeira'!$A:$A,'DRE 2020'!AH$1,'Dados Mov Financeira'!$B:$B,'DRE 2020'!AH$2)</f>
        <v>0</v>
      </c>
      <c r="AI13" s="91" t="n">
        <f aca="false">IFERROR(AH13/AH$5,0)</f>
        <v>0</v>
      </c>
      <c r="AJ13" s="90"/>
      <c r="AK13" s="75" t="n">
        <f aca="false">SUMIFS('Dados Mov Financeira'!$N:$N,'Dados Mov Financeira'!$O:$O,'DRE 2020'!$B13,'Dados Mov Financeira'!$A:$A,'DRE 2020'!AK$1,'Dados Mov Financeira'!$B:$B,'DRE 2020'!AK$2)</f>
        <v>0</v>
      </c>
      <c r="AL13" s="91" t="n">
        <f aca="false">IFERROR(AK13/AK$5,0)</f>
        <v>0</v>
      </c>
      <c r="AM13" s="90"/>
      <c r="AN13" s="92" t="n">
        <f aca="false">SUM(D13,G13,J13,M13,P13,S13,V13,Y13,AB13,AE13,AH13,AK13)</f>
        <v>0</v>
      </c>
      <c r="AO13" s="91" t="n">
        <f aca="false">IFERROR(AN13/AN$5,0)</f>
        <v>0</v>
      </c>
      <c r="AP13" s="90"/>
      <c r="AQ13" s="93" t="n">
        <f aca="false">AN13/$AR$1</f>
        <v>0</v>
      </c>
      <c r="AR13" s="94" t="n">
        <f aca="false">IFERROR(AQ13/AQ$5,0)</f>
        <v>0</v>
      </c>
      <c r="AS13" s="90"/>
      <c r="AT13" s="78"/>
    </row>
    <row r="14" customFormat="false" ht="14.25" hidden="true" customHeight="false" outlineLevel="1" collapsed="false">
      <c r="B14" s="89" t="s">
        <v>43</v>
      </c>
      <c r="C14" s="90"/>
      <c r="D14" s="75" t="n">
        <f aca="false">SUMIFS('Dados Mov Financeira'!$N:$N,'Dados Mov Financeira'!$O:$O,'DRE 2020'!$B14,'Dados Mov Financeira'!$A:$A,'DRE 2020'!D$1,'Dados Mov Financeira'!$B:$B,'DRE 2020'!D$2)</f>
        <v>0</v>
      </c>
      <c r="E14" s="91" t="n">
        <f aca="false">IFERROR(D14/D$5,0)</f>
        <v>0</v>
      </c>
      <c r="F14" s="90"/>
      <c r="G14" s="75" t="n">
        <f aca="false">SUMIFS('Dados Mov Financeira'!$N:$N,'Dados Mov Financeira'!$O:$O,'DRE 2020'!$B14,'Dados Mov Financeira'!$A:$A,'DRE 2020'!G$1,'Dados Mov Financeira'!$B:$B,'DRE 2020'!G$2)</f>
        <v>0</v>
      </c>
      <c r="H14" s="91" t="n">
        <f aca="false">IFERROR(G14/G$5,0)</f>
        <v>0</v>
      </c>
      <c r="I14" s="90"/>
      <c r="J14" s="75" t="n">
        <f aca="false">SUMIFS('Dados Mov Financeira'!$N:$N,'Dados Mov Financeira'!$O:$O,'DRE 2020'!$B14,'Dados Mov Financeira'!$A:$A,'DRE 2020'!J$1,'Dados Mov Financeira'!$B:$B,'DRE 2020'!J$2)</f>
        <v>0</v>
      </c>
      <c r="K14" s="91" t="n">
        <f aca="false">IFERROR(J14/J$5,0)</f>
        <v>0</v>
      </c>
      <c r="L14" s="90"/>
      <c r="M14" s="75" t="n">
        <f aca="false">SUMIFS('Dados Mov Financeira'!$N:$N,'Dados Mov Financeira'!$O:$O,'DRE 2020'!$B14,'Dados Mov Financeira'!$A:$A,'DRE 2020'!M$1,'Dados Mov Financeira'!$B:$B,'DRE 2020'!M$2)</f>
        <v>0</v>
      </c>
      <c r="N14" s="91" t="n">
        <f aca="false">IFERROR(M14/M$5,0)</f>
        <v>0</v>
      </c>
      <c r="O14" s="90"/>
      <c r="P14" s="75" t="n">
        <f aca="false">SUMIFS('Dados Mov Financeira'!$N:$N,'Dados Mov Financeira'!$O:$O,'DRE 2020'!$B14,'Dados Mov Financeira'!$A:$A,'DRE 2020'!P$1,'Dados Mov Financeira'!$B:$B,'DRE 2020'!P$2)</f>
        <v>0</v>
      </c>
      <c r="Q14" s="91" t="n">
        <f aca="false">IFERROR(P14/P$5,0)</f>
        <v>0</v>
      </c>
      <c r="R14" s="90"/>
      <c r="S14" s="75" t="n">
        <f aca="false">SUMIFS('Dados Mov Financeira'!$N:$N,'Dados Mov Financeira'!$O:$O,'DRE 2020'!$B14,'Dados Mov Financeira'!$A:$A,'DRE 2020'!S$1,'Dados Mov Financeira'!$B:$B,'DRE 2020'!S$2)</f>
        <v>0</v>
      </c>
      <c r="T14" s="91" t="n">
        <f aca="false">IFERROR(S14/S$5,0)</f>
        <v>0</v>
      </c>
      <c r="U14" s="90"/>
      <c r="V14" s="75" t="n">
        <f aca="false">SUMIFS('Dados Mov Financeira'!$N:$N,'Dados Mov Financeira'!$O:$O,'DRE 2020'!$B14,'Dados Mov Financeira'!$A:$A,'DRE 2020'!V$1,'Dados Mov Financeira'!$B:$B,'DRE 2020'!V$2)</f>
        <v>0</v>
      </c>
      <c r="W14" s="91" t="n">
        <f aca="false">IFERROR(V14/V$5,0)</f>
        <v>0</v>
      </c>
      <c r="X14" s="90"/>
      <c r="Y14" s="75" t="n">
        <f aca="false">SUMIFS('Dados Mov Financeira'!$N:$N,'Dados Mov Financeira'!$O:$O,'DRE 2020'!$B14,'Dados Mov Financeira'!$A:$A,'DRE 2020'!Y$1,'Dados Mov Financeira'!$B:$B,'DRE 2020'!Y$2)</f>
        <v>0</v>
      </c>
      <c r="Z14" s="91" t="n">
        <f aca="false">IFERROR(Y14/Y$5,0)</f>
        <v>0</v>
      </c>
      <c r="AA14" s="90"/>
      <c r="AB14" s="75" t="n">
        <f aca="false">SUMIFS('Dados Mov Financeira'!$N:$N,'Dados Mov Financeira'!$O:$O,'DRE 2020'!$B14,'Dados Mov Financeira'!$A:$A,'DRE 2020'!AB$1,'Dados Mov Financeira'!$B:$B,'DRE 2020'!AB$2)</f>
        <v>0</v>
      </c>
      <c r="AC14" s="91" t="n">
        <f aca="false">IFERROR(AB14/AB$5,0)</f>
        <v>0</v>
      </c>
      <c r="AD14" s="90"/>
      <c r="AE14" s="75" t="n">
        <f aca="false">SUMIFS('Dados Mov Financeira'!$N:$N,'Dados Mov Financeira'!$O:$O,'DRE 2020'!$B14,'Dados Mov Financeira'!$A:$A,'DRE 2020'!AE$1,'Dados Mov Financeira'!$B:$B,'DRE 2020'!AE$2)</f>
        <v>0</v>
      </c>
      <c r="AF14" s="91" t="n">
        <f aca="false">IFERROR(AE14/AE$5,0)</f>
        <v>0</v>
      </c>
      <c r="AG14" s="90"/>
      <c r="AH14" s="75" t="n">
        <f aca="false">SUMIFS('Dados Mov Financeira'!$N:$N,'Dados Mov Financeira'!$O:$O,'DRE 2020'!$B14,'Dados Mov Financeira'!$A:$A,'DRE 2020'!AH$1,'Dados Mov Financeira'!$B:$B,'DRE 2020'!AH$2)</f>
        <v>0</v>
      </c>
      <c r="AI14" s="91" t="n">
        <f aca="false">IFERROR(AH14/AH$5,0)</f>
        <v>0</v>
      </c>
      <c r="AJ14" s="90"/>
      <c r="AK14" s="75" t="n">
        <f aca="false">SUMIFS('Dados Mov Financeira'!$N:$N,'Dados Mov Financeira'!$O:$O,'DRE 2020'!$B14,'Dados Mov Financeira'!$A:$A,'DRE 2020'!AK$1,'Dados Mov Financeira'!$B:$B,'DRE 2020'!AK$2)</f>
        <v>0</v>
      </c>
      <c r="AL14" s="91" t="n">
        <f aca="false">IFERROR(AK14/AK$5,0)</f>
        <v>0</v>
      </c>
      <c r="AM14" s="90"/>
      <c r="AN14" s="92" t="n">
        <f aca="false">SUM(D14,G14,J14,M14,P14,S14,V14,Y14,AB14,AE14,AH14,AK14)</f>
        <v>0</v>
      </c>
      <c r="AO14" s="91" t="n">
        <f aca="false">IFERROR(AN14/AN$5,0)</f>
        <v>0</v>
      </c>
      <c r="AP14" s="90"/>
      <c r="AQ14" s="93" t="n">
        <f aca="false">AN14/$AR$1</f>
        <v>0</v>
      </c>
      <c r="AR14" s="94" t="n">
        <f aca="false">IFERROR(AQ14/AQ$5,0)</f>
        <v>0</v>
      </c>
      <c r="AS14" s="90"/>
      <c r="AT14" s="78"/>
    </row>
    <row r="15" s="63" customFormat="true" ht="14.25" hidden="false" customHeight="false" outlineLevel="0" collapsed="false">
      <c r="B15" s="85" t="s">
        <v>44</v>
      </c>
      <c r="C15" s="86"/>
      <c r="D15" s="75" t="n">
        <f aca="false">SUM(D16:D19)</f>
        <v>0</v>
      </c>
      <c r="E15" s="95" t="n">
        <f aca="false">IFERROR(D15/D$5,0)</f>
        <v>0</v>
      </c>
      <c r="F15" s="86"/>
      <c r="G15" s="75" t="n">
        <f aca="false">SUM(G16:G19)</f>
        <v>0</v>
      </c>
      <c r="H15" s="95" t="n">
        <f aca="false">IFERROR(G15/G$5,0)</f>
        <v>0</v>
      </c>
      <c r="I15" s="86"/>
      <c r="J15" s="75" t="n">
        <f aca="false">SUM(J16:J19)</f>
        <v>0</v>
      </c>
      <c r="K15" s="95" t="n">
        <f aca="false">IFERROR(J15/J$5,0)</f>
        <v>0</v>
      </c>
      <c r="L15" s="86"/>
      <c r="M15" s="75" t="n">
        <f aca="false">SUM(M16:M19)</f>
        <v>0</v>
      </c>
      <c r="N15" s="95" t="n">
        <f aca="false">IFERROR(M15/M$5,0)</f>
        <v>0</v>
      </c>
      <c r="O15" s="86"/>
      <c r="P15" s="75" t="n">
        <f aca="false">SUM(P16:P19)</f>
        <v>0</v>
      </c>
      <c r="Q15" s="95" t="n">
        <f aca="false">IFERROR(P15/P$5,0)</f>
        <v>0</v>
      </c>
      <c r="R15" s="86"/>
      <c r="S15" s="75" t="n">
        <f aca="false">SUM(S16:S19)</f>
        <v>0</v>
      </c>
      <c r="T15" s="95" t="n">
        <f aca="false">IFERROR(S15/S$5,0)</f>
        <v>0</v>
      </c>
      <c r="U15" s="86"/>
      <c r="V15" s="75" t="n">
        <f aca="false">SUM(V16:V19)</f>
        <v>0</v>
      </c>
      <c r="W15" s="95" t="n">
        <f aca="false">IFERROR(V15/V$5,0)</f>
        <v>0</v>
      </c>
      <c r="X15" s="86"/>
      <c r="Y15" s="75" t="n">
        <f aca="false">SUM(Y16:Y19)</f>
        <v>0</v>
      </c>
      <c r="Z15" s="95" t="n">
        <f aca="false">IFERROR(Y15/Y$5,0)</f>
        <v>0</v>
      </c>
      <c r="AA15" s="86"/>
      <c r="AB15" s="75" t="n">
        <f aca="false">SUM(AB16:AB19)</f>
        <v>0</v>
      </c>
      <c r="AC15" s="95" t="n">
        <f aca="false">IFERROR(AB15/AB$5,0)</f>
        <v>0</v>
      </c>
      <c r="AD15" s="86"/>
      <c r="AE15" s="75" t="n">
        <f aca="false">SUM(AE16:AE19)</f>
        <v>0</v>
      </c>
      <c r="AF15" s="95" t="n">
        <f aca="false">IFERROR(AE15/AE$5,0)</f>
        <v>0</v>
      </c>
      <c r="AG15" s="86"/>
      <c r="AH15" s="75" t="n">
        <f aca="false">SUM(AH16:AH19)</f>
        <v>0</v>
      </c>
      <c r="AI15" s="95" t="n">
        <f aca="false">IFERROR(AH15/AH$5,0)</f>
        <v>0</v>
      </c>
      <c r="AJ15" s="86"/>
      <c r="AK15" s="75" t="n">
        <f aca="false">SUM(AK16:AK19)</f>
        <v>0</v>
      </c>
      <c r="AL15" s="95" t="n">
        <f aca="false">IFERROR(AK15/AK$5,0)</f>
        <v>0</v>
      </c>
      <c r="AM15" s="86"/>
      <c r="AN15" s="75" t="n">
        <f aca="false">SUM(D15,G15,J15,M15,P15,S15,V15,Y15,AB15,AE15,AH15,AK15)</f>
        <v>0</v>
      </c>
      <c r="AO15" s="88" t="n">
        <f aca="false">IFERROR(AN15/AN$5,0)</f>
        <v>0</v>
      </c>
      <c r="AP15" s="86"/>
      <c r="AQ15" s="77" t="n">
        <f aca="false">AN15/$AR$1</f>
        <v>0</v>
      </c>
      <c r="AR15" s="76" t="n">
        <f aca="false">IFERROR(AQ15/AQ$5,0)</f>
        <v>0</v>
      </c>
      <c r="AS15" s="86"/>
      <c r="AT15" s="78" t="n">
        <v>-0.0665</v>
      </c>
    </row>
    <row r="16" customFormat="false" ht="14.25" hidden="true" customHeight="false" outlineLevel="1" collapsed="false">
      <c r="B16" s="89" t="s">
        <v>45</v>
      </c>
      <c r="D16" s="75" t="n">
        <f aca="false">SUMIFS('Dados Mov Financeira'!$N:$N,'Dados Mov Financeira'!$O:$O,'DRE 2020'!$B16,'Dados Mov Financeira'!$A:$A,'DRE 2020'!D$1,'Dados Mov Financeira'!$B:$B,'DRE 2020'!D$2)</f>
        <v>0</v>
      </c>
      <c r="E16" s="91" t="n">
        <f aca="false">IFERROR(D16/D$5,0)</f>
        <v>0</v>
      </c>
      <c r="G16" s="75" t="n">
        <f aca="false">SUMIFS('Dados Mov Financeira'!$N:$N,'Dados Mov Financeira'!$O:$O,'DRE 2020'!$B16,'Dados Mov Financeira'!$A:$A,'DRE 2020'!G$1,'Dados Mov Financeira'!$B:$B,'DRE 2020'!G$2)</f>
        <v>0</v>
      </c>
      <c r="H16" s="91" t="n">
        <f aca="false">IFERROR(G16/G$5,0)</f>
        <v>0</v>
      </c>
      <c r="J16" s="75" t="n">
        <f aca="false">SUMIFS('Dados Mov Financeira'!$N:$N,'Dados Mov Financeira'!$O:$O,'DRE 2020'!$B16,'Dados Mov Financeira'!$A:$A,'DRE 2020'!J$1,'Dados Mov Financeira'!$B:$B,'DRE 2020'!J$2)</f>
        <v>0</v>
      </c>
      <c r="K16" s="91" t="n">
        <f aca="false">IFERROR(J16/J$5,0)</f>
        <v>0</v>
      </c>
      <c r="M16" s="75" t="n">
        <f aca="false">SUMIFS('Dados Mov Financeira'!$N:$N,'Dados Mov Financeira'!$O:$O,'DRE 2020'!$B16,'Dados Mov Financeira'!$A:$A,'DRE 2020'!M$1,'Dados Mov Financeira'!$B:$B,'DRE 2020'!M$2)</f>
        <v>0</v>
      </c>
      <c r="N16" s="91" t="n">
        <f aca="false">IFERROR(M16/M$5,0)</f>
        <v>0</v>
      </c>
      <c r="P16" s="75" t="n">
        <f aca="false">SUMIFS('Dados Mov Financeira'!$N:$N,'Dados Mov Financeira'!$O:$O,'DRE 2020'!$B16,'Dados Mov Financeira'!$A:$A,'DRE 2020'!P$1,'Dados Mov Financeira'!$B:$B,'DRE 2020'!P$2)</f>
        <v>0</v>
      </c>
      <c r="Q16" s="91" t="n">
        <f aca="false">IFERROR(P16/P$5,0)</f>
        <v>0</v>
      </c>
      <c r="S16" s="75" t="n">
        <f aca="false">SUMIFS('Dados Mov Financeira'!$N:$N,'Dados Mov Financeira'!$O:$O,'DRE 2020'!$B16,'Dados Mov Financeira'!$A:$A,'DRE 2020'!S$1,'Dados Mov Financeira'!$B:$B,'DRE 2020'!S$2)</f>
        <v>0</v>
      </c>
      <c r="T16" s="91" t="n">
        <f aca="false">IFERROR(S16/S$5,0)</f>
        <v>0</v>
      </c>
      <c r="V16" s="75" t="n">
        <f aca="false">SUMIFS('Dados Mov Financeira'!$N:$N,'Dados Mov Financeira'!$O:$O,'DRE 2020'!$B16,'Dados Mov Financeira'!$A:$A,'DRE 2020'!V$1,'Dados Mov Financeira'!$B:$B,'DRE 2020'!V$2)</f>
        <v>0</v>
      </c>
      <c r="W16" s="91" t="n">
        <f aca="false">IFERROR(V16/V$5,0)</f>
        <v>0</v>
      </c>
      <c r="Y16" s="75" t="n">
        <f aca="false">SUMIFS('Dados Mov Financeira'!$N:$N,'Dados Mov Financeira'!$O:$O,'DRE 2020'!$B16,'Dados Mov Financeira'!$A:$A,'DRE 2020'!Y$1,'Dados Mov Financeira'!$B:$B,'DRE 2020'!Y$2)</f>
        <v>0</v>
      </c>
      <c r="Z16" s="91" t="n">
        <f aca="false">IFERROR(Y16/Y$5,0)</f>
        <v>0</v>
      </c>
      <c r="AB16" s="75" t="n">
        <f aca="false">SUMIFS('Dados Mov Financeira'!$N:$N,'Dados Mov Financeira'!$O:$O,'DRE 2020'!$B16,'Dados Mov Financeira'!$A:$A,'DRE 2020'!AB$1,'Dados Mov Financeira'!$B:$B,'DRE 2020'!AB$2)</f>
        <v>0</v>
      </c>
      <c r="AC16" s="91" t="n">
        <f aca="false">IFERROR(AB16/AB$5,0)</f>
        <v>0</v>
      </c>
      <c r="AE16" s="75" t="n">
        <f aca="false">SUMIFS('Dados Mov Financeira'!$N:$N,'Dados Mov Financeira'!$O:$O,'DRE 2020'!$B16,'Dados Mov Financeira'!$A:$A,'DRE 2020'!AE$1,'Dados Mov Financeira'!$B:$B,'DRE 2020'!AE$2)</f>
        <v>0</v>
      </c>
      <c r="AF16" s="91" t="n">
        <f aca="false">IFERROR(AE16/AE$5,0)</f>
        <v>0</v>
      </c>
      <c r="AH16" s="75" t="n">
        <f aca="false">SUMIFS('Dados Mov Financeira'!$N:$N,'Dados Mov Financeira'!$O:$O,'DRE 2020'!$B16,'Dados Mov Financeira'!$A:$A,'DRE 2020'!AH$1,'Dados Mov Financeira'!$B:$B,'DRE 2020'!AH$2)</f>
        <v>0</v>
      </c>
      <c r="AI16" s="91" t="n">
        <f aca="false">IFERROR(AH16/AH$5,0)</f>
        <v>0</v>
      </c>
      <c r="AK16" s="75" t="n">
        <f aca="false">SUMIFS('Dados Mov Financeira'!$N:$N,'Dados Mov Financeira'!$O:$O,'DRE 2020'!$B16,'Dados Mov Financeira'!$A:$A,'DRE 2020'!AK$1,'Dados Mov Financeira'!$B:$B,'DRE 2020'!AK$2)</f>
        <v>0</v>
      </c>
      <c r="AL16" s="91" t="n">
        <f aca="false">IFERROR(AK16/AK$5,0)</f>
        <v>0</v>
      </c>
      <c r="AN16" s="92" t="n">
        <f aca="false">SUM(D16,G16,J16,M16,P16,S16,V16,Y16,AB16,AE16,AH16,AK16)</f>
        <v>0</v>
      </c>
      <c r="AO16" s="91" t="n">
        <f aca="false">IFERROR(AN16/AN$5,0)</f>
        <v>0</v>
      </c>
      <c r="AQ16" s="93" t="n">
        <f aca="false">AN16/$AR$1</f>
        <v>0</v>
      </c>
      <c r="AR16" s="94" t="n">
        <f aca="false">IFERROR(AQ16/AQ$5,0)</f>
        <v>0</v>
      </c>
      <c r="AT16" s="78"/>
    </row>
    <row r="17" customFormat="false" ht="14.25" hidden="true" customHeight="false" outlineLevel="1" collapsed="false">
      <c r="B17" s="89" t="s">
        <v>46</v>
      </c>
      <c r="C17" s="92"/>
      <c r="D17" s="75" t="n">
        <f aca="false">SUMIFS('Dados Mov Financeira'!$N:$N,'Dados Mov Financeira'!$O:$O,'DRE 2020'!$B17,'Dados Mov Financeira'!$A:$A,'DRE 2020'!D$1,'Dados Mov Financeira'!$B:$B,'DRE 2020'!D$2)</f>
        <v>0</v>
      </c>
      <c r="E17" s="91" t="n">
        <f aca="false">IFERROR(D17/D$5,0)</f>
        <v>0</v>
      </c>
      <c r="F17" s="96"/>
      <c r="G17" s="75" t="n">
        <f aca="false">SUMIFS('Dados Mov Financeira'!$N:$N,'Dados Mov Financeira'!$O:$O,'DRE 2020'!$B17,'Dados Mov Financeira'!$A:$A,'DRE 2020'!G$1,'Dados Mov Financeira'!$B:$B,'DRE 2020'!G$2)</f>
        <v>0</v>
      </c>
      <c r="H17" s="91" t="n">
        <f aca="false">IFERROR(G17/G$5,0)</f>
        <v>0</v>
      </c>
      <c r="I17" s="96"/>
      <c r="J17" s="75" t="n">
        <f aca="false">SUMIFS('Dados Mov Financeira'!$N:$N,'Dados Mov Financeira'!$O:$O,'DRE 2020'!$B17,'Dados Mov Financeira'!$A:$A,'DRE 2020'!J$1,'Dados Mov Financeira'!$B:$B,'DRE 2020'!J$2)</f>
        <v>0</v>
      </c>
      <c r="K17" s="91" t="n">
        <f aca="false">IFERROR(J17/J$5,0)</f>
        <v>0</v>
      </c>
      <c r="L17" s="96"/>
      <c r="M17" s="75" t="n">
        <f aca="false">SUMIFS('Dados Mov Financeira'!$N:$N,'Dados Mov Financeira'!$O:$O,'DRE 2020'!$B17,'Dados Mov Financeira'!$A:$A,'DRE 2020'!M$1,'Dados Mov Financeira'!$B:$B,'DRE 2020'!M$2)</f>
        <v>0</v>
      </c>
      <c r="N17" s="91" t="n">
        <f aca="false">IFERROR(M17/M$5,0)</f>
        <v>0</v>
      </c>
      <c r="O17" s="96"/>
      <c r="P17" s="75" t="n">
        <f aca="false">SUMIFS('Dados Mov Financeira'!$N:$N,'Dados Mov Financeira'!$O:$O,'DRE 2020'!$B17,'Dados Mov Financeira'!$A:$A,'DRE 2020'!P$1,'Dados Mov Financeira'!$B:$B,'DRE 2020'!P$2)</f>
        <v>0</v>
      </c>
      <c r="Q17" s="91" t="n">
        <f aca="false">IFERROR(P17/P$5,0)</f>
        <v>0</v>
      </c>
      <c r="R17" s="96"/>
      <c r="S17" s="75" t="n">
        <f aca="false">SUMIFS('Dados Mov Financeira'!$N:$N,'Dados Mov Financeira'!$O:$O,'DRE 2020'!$B17,'Dados Mov Financeira'!$A:$A,'DRE 2020'!S$1,'Dados Mov Financeira'!$B:$B,'DRE 2020'!S$2)</f>
        <v>0</v>
      </c>
      <c r="T17" s="91" t="n">
        <f aca="false">IFERROR(S17/S$5,0)</f>
        <v>0</v>
      </c>
      <c r="U17" s="96"/>
      <c r="V17" s="75" t="n">
        <f aca="false">SUMIFS('Dados Mov Financeira'!$N:$N,'Dados Mov Financeira'!$O:$O,'DRE 2020'!$B17,'Dados Mov Financeira'!$A:$A,'DRE 2020'!V$1,'Dados Mov Financeira'!$B:$B,'DRE 2020'!V$2)</f>
        <v>0</v>
      </c>
      <c r="W17" s="91" t="n">
        <f aca="false">IFERROR(V17/V$5,0)</f>
        <v>0</v>
      </c>
      <c r="X17" s="96"/>
      <c r="Y17" s="75" t="n">
        <f aca="false">SUMIFS('Dados Mov Financeira'!$N:$N,'Dados Mov Financeira'!$O:$O,'DRE 2020'!$B17,'Dados Mov Financeira'!$A:$A,'DRE 2020'!Y$1,'Dados Mov Financeira'!$B:$B,'DRE 2020'!Y$2)</f>
        <v>0</v>
      </c>
      <c r="Z17" s="91" t="n">
        <f aca="false">IFERROR(Y17/Y$5,0)</f>
        <v>0</v>
      </c>
      <c r="AA17" s="96"/>
      <c r="AB17" s="75" t="n">
        <f aca="false">SUMIFS('Dados Mov Financeira'!$N:$N,'Dados Mov Financeira'!$O:$O,'DRE 2020'!$B17,'Dados Mov Financeira'!$A:$A,'DRE 2020'!AB$1,'Dados Mov Financeira'!$B:$B,'DRE 2020'!AB$2)</f>
        <v>0</v>
      </c>
      <c r="AC17" s="91" t="n">
        <f aca="false">IFERROR(AB17/AB$5,0)</f>
        <v>0</v>
      </c>
      <c r="AD17" s="96"/>
      <c r="AE17" s="75" t="n">
        <f aca="false">SUMIFS('Dados Mov Financeira'!$N:$N,'Dados Mov Financeira'!$O:$O,'DRE 2020'!$B17,'Dados Mov Financeira'!$A:$A,'DRE 2020'!AE$1,'Dados Mov Financeira'!$B:$B,'DRE 2020'!AE$2)</f>
        <v>0</v>
      </c>
      <c r="AF17" s="91" t="n">
        <f aca="false">IFERROR(AE17/AE$5,0)</f>
        <v>0</v>
      </c>
      <c r="AG17" s="96"/>
      <c r="AH17" s="75" t="n">
        <f aca="false">SUMIFS('Dados Mov Financeira'!$N:$N,'Dados Mov Financeira'!$O:$O,'DRE 2020'!$B17,'Dados Mov Financeira'!$A:$A,'DRE 2020'!AH$1,'Dados Mov Financeira'!$B:$B,'DRE 2020'!AH$2)</f>
        <v>0</v>
      </c>
      <c r="AI17" s="91" t="n">
        <f aca="false">IFERROR(AH17/AH$5,0)</f>
        <v>0</v>
      </c>
      <c r="AJ17" s="96"/>
      <c r="AK17" s="75" t="n">
        <f aca="false">SUMIFS('Dados Mov Financeira'!$N:$N,'Dados Mov Financeira'!$O:$O,'DRE 2020'!$B17,'Dados Mov Financeira'!$A:$A,'DRE 2020'!AK$1,'Dados Mov Financeira'!$B:$B,'DRE 2020'!AK$2)</f>
        <v>0</v>
      </c>
      <c r="AL17" s="91" t="n">
        <f aca="false">IFERROR(AK17/AK$5,0)</f>
        <v>0</v>
      </c>
      <c r="AM17" s="96"/>
      <c r="AN17" s="92" t="n">
        <f aca="false">SUM(D17,G17,J17,M17,P17,S17,V17,Y17,AB17,AE17,AH17,AK17)</f>
        <v>0</v>
      </c>
      <c r="AO17" s="91" t="n">
        <f aca="false">IFERROR(AN17/AN$5,0)</f>
        <v>0</v>
      </c>
      <c r="AP17" s="96"/>
      <c r="AQ17" s="93" t="n">
        <f aca="false">AN17/$AR$1</f>
        <v>0</v>
      </c>
      <c r="AR17" s="94" t="n">
        <f aca="false">IFERROR(AQ17/AQ$5,0)</f>
        <v>0</v>
      </c>
      <c r="AS17" s="96"/>
      <c r="AT17" s="78"/>
      <c r="AU17" s="97"/>
    </row>
    <row r="18" customFormat="false" ht="14.25" hidden="true" customHeight="false" outlineLevel="1" collapsed="false">
      <c r="B18" s="89" t="s">
        <v>47</v>
      </c>
      <c r="C18" s="92"/>
      <c r="D18" s="75" t="n">
        <f aca="false">SUMIFS('Dados Mov Financeira'!$N:$N,'Dados Mov Financeira'!$O:$O,'DRE 2020'!$B18,'Dados Mov Financeira'!$A:$A,'DRE 2020'!D$1,'Dados Mov Financeira'!$B:$B,'DRE 2020'!D$2)</f>
        <v>0</v>
      </c>
      <c r="E18" s="91" t="n">
        <f aca="false">IFERROR(D18/D$5,0)</f>
        <v>0</v>
      </c>
      <c r="F18" s="96"/>
      <c r="G18" s="75" t="n">
        <f aca="false">SUMIFS('Dados Mov Financeira'!$N:$N,'Dados Mov Financeira'!$O:$O,'DRE 2020'!$B18,'Dados Mov Financeira'!$A:$A,'DRE 2020'!G$1,'Dados Mov Financeira'!$B:$B,'DRE 2020'!G$2)</f>
        <v>0</v>
      </c>
      <c r="H18" s="91" t="n">
        <f aca="false">IFERROR(G18/G$5,0)</f>
        <v>0</v>
      </c>
      <c r="I18" s="96"/>
      <c r="J18" s="75" t="n">
        <f aca="false">SUMIFS('Dados Mov Financeira'!$N:$N,'Dados Mov Financeira'!$O:$O,'DRE 2020'!$B18,'Dados Mov Financeira'!$A:$A,'DRE 2020'!J$1,'Dados Mov Financeira'!$B:$B,'DRE 2020'!J$2)</f>
        <v>0</v>
      </c>
      <c r="K18" s="91" t="n">
        <f aca="false">IFERROR(J18/J$5,0)</f>
        <v>0</v>
      </c>
      <c r="L18" s="96"/>
      <c r="M18" s="75" t="n">
        <f aca="false">SUMIFS('Dados Mov Financeira'!$N:$N,'Dados Mov Financeira'!$O:$O,'DRE 2020'!$B18,'Dados Mov Financeira'!$A:$A,'DRE 2020'!M$1,'Dados Mov Financeira'!$B:$B,'DRE 2020'!M$2)</f>
        <v>0</v>
      </c>
      <c r="N18" s="91" t="n">
        <f aca="false">IFERROR(M18/M$5,0)</f>
        <v>0</v>
      </c>
      <c r="O18" s="96"/>
      <c r="P18" s="75" t="n">
        <f aca="false">SUMIFS('Dados Mov Financeira'!$N:$N,'Dados Mov Financeira'!$O:$O,'DRE 2020'!$B18,'Dados Mov Financeira'!$A:$A,'DRE 2020'!P$1,'Dados Mov Financeira'!$B:$B,'DRE 2020'!P$2)</f>
        <v>0</v>
      </c>
      <c r="Q18" s="91" t="n">
        <f aca="false">IFERROR(P18/P$5,0)</f>
        <v>0</v>
      </c>
      <c r="R18" s="96"/>
      <c r="S18" s="75" t="n">
        <f aca="false">SUMIFS('Dados Mov Financeira'!$N:$N,'Dados Mov Financeira'!$O:$O,'DRE 2020'!$B18,'Dados Mov Financeira'!$A:$A,'DRE 2020'!S$1,'Dados Mov Financeira'!$B:$B,'DRE 2020'!S$2)</f>
        <v>0</v>
      </c>
      <c r="T18" s="91" t="n">
        <f aca="false">IFERROR(S18/S$5,0)</f>
        <v>0</v>
      </c>
      <c r="U18" s="96"/>
      <c r="V18" s="75" t="n">
        <f aca="false">SUMIFS('Dados Mov Financeira'!$N:$N,'Dados Mov Financeira'!$O:$O,'DRE 2020'!$B18,'Dados Mov Financeira'!$A:$A,'DRE 2020'!V$1,'Dados Mov Financeira'!$B:$B,'DRE 2020'!V$2)</f>
        <v>0</v>
      </c>
      <c r="W18" s="91" t="n">
        <f aca="false">IFERROR(V18/V$5,0)</f>
        <v>0</v>
      </c>
      <c r="X18" s="96"/>
      <c r="Y18" s="75" t="n">
        <f aca="false">SUMIFS('Dados Mov Financeira'!$N:$N,'Dados Mov Financeira'!$O:$O,'DRE 2020'!$B18,'Dados Mov Financeira'!$A:$A,'DRE 2020'!Y$1,'Dados Mov Financeira'!$B:$B,'DRE 2020'!Y$2)</f>
        <v>0</v>
      </c>
      <c r="Z18" s="91" t="n">
        <f aca="false">IFERROR(Y18/Y$5,0)</f>
        <v>0</v>
      </c>
      <c r="AA18" s="96"/>
      <c r="AB18" s="75" t="n">
        <f aca="false">SUMIFS('Dados Mov Financeira'!$N:$N,'Dados Mov Financeira'!$O:$O,'DRE 2020'!$B18,'Dados Mov Financeira'!$A:$A,'DRE 2020'!AB$1,'Dados Mov Financeira'!$B:$B,'DRE 2020'!AB$2)</f>
        <v>0</v>
      </c>
      <c r="AC18" s="91" t="n">
        <f aca="false">IFERROR(AB18/AB$5,0)</f>
        <v>0</v>
      </c>
      <c r="AD18" s="96"/>
      <c r="AE18" s="75" t="n">
        <f aca="false">SUMIFS('Dados Mov Financeira'!$N:$N,'Dados Mov Financeira'!$O:$O,'DRE 2020'!$B18,'Dados Mov Financeira'!$A:$A,'DRE 2020'!AE$1,'Dados Mov Financeira'!$B:$B,'DRE 2020'!AE$2)</f>
        <v>0</v>
      </c>
      <c r="AF18" s="91" t="n">
        <f aca="false">IFERROR(AE18/AE$5,0)</f>
        <v>0</v>
      </c>
      <c r="AG18" s="96"/>
      <c r="AH18" s="75" t="n">
        <f aca="false">SUMIFS('Dados Mov Financeira'!$N:$N,'Dados Mov Financeira'!$O:$O,'DRE 2020'!$B18,'Dados Mov Financeira'!$A:$A,'DRE 2020'!AH$1,'Dados Mov Financeira'!$B:$B,'DRE 2020'!AH$2)</f>
        <v>0</v>
      </c>
      <c r="AI18" s="91" t="n">
        <f aca="false">IFERROR(AH18/AH$5,0)</f>
        <v>0</v>
      </c>
      <c r="AJ18" s="96"/>
      <c r="AK18" s="75" t="n">
        <f aca="false">SUMIFS('Dados Mov Financeira'!$N:$N,'Dados Mov Financeira'!$O:$O,'DRE 2020'!$B18,'Dados Mov Financeira'!$A:$A,'DRE 2020'!AK$1,'Dados Mov Financeira'!$B:$B,'DRE 2020'!AK$2)</f>
        <v>0</v>
      </c>
      <c r="AL18" s="91" t="n">
        <f aca="false">IFERROR(AK18/AK$5,0)</f>
        <v>0</v>
      </c>
      <c r="AM18" s="96"/>
      <c r="AN18" s="92" t="n">
        <f aca="false">SUM(D18,G18,J18,M18,P18,S18,V18,Y18,AB18,AE18,AH18,AK18)</f>
        <v>0</v>
      </c>
      <c r="AO18" s="91" t="n">
        <f aca="false">IFERROR(AN18/AN$5,0)</f>
        <v>0</v>
      </c>
      <c r="AP18" s="96"/>
      <c r="AQ18" s="93" t="n">
        <f aca="false">AN18/$AR$1</f>
        <v>0</v>
      </c>
      <c r="AR18" s="94" t="n">
        <f aca="false">IFERROR(AQ18/AQ$5,0)</f>
        <v>0</v>
      </c>
      <c r="AS18" s="96"/>
      <c r="AT18" s="78"/>
    </row>
    <row r="19" customFormat="false" ht="14.25" hidden="true" customHeight="false" outlineLevel="1" collapsed="false">
      <c r="B19" s="89" t="s">
        <v>48</v>
      </c>
      <c r="C19" s="92"/>
      <c r="D19" s="75" t="n">
        <f aca="false">SUMIFS('Dados Mov Financeira'!$N:$N,'Dados Mov Financeira'!$O:$O,'DRE 2020'!$B19,'Dados Mov Financeira'!$A:$A,'DRE 2020'!D$1,'Dados Mov Financeira'!$B:$B,'DRE 2020'!D$2)</f>
        <v>0</v>
      </c>
      <c r="E19" s="91" t="n">
        <f aca="false">IFERROR(D19/D$5,0)</f>
        <v>0</v>
      </c>
      <c r="F19" s="96"/>
      <c r="G19" s="75" t="n">
        <f aca="false">SUMIFS('Dados Mov Financeira'!$N:$N,'Dados Mov Financeira'!$O:$O,'DRE 2020'!$B19,'Dados Mov Financeira'!$A:$A,'DRE 2020'!G$1,'Dados Mov Financeira'!$B:$B,'DRE 2020'!G$2)</f>
        <v>0</v>
      </c>
      <c r="H19" s="91" t="n">
        <f aca="false">IFERROR(G19/G$5,0)</f>
        <v>0</v>
      </c>
      <c r="I19" s="96"/>
      <c r="J19" s="75" t="n">
        <f aca="false">SUMIFS('Dados Mov Financeira'!$N:$N,'Dados Mov Financeira'!$O:$O,'DRE 2020'!$B19,'Dados Mov Financeira'!$A:$A,'DRE 2020'!J$1,'Dados Mov Financeira'!$B:$B,'DRE 2020'!J$2)</f>
        <v>0</v>
      </c>
      <c r="K19" s="91" t="n">
        <f aca="false">IFERROR(J19/J$5,0)</f>
        <v>0</v>
      </c>
      <c r="L19" s="96"/>
      <c r="M19" s="75" t="n">
        <f aca="false">SUMIFS('Dados Mov Financeira'!$N:$N,'Dados Mov Financeira'!$O:$O,'DRE 2020'!$B19,'Dados Mov Financeira'!$A:$A,'DRE 2020'!M$1,'Dados Mov Financeira'!$B:$B,'DRE 2020'!M$2)</f>
        <v>0</v>
      </c>
      <c r="N19" s="91" t="n">
        <f aca="false">IFERROR(M19/M$5,0)</f>
        <v>0</v>
      </c>
      <c r="O19" s="96"/>
      <c r="P19" s="75" t="n">
        <f aca="false">SUMIFS('Dados Mov Financeira'!$N:$N,'Dados Mov Financeira'!$O:$O,'DRE 2020'!$B19,'Dados Mov Financeira'!$A:$A,'DRE 2020'!P$1,'Dados Mov Financeira'!$B:$B,'DRE 2020'!P$2)</f>
        <v>0</v>
      </c>
      <c r="Q19" s="91" t="n">
        <f aca="false">IFERROR(P19/P$5,0)</f>
        <v>0</v>
      </c>
      <c r="R19" s="96"/>
      <c r="S19" s="75" t="n">
        <f aca="false">SUMIFS('Dados Mov Financeira'!$N:$N,'Dados Mov Financeira'!$O:$O,'DRE 2020'!$B19,'Dados Mov Financeira'!$A:$A,'DRE 2020'!S$1,'Dados Mov Financeira'!$B:$B,'DRE 2020'!S$2)</f>
        <v>0</v>
      </c>
      <c r="T19" s="91" t="n">
        <f aca="false">IFERROR(S19/S$5,0)</f>
        <v>0</v>
      </c>
      <c r="U19" s="96"/>
      <c r="V19" s="75" t="n">
        <f aca="false">SUMIFS('Dados Mov Financeira'!$N:$N,'Dados Mov Financeira'!$O:$O,'DRE 2020'!$B19,'Dados Mov Financeira'!$A:$A,'DRE 2020'!V$1,'Dados Mov Financeira'!$B:$B,'DRE 2020'!V$2)</f>
        <v>0</v>
      </c>
      <c r="W19" s="91" t="n">
        <f aca="false">IFERROR(V19/V$5,0)</f>
        <v>0</v>
      </c>
      <c r="X19" s="96"/>
      <c r="Y19" s="75" t="n">
        <f aca="false">SUMIFS('Dados Mov Financeira'!$N:$N,'Dados Mov Financeira'!$O:$O,'DRE 2020'!$B19,'Dados Mov Financeira'!$A:$A,'DRE 2020'!Y$1,'Dados Mov Financeira'!$B:$B,'DRE 2020'!Y$2)</f>
        <v>0</v>
      </c>
      <c r="Z19" s="91" t="n">
        <f aca="false">IFERROR(Y19/Y$5,0)</f>
        <v>0</v>
      </c>
      <c r="AA19" s="96"/>
      <c r="AB19" s="75" t="n">
        <f aca="false">SUMIFS('Dados Mov Financeira'!$N:$N,'Dados Mov Financeira'!$O:$O,'DRE 2020'!$B19,'Dados Mov Financeira'!$A:$A,'DRE 2020'!AB$1,'Dados Mov Financeira'!$B:$B,'DRE 2020'!AB$2)</f>
        <v>0</v>
      </c>
      <c r="AC19" s="91" t="n">
        <f aca="false">IFERROR(AB19/AB$5,0)</f>
        <v>0</v>
      </c>
      <c r="AD19" s="96"/>
      <c r="AE19" s="75" t="n">
        <f aca="false">SUMIFS('Dados Mov Financeira'!$N:$N,'Dados Mov Financeira'!$O:$O,'DRE 2020'!$B19,'Dados Mov Financeira'!$A:$A,'DRE 2020'!AE$1,'Dados Mov Financeira'!$B:$B,'DRE 2020'!AE$2)</f>
        <v>0</v>
      </c>
      <c r="AF19" s="91" t="n">
        <f aca="false">IFERROR(AE19/AE$5,0)</f>
        <v>0</v>
      </c>
      <c r="AG19" s="96"/>
      <c r="AH19" s="75" t="n">
        <f aca="false">SUMIFS('Dados Mov Financeira'!$N:$N,'Dados Mov Financeira'!$O:$O,'DRE 2020'!$B19,'Dados Mov Financeira'!$A:$A,'DRE 2020'!AH$1,'Dados Mov Financeira'!$B:$B,'DRE 2020'!AH$2)</f>
        <v>0</v>
      </c>
      <c r="AI19" s="91" t="n">
        <f aca="false">IFERROR(AH19/AH$5,0)</f>
        <v>0</v>
      </c>
      <c r="AJ19" s="96"/>
      <c r="AK19" s="75" t="n">
        <f aca="false">SUMIFS('Dados Mov Financeira'!$N:$N,'Dados Mov Financeira'!$O:$O,'DRE 2020'!$B19,'Dados Mov Financeira'!$A:$A,'DRE 2020'!AK$1,'Dados Mov Financeira'!$B:$B,'DRE 2020'!AK$2)</f>
        <v>0</v>
      </c>
      <c r="AL19" s="91" t="n">
        <f aca="false">IFERROR(AK19/AK$5,0)</f>
        <v>0</v>
      </c>
      <c r="AM19" s="96"/>
      <c r="AN19" s="92" t="n">
        <f aca="false">SUM(D19,G19,J19,M19,P19,S19,V19,Y19,AB19,AE19,AH19,AK19)</f>
        <v>0</v>
      </c>
      <c r="AO19" s="91" t="n">
        <f aca="false">IFERROR(AN19/AN$5,0)</f>
        <v>0</v>
      </c>
      <c r="AP19" s="96"/>
      <c r="AQ19" s="93" t="n">
        <f aca="false">AN19/$AR$1</f>
        <v>0</v>
      </c>
      <c r="AR19" s="94" t="n">
        <f aca="false">IFERROR(AQ19/AQ$5,0)</f>
        <v>0</v>
      </c>
      <c r="AS19" s="96"/>
      <c r="AT19" s="78"/>
    </row>
    <row r="20" s="57" customFormat="true" ht="10.5" hidden="false" customHeight="true" outlineLevel="0" collapsed="false">
      <c r="B20" s="48"/>
      <c r="C20" s="58"/>
      <c r="D20" s="59"/>
      <c r="E20" s="60"/>
      <c r="F20" s="58"/>
      <c r="G20" s="59"/>
      <c r="H20" s="60"/>
      <c r="I20" s="58"/>
      <c r="J20" s="59"/>
      <c r="K20" s="60"/>
      <c r="L20" s="58"/>
      <c r="M20" s="59"/>
      <c r="N20" s="60"/>
      <c r="O20" s="58"/>
      <c r="P20" s="59"/>
      <c r="Q20" s="60"/>
      <c r="R20" s="58"/>
      <c r="S20" s="59"/>
      <c r="T20" s="60"/>
      <c r="U20" s="58"/>
      <c r="V20" s="59"/>
      <c r="W20" s="60"/>
      <c r="X20" s="58"/>
      <c r="Y20" s="59"/>
      <c r="Z20" s="60"/>
      <c r="AA20" s="58"/>
      <c r="AB20" s="59"/>
      <c r="AC20" s="60"/>
      <c r="AD20" s="58"/>
      <c r="AE20" s="59"/>
      <c r="AF20" s="60"/>
      <c r="AG20" s="58"/>
      <c r="AH20" s="59"/>
      <c r="AI20" s="60"/>
      <c r="AJ20" s="58"/>
      <c r="AK20" s="59"/>
      <c r="AL20" s="60"/>
      <c r="AM20" s="58"/>
      <c r="AN20" s="59"/>
      <c r="AO20" s="60"/>
      <c r="AP20" s="58"/>
      <c r="AQ20" s="61"/>
      <c r="AR20" s="60"/>
      <c r="AS20" s="58"/>
      <c r="AT20" s="62"/>
    </row>
    <row r="21" s="63" customFormat="true" ht="17.35" hidden="false" customHeight="false" outlineLevel="0" collapsed="false">
      <c r="A21" s="36"/>
      <c r="B21" s="98" t="s">
        <v>49</v>
      </c>
      <c r="D21" s="80" t="n">
        <f aca="false">D5+D9</f>
        <v>0</v>
      </c>
      <c r="E21" s="81" t="n">
        <f aca="false">IFERROR(D21/D$5,0)</f>
        <v>0</v>
      </c>
      <c r="G21" s="80" t="n">
        <f aca="false">G5+G9</f>
        <v>0</v>
      </c>
      <c r="H21" s="81" t="n">
        <f aca="false">IFERROR(G21/G$5,0)</f>
        <v>0</v>
      </c>
      <c r="J21" s="80" t="n">
        <f aca="false">J5+J9</f>
        <v>0</v>
      </c>
      <c r="K21" s="81" t="n">
        <f aca="false">IFERROR(J21/J$5,0)</f>
        <v>0</v>
      </c>
      <c r="M21" s="80" t="n">
        <f aca="false">M5+M9</f>
        <v>0</v>
      </c>
      <c r="N21" s="81" t="n">
        <f aca="false">IFERROR(M21/M$5,0)</f>
        <v>0</v>
      </c>
      <c r="P21" s="80" t="n">
        <f aca="false">P5+P9</f>
        <v>0</v>
      </c>
      <c r="Q21" s="81" t="n">
        <f aca="false">IFERROR(P21/P$5,0)</f>
        <v>0</v>
      </c>
      <c r="S21" s="80" t="n">
        <f aca="false">S5+S9</f>
        <v>0</v>
      </c>
      <c r="T21" s="81" t="n">
        <f aca="false">IFERROR(S21/S$5,0)</f>
        <v>0</v>
      </c>
      <c r="V21" s="80" t="n">
        <f aca="false">V5+V9</f>
        <v>0</v>
      </c>
      <c r="W21" s="81" t="n">
        <f aca="false">IFERROR(V21/V$5,0)</f>
        <v>0</v>
      </c>
      <c r="Y21" s="80" t="n">
        <f aca="false">Y5+Y9</f>
        <v>0</v>
      </c>
      <c r="Z21" s="81" t="n">
        <f aca="false">IFERROR(Y21/Y$5,0)</f>
        <v>0</v>
      </c>
      <c r="AB21" s="80" t="n">
        <f aca="false">AB5+AB9</f>
        <v>0</v>
      </c>
      <c r="AC21" s="81" t="n">
        <f aca="false">IFERROR(AB21/AB$5,0)</f>
        <v>0</v>
      </c>
      <c r="AE21" s="80" t="n">
        <f aca="false">AE5+AE9</f>
        <v>0</v>
      </c>
      <c r="AF21" s="81" t="n">
        <f aca="false">IFERROR(AE21/AE$5,0)</f>
        <v>0</v>
      </c>
      <c r="AH21" s="80" t="n">
        <f aca="false">AH5+AH9</f>
        <v>0</v>
      </c>
      <c r="AI21" s="81" t="n">
        <f aca="false">IFERROR(AH21/AH$5,0)</f>
        <v>0</v>
      </c>
      <c r="AK21" s="80" t="n">
        <f aca="false">AK5+AK9</f>
        <v>0</v>
      </c>
      <c r="AL21" s="81" t="n">
        <f aca="false">IFERROR(AK21/AK$5,0)</f>
        <v>0</v>
      </c>
      <c r="AN21" s="80" t="n">
        <f aca="false">AN5+AN9</f>
        <v>0</v>
      </c>
      <c r="AO21" s="81" t="n">
        <f aca="false">IFERROR(AN21/AN$5,0)</f>
        <v>0</v>
      </c>
      <c r="AQ21" s="82" t="n">
        <f aca="false">AQ5+AQ9</f>
        <v>0</v>
      </c>
      <c r="AR21" s="83" t="n">
        <f aca="false">IFERROR(AQ21/AQ$5,0)</f>
        <v>0</v>
      </c>
      <c r="AT21" s="84" t="n">
        <f aca="false">AT5+AT9</f>
        <v>0.9335</v>
      </c>
    </row>
    <row r="22" s="57" customFormat="true" ht="7.5" hidden="false" customHeight="true" outlineLevel="0" collapsed="false">
      <c r="B22" s="48"/>
      <c r="C22" s="58"/>
      <c r="D22" s="59"/>
      <c r="E22" s="60"/>
      <c r="F22" s="58"/>
      <c r="G22" s="59"/>
      <c r="H22" s="60"/>
      <c r="I22" s="58"/>
      <c r="J22" s="59"/>
      <c r="K22" s="60"/>
      <c r="L22" s="58"/>
      <c r="M22" s="59"/>
      <c r="N22" s="60"/>
      <c r="O22" s="58"/>
      <c r="P22" s="59"/>
      <c r="Q22" s="60"/>
      <c r="R22" s="58"/>
      <c r="S22" s="59"/>
      <c r="T22" s="60"/>
      <c r="U22" s="58"/>
      <c r="V22" s="59"/>
      <c r="W22" s="60"/>
      <c r="X22" s="58"/>
      <c r="Y22" s="59"/>
      <c r="Z22" s="60"/>
      <c r="AA22" s="58"/>
      <c r="AB22" s="59"/>
      <c r="AC22" s="60"/>
      <c r="AD22" s="58"/>
      <c r="AE22" s="59"/>
      <c r="AF22" s="60"/>
      <c r="AG22" s="58"/>
      <c r="AH22" s="59"/>
      <c r="AI22" s="60"/>
      <c r="AJ22" s="58"/>
      <c r="AK22" s="59"/>
      <c r="AL22" s="60"/>
      <c r="AM22" s="58"/>
      <c r="AN22" s="59"/>
      <c r="AO22" s="60"/>
      <c r="AP22" s="58"/>
      <c r="AQ22" s="61"/>
      <c r="AR22" s="60"/>
      <c r="AS22" s="58"/>
      <c r="AT22" s="62"/>
    </row>
    <row r="23" s="63" customFormat="true" ht="17.35" hidden="false" customHeight="false" outlineLevel="0" collapsed="false">
      <c r="A23" s="36"/>
      <c r="B23" s="79" t="s">
        <v>50</v>
      </c>
      <c r="D23" s="80" t="n">
        <f aca="false">SUM(D24,D28)</f>
        <v>0</v>
      </c>
      <c r="E23" s="81" t="n">
        <f aca="false">IFERROR(D23/D$5,0)</f>
        <v>0</v>
      </c>
      <c r="G23" s="80" t="n">
        <f aca="false">SUM(G24,G28)</f>
        <v>0</v>
      </c>
      <c r="H23" s="81" t="n">
        <f aca="false">IFERROR(G23/G$5,0)</f>
        <v>0</v>
      </c>
      <c r="J23" s="80" t="n">
        <f aca="false">SUM(J24,J28)</f>
        <v>0</v>
      </c>
      <c r="K23" s="81" t="n">
        <f aca="false">IFERROR(J23/J$5,0)</f>
        <v>0</v>
      </c>
      <c r="M23" s="80" t="n">
        <f aca="false">SUM(M24,M28)</f>
        <v>0</v>
      </c>
      <c r="N23" s="81" t="n">
        <f aca="false">IFERROR(M23/M$5,0)</f>
        <v>0</v>
      </c>
      <c r="P23" s="80" t="n">
        <f aca="false">SUM(P24,P28)</f>
        <v>0</v>
      </c>
      <c r="Q23" s="81" t="n">
        <f aca="false">IFERROR(P23/P$5,0)</f>
        <v>0</v>
      </c>
      <c r="S23" s="80" t="n">
        <f aca="false">SUM(S24,S28)</f>
        <v>0</v>
      </c>
      <c r="T23" s="81" t="n">
        <f aca="false">IFERROR(S23/S$5,0)</f>
        <v>0</v>
      </c>
      <c r="V23" s="80" t="n">
        <f aca="false">SUM(V24,V28)</f>
        <v>0</v>
      </c>
      <c r="W23" s="81" t="n">
        <f aca="false">IFERROR(V23/V$5,0)</f>
        <v>0</v>
      </c>
      <c r="Y23" s="80" t="n">
        <f aca="false">SUM(Y24,Y28)</f>
        <v>0</v>
      </c>
      <c r="Z23" s="81" t="n">
        <f aca="false">IFERROR(Y23/Y$5,0)</f>
        <v>0</v>
      </c>
      <c r="AB23" s="80" t="n">
        <f aca="false">SUM(AB24,AB28)</f>
        <v>0</v>
      </c>
      <c r="AC23" s="81" t="n">
        <f aca="false">IFERROR(AB23/AB$5,0)</f>
        <v>0</v>
      </c>
      <c r="AE23" s="80" t="n">
        <f aca="false">SUM(AE24,AE28)</f>
        <v>0</v>
      </c>
      <c r="AF23" s="81" t="n">
        <f aca="false">IFERROR(AE23/AE$5,0)</f>
        <v>0</v>
      </c>
      <c r="AH23" s="80" t="n">
        <f aca="false">SUM(AH24,AH28)</f>
        <v>0</v>
      </c>
      <c r="AI23" s="81" t="n">
        <f aca="false">IFERROR(AH23/AH$5,0)</f>
        <v>0</v>
      </c>
      <c r="AK23" s="80" t="n">
        <f aca="false">SUM(AK24,AK28)</f>
        <v>0</v>
      </c>
      <c r="AL23" s="81" t="n">
        <f aca="false">IFERROR(AK23/AK$5,0)</f>
        <v>0</v>
      </c>
      <c r="AN23" s="80" t="n">
        <f aca="false">SUM(AN24,AN28)</f>
        <v>0</v>
      </c>
      <c r="AO23" s="81" t="n">
        <f aca="false">IFERROR(AN23/AN$5,0)</f>
        <v>0</v>
      </c>
      <c r="AQ23" s="82" t="n">
        <f aca="false">SUM(AQ24,AQ28)</f>
        <v>0</v>
      </c>
      <c r="AR23" s="83" t="n">
        <f aca="false">IFERROR(AQ23/AQ$5,0)</f>
        <v>0</v>
      </c>
      <c r="AT23" s="84" t="n">
        <f aca="false">SUM(AT24,AT28)</f>
        <v>-0.29</v>
      </c>
    </row>
    <row r="24" s="63" customFormat="true" ht="14.25" hidden="false" customHeight="false" outlineLevel="0" collapsed="false">
      <c r="B24" s="85" t="s">
        <v>51</v>
      </c>
      <c r="D24" s="99" t="n">
        <f aca="false">SUM(D25:D27)</f>
        <v>0</v>
      </c>
      <c r="E24" s="95" t="n">
        <f aca="false">IFERROR(D24/D$5,0)</f>
        <v>0</v>
      </c>
      <c r="G24" s="99" t="n">
        <f aca="false">SUM(G25:G27)</f>
        <v>0</v>
      </c>
      <c r="H24" s="95" t="n">
        <f aca="false">IFERROR(G24/G$5,0)</f>
        <v>0</v>
      </c>
      <c r="J24" s="99" t="n">
        <f aca="false">SUM(J25:J27)</f>
        <v>0</v>
      </c>
      <c r="K24" s="95" t="n">
        <f aca="false">IFERROR(J24/J$5,0)</f>
        <v>0</v>
      </c>
      <c r="M24" s="99" t="n">
        <f aca="false">SUM(M25:M27)</f>
        <v>0</v>
      </c>
      <c r="N24" s="95" t="n">
        <f aca="false">IFERROR(M24/M$5,0)</f>
        <v>0</v>
      </c>
      <c r="P24" s="99" t="n">
        <f aca="false">SUM(P25:P27)</f>
        <v>0</v>
      </c>
      <c r="Q24" s="95" t="n">
        <f aca="false">IFERROR(P24/P$5,0)</f>
        <v>0</v>
      </c>
      <c r="S24" s="99" t="n">
        <f aca="false">SUM(S25:S27)</f>
        <v>0</v>
      </c>
      <c r="T24" s="95" t="n">
        <f aca="false">IFERROR(S24/S$5,0)</f>
        <v>0</v>
      </c>
      <c r="V24" s="99" t="n">
        <f aca="false">SUM(V25:V27)</f>
        <v>0</v>
      </c>
      <c r="W24" s="95" t="n">
        <f aca="false">IFERROR(V24/V$5,0)</f>
        <v>0</v>
      </c>
      <c r="Y24" s="99" t="n">
        <f aca="false">SUM(Y25:Y27)</f>
        <v>0</v>
      </c>
      <c r="Z24" s="95" t="n">
        <f aca="false">IFERROR(Y24/Y$5,0)</f>
        <v>0</v>
      </c>
      <c r="AB24" s="99" t="n">
        <f aca="false">SUM(AB25:AB27)</f>
        <v>0</v>
      </c>
      <c r="AC24" s="95" t="n">
        <f aca="false">IFERROR(AB24/AB$5,0)</f>
        <v>0</v>
      </c>
      <c r="AE24" s="99" t="n">
        <f aca="false">SUM(AE25:AE27)</f>
        <v>0</v>
      </c>
      <c r="AF24" s="95" t="n">
        <f aca="false">IFERROR(AE24/AE$5,0)</f>
        <v>0</v>
      </c>
      <c r="AH24" s="99" t="n">
        <f aca="false">SUM(AH25:AH27)</f>
        <v>0</v>
      </c>
      <c r="AI24" s="95" t="n">
        <f aca="false">IFERROR(AH24/AH$5,0)</f>
        <v>0</v>
      </c>
      <c r="AK24" s="99" t="n">
        <f aca="false">SUM(AK25:AK27)</f>
        <v>0</v>
      </c>
      <c r="AL24" s="95" t="n">
        <f aca="false">IFERROR(AK24/AK$5,0)</f>
        <v>0</v>
      </c>
      <c r="AN24" s="75" t="n">
        <f aca="false">SUM(D24,G24,J24,M24,P24,S24,V24,Y24,AB24,AE24,AH24,AK24)</f>
        <v>0</v>
      </c>
      <c r="AO24" s="88" t="n">
        <f aca="false">IFERROR(AN24/AN$5,0)</f>
        <v>0</v>
      </c>
      <c r="AQ24" s="77" t="n">
        <f aca="false">AN24/$AR$1</f>
        <v>0</v>
      </c>
      <c r="AR24" s="76" t="n">
        <f aca="false">IFERROR(AQ24/AQ$5,0)</f>
        <v>0</v>
      </c>
      <c r="AT24" s="78" t="n">
        <v>-0.09</v>
      </c>
    </row>
    <row r="25" customFormat="false" ht="14.25" hidden="true" customHeight="false" outlineLevel="1" collapsed="false">
      <c r="B25" s="89" t="s">
        <v>52</v>
      </c>
      <c r="C25" s="96"/>
      <c r="D25" s="75" t="n">
        <f aca="false">SUMIFS('Dados Mov Financeira'!$N:$N,'Dados Mov Financeira'!$O:$O,'DRE 2020'!$B25,'Dados Mov Financeira'!$A:$A,'DRE 2020'!D$1,'Dados Mov Financeira'!$B:$B,'DRE 2020'!D$2)</f>
        <v>0</v>
      </c>
      <c r="E25" s="91" t="n">
        <f aca="false">IFERROR(D25/D$5,0)</f>
        <v>0</v>
      </c>
      <c r="F25" s="96"/>
      <c r="G25" s="75" t="n">
        <f aca="false">SUMIFS('Dados Mov Financeira'!$N:$N,'Dados Mov Financeira'!$O:$O,'DRE 2020'!$B25,'Dados Mov Financeira'!$A:$A,'DRE 2020'!G$1,'Dados Mov Financeira'!$B:$B,'DRE 2020'!G$2)</f>
        <v>0</v>
      </c>
      <c r="H25" s="91" t="n">
        <f aca="false">IFERROR(G25/G$5,0)</f>
        <v>0</v>
      </c>
      <c r="I25" s="96"/>
      <c r="J25" s="75" t="n">
        <f aca="false">SUMIFS('Dados Mov Financeira'!$N:$N,'Dados Mov Financeira'!$O:$O,'DRE 2020'!$B25,'Dados Mov Financeira'!$A:$A,'DRE 2020'!J$1,'Dados Mov Financeira'!$B:$B,'DRE 2020'!J$2)</f>
        <v>0</v>
      </c>
      <c r="K25" s="91" t="n">
        <f aca="false">IFERROR(J25/J$5,0)</f>
        <v>0</v>
      </c>
      <c r="L25" s="96"/>
      <c r="M25" s="75" t="n">
        <f aca="false">SUMIFS('Dados Mov Financeira'!$N:$N,'Dados Mov Financeira'!$O:$O,'DRE 2020'!$B25,'Dados Mov Financeira'!$A:$A,'DRE 2020'!M$1,'Dados Mov Financeira'!$B:$B,'DRE 2020'!M$2)</f>
        <v>0</v>
      </c>
      <c r="N25" s="91" t="n">
        <f aca="false">IFERROR(M25/M$5,0)</f>
        <v>0</v>
      </c>
      <c r="O25" s="96"/>
      <c r="P25" s="75" t="n">
        <f aca="false">SUMIFS('Dados Mov Financeira'!$N:$N,'Dados Mov Financeira'!$O:$O,'DRE 2020'!$B25,'Dados Mov Financeira'!$A:$A,'DRE 2020'!P$1,'Dados Mov Financeira'!$B:$B,'DRE 2020'!P$2)</f>
        <v>0</v>
      </c>
      <c r="Q25" s="91" t="n">
        <f aca="false">IFERROR(P25/P$5,0)</f>
        <v>0</v>
      </c>
      <c r="R25" s="96"/>
      <c r="S25" s="75" t="n">
        <f aca="false">SUMIFS('Dados Mov Financeira'!$N:$N,'Dados Mov Financeira'!$O:$O,'DRE 2020'!$B25,'Dados Mov Financeira'!$A:$A,'DRE 2020'!S$1,'Dados Mov Financeira'!$B:$B,'DRE 2020'!S$2)</f>
        <v>0</v>
      </c>
      <c r="T25" s="91" t="n">
        <f aca="false">IFERROR(S25/S$5,0)</f>
        <v>0</v>
      </c>
      <c r="U25" s="96"/>
      <c r="V25" s="75" t="n">
        <f aca="false">SUMIFS('Dados Mov Financeira'!$N:$N,'Dados Mov Financeira'!$O:$O,'DRE 2020'!$B25,'Dados Mov Financeira'!$A:$A,'DRE 2020'!V$1,'Dados Mov Financeira'!$B:$B,'DRE 2020'!V$2)</f>
        <v>0</v>
      </c>
      <c r="W25" s="91" t="n">
        <f aca="false">IFERROR(V25/V$5,0)</f>
        <v>0</v>
      </c>
      <c r="X25" s="96"/>
      <c r="Y25" s="75" t="n">
        <f aca="false">SUMIFS('Dados Mov Financeira'!$N:$N,'Dados Mov Financeira'!$O:$O,'DRE 2020'!$B25,'Dados Mov Financeira'!$A:$A,'DRE 2020'!Y$1,'Dados Mov Financeira'!$B:$B,'DRE 2020'!Y$2)</f>
        <v>0</v>
      </c>
      <c r="Z25" s="91" t="n">
        <f aca="false">IFERROR(Y25/Y$5,0)</f>
        <v>0</v>
      </c>
      <c r="AA25" s="96"/>
      <c r="AB25" s="75" t="n">
        <f aca="false">SUMIFS('Dados Mov Financeira'!$N:$N,'Dados Mov Financeira'!$O:$O,'DRE 2020'!$B25,'Dados Mov Financeira'!$A:$A,'DRE 2020'!AB$1,'Dados Mov Financeira'!$B:$B,'DRE 2020'!AB$2)</f>
        <v>0</v>
      </c>
      <c r="AC25" s="91" t="n">
        <f aca="false">IFERROR(AB25/AB$5,0)</f>
        <v>0</v>
      </c>
      <c r="AD25" s="96"/>
      <c r="AE25" s="75" t="n">
        <f aca="false">SUMIFS('Dados Mov Financeira'!$N:$N,'Dados Mov Financeira'!$O:$O,'DRE 2020'!$B25,'Dados Mov Financeira'!$A:$A,'DRE 2020'!AE$1,'Dados Mov Financeira'!$B:$B,'DRE 2020'!AE$2)</f>
        <v>0</v>
      </c>
      <c r="AF25" s="91" t="n">
        <f aca="false">IFERROR(AE25/AE$5,0)</f>
        <v>0</v>
      </c>
      <c r="AG25" s="96"/>
      <c r="AH25" s="75" t="n">
        <f aca="false">SUMIFS('Dados Mov Financeira'!$N:$N,'Dados Mov Financeira'!$O:$O,'DRE 2020'!$B25,'Dados Mov Financeira'!$A:$A,'DRE 2020'!AH$1,'Dados Mov Financeira'!$B:$B,'DRE 2020'!AH$2)</f>
        <v>0</v>
      </c>
      <c r="AI25" s="91" t="n">
        <f aca="false">IFERROR(AH25/AH$5,0)</f>
        <v>0</v>
      </c>
      <c r="AJ25" s="96"/>
      <c r="AK25" s="75" t="n">
        <f aca="false">SUMIFS('Dados Mov Financeira'!$N:$N,'Dados Mov Financeira'!$O:$O,'DRE 2020'!$B25,'Dados Mov Financeira'!$A:$A,'DRE 2020'!AK$1,'Dados Mov Financeira'!$B:$B,'DRE 2020'!AK$2)</f>
        <v>0</v>
      </c>
      <c r="AL25" s="91" t="n">
        <f aca="false">IFERROR(AK25/AK$5,0)</f>
        <v>0</v>
      </c>
      <c r="AM25" s="96"/>
      <c r="AN25" s="92" t="n">
        <f aca="false">SUM(D25,G25,J25,M25,P25,S25,V25,Y25,AB25,AE25,AH25,AK25)</f>
        <v>0</v>
      </c>
      <c r="AO25" s="91" t="n">
        <f aca="false">IFERROR(AN25/AN$5,0)</f>
        <v>0</v>
      </c>
      <c r="AP25" s="96"/>
      <c r="AQ25" s="93" t="n">
        <f aca="false">AN25/$AR$1</f>
        <v>0</v>
      </c>
      <c r="AR25" s="94" t="n">
        <f aca="false">IFERROR(AQ25/AQ$5,0)</f>
        <v>0</v>
      </c>
      <c r="AS25" s="96"/>
      <c r="AT25" s="78"/>
    </row>
    <row r="26" customFormat="false" ht="14.25" hidden="true" customHeight="false" outlineLevel="1" collapsed="false">
      <c r="B26" s="89" t="s">
        <v>53</v>
      </c>
      <c r="D26" s="75" t="n">
        <f aca="false">SUMIFS('Dados Mov Financeira'!$N:$N,'Dados Mov Financeira'!$O:$O,'DRE 2020'!$B26,'Dados Mov Financeira'!$A:$A,'DRE 2020'!D$1,'Dados Mov Financeira'!$B:$B,'DRE 2020'!D$2)</f>
        <v>0</v>
      </c>
      <c r="E26" s="91" t="n">
        <f aca="false">IFERROR(D26/D$5,0)</f>
        <v>0</v>
      </c>
      <c r="G26" s="75" t="n">
        <f aca="false">SUMIFS('Dados Mov Financeira'!$N:$N,'Dados Mov Financeira'!$O:$O,'DRE 2020'!$B26,'Dados Mov Financeira'!$A:$A,'DRE 2020'!G$1,'Dados Mov Financeira'!$B:$B,'DRE 2020'!G$2)</f>
        <v>0</v>
      </c>
      <c r="H26" s="91" t="n">
        <f aca="false">IFERROR(G26/G$5,0)</f>
        <v>0</v>
      </c>
      <c r="J26" s="75" t="n">
        <f aca="false">SUMIFS('Dados Mov Financeira'!$N:$N,'Dados Mov Financeira'!$O:$O,'DRE 2020'!$B26,'Dados Mov Financeira'!$A:$A,'DRE 2020'!J$1,'Dados Mov Financeira'!$B:$B,'DRE 2020'!J$2)</f>
        <v>0</v>
      </c>
      <c r="K26" s="91" t="n">
        <f aca="false">IFERROR(J26/J$5,0)</f>
        <v>0</v>
      </c>
      <c r="M26" s="75" t="n">
        <f aca="false">SUMIFS('Dados Mov Financeira'!$N:$N,'Dados Mov Financeira'!$O:$O,'DRE 2020'!$B26,'Dados Mov Financeira'!$A:$A,'DRE 2020'!M$1,'Dados Mov Financeira'!$B:$B,'DRE 2020'!M$2)</f>
        <v>0</v>
      </c>
      <c r="N26" s="91" t="n">
        <f aca="false">IFERROR(M26/M$5,0)</f>
        <v>0</v>
      </c>
      <c r="P26" s="99" t="n">
        <f aca="false">SUMIFS('Dados Mov Financeira'!$N:$N,'Dados Mov Financeira'!$O:$O,'DRE 2020'!$B26,'Dados Mov Financeira'!$A:$A,'DRE 2020'!P$1,'Dados Mov Financeira'!$B:$B,'DRE 2020'!P$2)</f>
        <v>0</v>
      </c>
      <c r="Q26" s="91" t="n">
        <f aca="false">IFERROR(P26/P$5,0)</f>
        <v>0</v>
      </c>
      <c r="S26" s="99" t="n">
        <f aca="false">SUMIFS('Dados Mov Financeira'!$N:$N,'Dados Mov Financeira'!$O:$O,'DRE 2020'!$B26,'Dados Mov Financeira'!$A:$A,'DRE 2020'!S$1,'Dados Mov Financeira'!$B:$B,'DRE 2020'!S$2)</f>
        <v>0</v>
      </c>
      <c r="T26" s="91" t="n">
        <f aca="false">IFERROR(S26/S$5,0)</f>
        <v>0</v>
      </c>
      <c r="V26" s="99" t="n">
        <f aca="false">SUMIFS('Dados Mov Financeira'!$N:$N,'Dados Mov Financeira'!$O:$O,'DRE 2020'!$B26,'Dados Mov Financeira'!$A:$A,'DRE 2020'!V$1,'Dados Mov Financeira'!$B:$B,'DRE 2020'!V$2)</f>
        <v>0</v>
      </c>
      <c r="W26" s="91" t="n">
        <f aca="false">IFERROR(V26/V$5,0)</f>
        <v>0</v>
      </c>
      <c r="Y26" s="99" t="n">
        <f aca="false">SUMIFS('Dados Mov Financeira'!$N:$N,'Dados Mov Financeira'!$O:$O,'DRE 2020'!$B26,'Dados Mov Financeira'!$A:$A,'DRE 2020'!Y$1,'Dados Mov Financeira'!$B:$B,'DRE 2020'!Y$2)</f>
        <v>0</v>
      </c>
      <c r="Z26" s="91" t="n">
        <f aca="false">IFERROR(Y26/Y$5,0)</f>
        <v>0</v>
      </c>
      <c r="AB26" s="99" t="n">
        <f aca="false">SUMIFS('Dados Mov Financeira'!$N:$N,'Dados Mov Financeira'!$O:$O,'DRE 2020'!$B26,'Dados Mov Financeira'!$A:$A,'DRE 2020'!AB$1,'Dados Mov Financeira'!$B:$B,'DRE 2020'!AB$2)</f>
        <v>0</v>
      </c>
      <c r="AC26" s="91" t="n">
        <f aca="false">IFERROR(AB26/AB$5,0)</f>
        <v>0</v>
      </c>
      <c r="AE26" s="99" t="n">
        <f aca="false">SUMIFS('Dados Mov Financeira'!$N:$N,'Dados Mov Financeira'!$O:$O,'DRE 2020'!$B26,'Dados Mov Financeira'!$A:$A,'DRE 2020'!AE$1,'Dados Mov Financeira'!$B:$B,'DRE 2020'!AE$2)</f>
        <v>0</v>
      </c>
      <c r="AF26" s="91" t="n">
        <f aca="false">IFERROR(AE26/AE$5,0)</f>
        <v>0</v>
      </c>
      <c r="AH26" s="99" t="n">
        <f aca="false">SUMIFS('Dados Mov Financeira'!$N:$N,'Dados Mov Financeira'!$O:$O,'DRE 2020'!$B26,'Dados Mov Financeira'!$A:$A,'DRE 2020'!AH$1,'Dados Mov Financeira'!$B:$B,'DRE 2020'!AH$2)</f>
        <v>0</v>
      </c>
      <c r="AI26" s="91" t="n">
        <f aca="false">IFERROR(AH26/AH$5,0)</f>
        <v>0</v>
      </c>
      <c r="AK26" s="99" t="n">
        <f aca="false">SUMIFS('Dados Mov Financeira'!$N:$N,'Dados Mov Financeira'!$O:$O,'DRE 2020'!$B26,'Dados Mov Financeira'!$A:$A,'DRE 2020'!AK$1,'Dados Mov Financeira'!$B:$B,'DRE 2020'!AK$2)</f>
        <v>0</v>
      </c>
      <c r="AL26" s="91" t="n">
        <f aca="false">IFERROR(AK26/AK$5,0)</f>
        <v>0</v>
      </c>
      <c r="AN26" s="92" t="n">
        <f aca="false">SUM(D26,G26,J26,M26,P26,S26,V26,Y26,AB26,AE26,AH26,AK26)</f>
        <v>0</v>
      </c>
      <c r="AO26" s="91" t="n">
        <f aca="false">IFERROR(AN26/AN$5,0)</f>
        <v>0</v>
      </c>
      <c r="AQ26" s="93" t="n">
        <f aca="false">AN26/$AR$1</f>
        <v>0</v>
      </c>
      <c r="AR26" s="94" t="n">
        <f aca="false">IFERROR(AQ26/AQ$5,0)</f>
        <v>0</v>
      </c>
      <c r="AT26" s="78"/>
    </row>
    <row r="27" customFormat="false" ht="14.25" hidden="true" customHeight="false" outlineLevel="1" collapsed="false">
      <c r="B27" s="89" t="s">
        <v>54</v>
      </c>
      <c r="D27" s="75" t="n">
        <f aca="false">SUMIFS('Dados Mov Financeira'!$N:$N,'Dados Mov Financeira'!$O:$O,'DRE 2020'!$B27,'Dados Mov Financeira'!$A:$A,'DRE 2020'!D$1,'Dados Mov Financeira'!$B:$B,'DRE 2020'!D$2)</f>
        <v>0</v>
      </c>
      <c r="E27" s="91" t="n">
        <f aca="false">IFERROR(D27/D$5,0)</f>
        <v>0</v>
      </c>
      <c r="G27" s="75" t="n">
        <f aca="false">SUMIFS('Dados Mov Financeira'!$N:$N,'Dados Mov Financeira'!$O:$O,'DRE 2020'!$B27,'Dados Mov Financeira'!$A:$A,'DRE 2020'!G$1,'Dados Mov Financeira'!$B:$B,'DRE 2020'!G$2)</f>
        <v>0</v>
      </c>
      <c r="H27" s="91" t="n">
        <f aca="false">IFERROR(G27/G$5,0)</f>
        <v>0</v>
      </c>
      <c r="J27" s="75" t="n">
        <f aca="false">SUMIFS('Dados Mov Financeira'!$N:$N,'Dados Mov Financeira'!$O:$O,'DRE 2020'!$B27,'Dados Mov Financeira'!$A:$A,'DRE 2020'!J$1,'Dados Mov Financeira'!$B:$B,'DRE 2020'!J$2)</f>
        <v>0</v>
      </c>
      <c r="K27" s="91" t="n">
        <f aca="false">IFERROR(J27/J$5,0)</f>
        <v>0</v>
      </c>
      <c r="M27" s="75" t="n">
        <f aca="false">SUMIFS('Dados Mov Financeira'!$N:$N,'Dados Mov Financeira'!$O:$O,'DRE 2020'!$B27,'Dados Mov Financeira'!$A:$A,'DRE 2020'!M$1,'Dados Mov Financeira'!$B:$B,'DRE 2020'!M$2)</f>
        <v>0</v>
      </c>
      <c r="N27" s="91" t="n">
        <f aca="false">IFERROR(M27/M$5,0)</f>
        <v>0</v>
      </c>
      <c r="P27" s="75" t="n">
        <f aca="false">SUMIFS('Dados Mov Financeira'!$N:$N,'Dados Mov Financeira'!$O:$O,'DRE 2020'!$B27,'Dados Mov Financeira'!$A:$A,'DRE 2020'!P$1,'Dados Mov Financeira'!$B:$B,'DRE 2020'!P$2)</f>
        <v>0</v>
      </c>
      <c r="Q27" s="91" t="n">
        <f aca="false">IFERROR(P27/P$5,0)</f>
        <v>0</v>
      </c>
      <c r="S27" s="75" t="n">
        <f aca="false">SUMIFS('Dados Mov Financeira'!$N:$N,'Dados Mov Financeira'!$O:$O,'DRE 2020'!$B27,'Dados Mov Financeira'!$A:$A,'DRE 2020'!S$1,'Dados Mov Financeira'!$B:$B,'DRE 2020'!S$2)</f>
        <v>0</v>
      </c>
      <c r="T27" s="91" t="n">
        <f aca="false">IFERROR(S27/S$5,0)</f>
        <v>0</v>
      </c>
      <c r="V27" s="75" t="n">
        <f aca="false">SUMIFS('Dados Mov Financeira'!$N:$N,'Dados Mov Financeira'!$O:$O,'DRE 2020'!$B27,'Dados Mov Financeira'!$A:$A,'DRE 2020'!V$1,'Dados Mov Financeira'!$B:$B,'DRE 2020'!V$2)</f>
        <v>0</v>
      </c>
      <c r="W27" s="91" t="n">
        <f aca="false">IFERROR(V27/V$5,0)</f>
        <v>0</v>
      </c>
      <c r="Y27" s="75" t="n">
        <f aca="false">SUMIFS('Dados Mov Financeira'!$N:$N,'Dados Mov Financeira'!$O:$O,'DRE 2020'!$B27,'Dados Mov Financeira'!$A:$A,'DRE 2020'!Y$1,'Dados Mov Financeira'!$B:$B,'DRE 2020'!Y$2)</f>
        <v>0</v>
      </c>
      <c r="Z27" s="91" t="n">
        <f aca="false">IFERROR(Y27/Y$5,0)</f>
        <v>0</v>
      </c>
      <c r="AB27" s="75" t="n">
        <f aca="false">SUMIFS('Dados Mov Financeira'!$N:$N,'Dados Mov Financeira'!$O:$O,'DRE 2020'!$B27,'Dados Mov Financeira'!$A:$A,'DRE 2020'!AB$1,'Dados Mov Financeira'!$B:$B,'DRE 2020'!AB$2)</f>
        <v>0</v>
      </c>
      <c r="AC27" s="91" t="n">
        <f aca="false">IFERROR(AB27/AB$5,0)</f>
        <v>0</v>
      </c>
      <c r="AE27" s="75" t="n">
        <f aca="false">SUMIFS('Dados Mov Financeira'!$N:$N,'Dados Mov Financeira'!$O:$O,'DRE 2020'!$B27,'Dados Mov Financeira'!$A:$A,'DRE 2020'!AE$1,'Dados Mov Financeira'!$B:$B,'DRE 2020'!AE$2)</f>
        <v>0</v>
      </c>
      <c r="AF27" s="91" t="n">
        <f aca="false">IFERROR(AE27/AE$5,0)</f>
        <v>0</v>
      </c>
      <c r="AH27" s="75" t="n">
        <f aca="false">SUMIFS('Dados Mov Financeira'!$N:$N,'Dados Mov Financeira'!$O:$O,'DRE 2020'!$B27,'Dados Mov Financeira'!$A:$A,'DRE 2020'!AH$1,'Dados Mov Financeira'!$B:$B,'DRE 2020'!AH$2)</f>
        <v>0</v>
      </c>
      <c r="AI27" s="91" t="n">
        <f aca="false">IFERROR(AH27/AH$5,0)</f>
        <v>0</v>
      </c>
      <c r="AK27" s="75" t="n">
        <f aca="false">SUMIFS('Dados Mov Financeira'!$N:$N,'Dados Mov Financeira'!$O:$O,'DRE 2020'!$B27,'Dados Mov Financeira'!$A:$A,'DRE 2020'!AK$1,'Dados Mov Financeira'!$B:$B,'DRE 2020'!AK$2)</f>
        <v>0</v>
      </c>
      <c r="AL27" s="91" t="n">
        <f aca="false">IFERROR(AK27/AK$5,0)</f>
        <v>0</v>
      </c>
      <c r="AN27" s="92" t="n">
        <f aca="false">SUM(D27,G27,J27,M27,P27,S27,V27,Y27,AB27,AE27,AH27,AK27)</f>
        <v>0</v>
      </c>
      <c r="AO27" s="91" t="n">
        <f aca="false">IFERROR(AN27/AN$5,0)</f>
        <v>0</v>
      </c>
      <c r="AQ27" s="93" t="n">
        <f aca="false">AN27/$AR$1</f>
        <v>0</v>
      </c>
      <c r="AR27" s="94" t="n">
        <f aca="false">IFERROR(AQ27/AQ$5,0)</f>
        <v>0</v>
      </c>
      <c r="AT27" s="78"/>
    </row>
    <row r="28" s="63" customFormat="true" ht="14.25" hidden="false" customHeight="false" outlineLevel="0" collapsed="false">
      <c r="B28" s="85" t="s">
        <v>55</v>
      </c>
      <c r="C28" s="100"/>
      <c r="D28" s="75" t="n">
        <f aca="false">SUM(D29:D30)</f>
        <v>0</v>
      </c>
      <c r="E28" s="88" t="n">
        <f aca="false">IFERROR(D28/D$5,0)</f>
        <v>0</v>
      </c>
      <c r="F28" s="100"/>
      <c r="G28" s="75" t="n">
        <f aca="false">SUM(G29:G30)</f>
        <v>0</v>
      </c>
      <c r="H28" s="88" t="n">
        <f aca="false">IFERROR(G28/G$5,0)</f>
        <v>0</v>
      </c>
      <c r="I28" s="100"/>
      <c r="J28" s="75" t="n">
        <f aca="false">SUM(J29:J30)</f>
        <v>0</v>
      </c>
      <c r="K28" s="88" t="n">
        <f aca="false">IFERROR(J28/J$5,0)</f>
        <v>0</v>
      </c>
      <c r="L28" s="100"/>
      <c r="M28" s="75" t="n">
        <f aca="false">SUM(M29:M30)</f>
        <v>0</v>
      </c>
      <c r="N28" s="88" t="n">
        <f aca="false">IFERROR(M28/M$5,0)</f>
        <v>0</v>
      </c>
      <c r="O28" s="100"/>
      <c r="P28" s="75" t="n">
        <f aca="false">SUM(P29:P30)</f>
        <v>0</v>
      </c>
      <c r="Q28" s="88" t="n">
        <f aca="false">IFERROR(P28/P$5,0)</f>
        <v>0</v>
      </c>
      <c r="R28" s="100"/>
      <c r="S28" s="75" t="n">
        <f aca="false">SUM(S29:S30)</f>
        <v>0</v>
      </c>
      <c r="T28" s="88" t="n">
        <f aca="false">IFERROR(S28/S$5,0)</f>
        <v>0</v>
      </c>
      <c r="U28" s="100"/>
      <c r="V28" s="75" t="n">
        <f aca="false">SUM(V29:V30)</f>
        <v>0</v>
      </c>
      <c r="W28" s="88" t="n">
        <f aca="false">IFERROR(V28/V$5,0)</f>
        <v>0</v>
      </c>
      <c r="X28" s="100"/>
      <c r="Y28" s="75" t="n">
        <f aca="false">SUM(Y29:Y30)</f>
        <v>0</v>
      </c>
      <c r="Z28" s="88" t="n">
        <f aca="false">IFERROR(Y28/Y$5,0)</f>
        <v>0</v>
      </c>
      <c r="AA28" s="100"/>
      <c r="AB28" s="75" t="n">
        <f aca="false">SUM(AB29:AB30)</f>
        <v>0</v>
      </c>
      <c r="AC28" s="88" t="n">
        <f aca="false">IFERROR(AB28/AB$5,0)</f>
        <v>0</v>
      </c>
      <c r="AD28" s="100"/>
      <c r="AE28" s="75" t="n">
        <f aca="false">SUM(AE29:AE30)</f>
        <v>0</v>
      </c>
      <c r="AF28" s="88" t="n">
        <f aca="false">IFERROR(AE28/AE$5,0)</f>
        <v>0</v>
      </c>
      <c r="AG28" s="100"/>
      <c r="AH28" s="75" t="n">
        <f aca="false">SUM(AH29:AH30)</f>
        <v>0</v>
      </c>
      <c r="AI28" s="88" t="n">
        <f aca="false">IFERROR(AH28/AH$5,0)</f>
        <v>0</v>
      </c>
      <c r="AJ28" s="100"/>
      <c r="AK28" s="75" t="n">
        <f aca="false">SUM(AK29:AK30)</f>
        <v>0</v>
      </c>
      <c r="AL28" s="88" t="n">
        <f aca="false">IFERROR(AK28/AK$5,0)</f>
        <v>0</v>
      </c>
      <c r="AM28" s="100"/>
      <c r="AN28" s="75" t="n">
        <f aca="false">SUM(AN29:AN30)</f>
        <v>0</v>
      </c>
      <c r="AO28" s="88" t="n">
        <f aca="false">IFERROR(AN28/AN$5,0)</f>
        <v>0</v>
      </c>
      <c r="AP28" s="100"/>
      <c r="AQ28" s="75" t="n">
        <f aca="false">SUM(AQ29:AQ30)</f>
        <v>0</v>
      </c>
      <c r="AR28" s="76" t="n">
        <f aca="false">IFERROR(AQ28/AQ$5,0)</f>
        <v>0</v>
      </c>
      <c r="AS28" s="100"/>
      <c r="AT28" s="78" t="n">
        <v>-0.2</v>
      </c>
    </row>
    <row r="29" customFormat="false" ht="14.25" hidden="true" customHeight="false" outlineLevel="1" collapsed="false">
      <c r="B29" s="89" t="s">
        <v>56</v>
      </c>
      <c r="C29" s="96"/>
      <c r="D29" s="75" t="n">
        <f aca="false">SUMIFS('Dados Mov Financeira'!$N:$N,'Dados Mov Financeira'!$O:$O,'DRE 2020'!$B29,'Dados Mov Financeira'!$A:$A,'DRE 2020'!D$1,'Dados Mov Financeira'!$B:$B,'DRE 2020'!D$2)</f>
        <v>0</v>
      </c>
      <c r="E29" s="91" t="n">
        <f aca="false">IFERROR(D29/D$5,0)</f>
        <v>0</v>
      </c>
      <c r="F29" s="96"/>
      <c r="G29" s="75" t="n">
        <f aca="false">SUMIFS('Dados Mov Financeira'!$N:$N,'Dados Mov Financeira'!$O:$O,'DRE 2020'!$B29,'Dados Mov Financeira'!$A:$A,'DRE 2020'!G$1,'Dados Mov Financeira'!$B:$B,'DRE 2020'!G$2)</f>
        <v>0</v>
      </c>
      <c r="H29" s="91" t="n">
        <f aca="false">IFERROR(G29/G$5,0)</f>
        <v>0</v>
      </c>
      <c r="I29" s="96"/>
      <c r="J29" s="75" t="n">
        <f aca="false">SUMIFS('Dados Mov Financeira'!$N:$N,'Dados Mov Financeira'!$O:$O,'DRE 2020'!$B29,'Dados Mov Financeira'!$A:$A,'DRE 2020'!J$1,'Dados Mov Financeira'!$B:$B,'DRE 2020'!J$2)</f>
        <v>0</v>
      </c>
      <c r="K29" s="91" t="n">
        <f aca="false">IFERROR(J29/J$5,0)</f>
        <v>0</v>
      </c>
      <c r="L29" s="96"/>
      <c r="M29" s="75" t="n">
        <f aca="false">SUMIFS('Dados Mov Financeira'!$N:$N,'Dados Mov Financeira'!$O:$O,'DRE 2020'!$B29,'Dados Mov Financeira'!$A:$A,'DRE 2020'!M$1,'Dados Mov Financeira'!$B:$B,'DRE 2020'!M$2)</f>
        <v>0</v>
      </c>
      <c r="N29" s="91" t="n">
        <f aca="false">IFERROR(M29/M$5,0)</f>
        <v>0</v>
      </c>
      <c r="O29" s="96"/>
      <c r="P29" s="75" t="n">
        <f aca="false">SUMIFS('Dados Mov Financeira'!$N:$N,'Dados Mov Financeira'!$O:$O,'DRE 2020'!$B29,'Dados Mov Financeira'!$A:$A,'DRE 2020'!P$1,'Dados Mov Financeira'!$B:$B,'DRE 2020'!P$2)</f>
        <v>0</v>
      </c>
      <c r="Q29" s="91" t="n">
        <f aca="false">IFERROR(P29/P$5,0)</f>
        <v>0</v>
      </c>
      <c r="R29" s="96"/>
      <c r="S29" s="75" t="n">
        <f aca="false">SUMIFS('Dados Mov Financeira'!$N:$N,'Dados Mov Financeira'!$O:$O,'DRE 2020'!$B29,'Dados Mov Financeira'!$A:$A,'DRE 2020'!S$1,'Dados Mov Financeira'!$B:$B,'DRE 2020'!S$2)</f>
        <v>0</v>
      </c>
      <c r="T29" s="91" t="n">
        <f aca="false">IFERROR(S29/S$5,0)</f>
        <v>0</v>
      </c>
      <c r="U29" s="96"/>
      <c r="V29" s="75" t="n">
        <f aca="false">SUMIFS('Dados Mov Financeira'!$N:$N,'Dados Mov Financeira'!$O:$O,'DRE 2020'!$B29,'Dados Mov Financeira'!$A:$A,'DRE 2020'!V$1,'Dados Mov Financeira'!$B:$B,'DRE 2020'!V$2)</f>
        <v>0</v>
      </c>
      <c r="W29" s="91" t="n">
        <f aca="false">IFERROR(V29/V$5,0)</f>
        <v>0</v>
      </c>
      <c r="X29" s="96"/>
      <c r="Y29" s="75" t="n">
        <f aca="false">SUMIFS('Dados Mov Financeira'!$N:$N,'Dados Mov Financeira'!$O:$O,'DRE 2020'!$B29,'Dados Mov Financeira'!$A:$A,'DRE 2020'!Y$1,'Dados Mov Financeira'!$B:$B,'DRE 2020'!Y$2)</f>
        <v>0</v>
      </c>
      <c r="Z29" s="91" t="n">
        <f aca="false">IFERROR(Y29/Y$5,0)</f>
        <v>0</v>
      </c>
      <c r="AA29" s="96"/>
      <c r="AB29" s="75" t="n">
        <f aca="false">SUMIFS('Dados Mov Financeira'!$N:$N,'Dados Mov Financeira'!$O:$O,'DRE 2020'!$B29,'Dados Mov Financeira'!$A:$A,'DRE 2020'!AB$1,'Dados Mov Financeira'!$B:$B,'DRE 2020'!AB$2)</f>
        <v>0</v>
      </c>
      <c r="AC29" s="91" t="n">
        <f aca="false">IFERROR(AB29/AB$5,0)</f>
        <v>0</v>
      </c>
      <c r="AD29" s="96"/>
      <c r="AE29" s="75" t="n">
        <f aca="false">SUMIFS('Dados Mov Financeira'!$N:$N,'Dados Mov Financeira'!$O:$O,'DRE 2020'!$B29,'Dados Mov Financeira'!$A:$A,'DRE 2020'!AE$1,'Dados Mov Financeira'!$B:$B,'DRE 2020'!AE$2)</f>
        <v>0</v>
      </c>
      <c r="AF29" s="91" t="n">
        <f aca="false">IFERROR(AE29/AE$5,0)</f>
        <v>0</v>
      </c>
      <c r="AG29" s="96"/>
      <c r="AH29" s="75" t="n">
        <f aca="false">SUMIFS('Dados Mov Financeira'!$N:$N,'Dados Mov Financeira'!$O:$O,'DRE 2020'!$B29,'Dados Mov Financeira'!$A:$A,'DRE 2020'!AH$1,'Dados Mov Financeira'!$B:$B,'DRE 2020'!AH$2)</f>
        <v>0</v>
      </c>
      <c r="AI29" s="91" t="n">
        <f aca="false">IFERROR(AH29/AH$5,0)</f>
        <v>0</v>
      </c>
      <c r="AJ29" s="96"/>
      <c r="AK29" s="75" t="n">
        <f aca="false">SUMIFS('Dados Mov Financeira'!$N:$N,'Dados Mov Financeira'!$O:$O,'DRE 2020'!$B29,'Dados Mov Financeira'!$A:$A,'DRE 2020'!AK$1,'Dados Mov Financeira'!$B:$B,'DRE 2020'!AK$2)</f>
        <v>0</v>
      </c>
      <c r="AL29" s="91" t="n">
        <f aca="false">IFERROR(AK29/AK$5,0)</f>
        <v>0</v>
      </c>
      <c r="AM29" s="96"/>
      <c r="AN29" s="92" t="n">
        <f aca="false">SUM(D29,G29,J29,M29,P29,S29,V29,Y29,AB29,AE29,AH29,AK29)</f>
        <v>0</v>
      </c>
      <c r="AO29" s="91" t="n">
        <f aca="false">IFERROR(AN29/AN$5,0)</f>
        <v>0</v>
      </c>
      <c r="AP29" s="96"/>
      <c r="AQ29" s="93" t="n">
        <f aca="false">AN29/$AR$1</f>
        <v>0</v>
      </c>
      <c r="AR29" s="94" t="n">
        <f aca="false">IFERROR(AQ29/AQ$5,0)</f>
        <v>0</v>
      </c>
      <c r="AS29" s="96"/>
      <c r="AT29" s="78"/>
    </row>
    <row r="30" customFormat="false" ht="14.25" hidden="true" customHeight="false" outlineLevel="1" collapsed="false">
      <c r="B30" s="89" t="s">
        <v>57</v>
      </c>
      <c r="C30" s="96"/>
      <c r="D30" s="75" t="n">
        <f aca="false">SUMIFS('Dados Mov Financeira'!$N:$N,'Dados Mov Financeira'!$O:$O,'DRE 2020'!$B30,'Dados Mov Financeira'!$A:$A,'DRE 2020'!D$1,'Dados Mov Financeira'!$B:$B,'DRE 2020'!D$2)</f>
        <v>0</v>
      </c>
      <c r="E30" s="91" t="n">
        <f aca="false">IFERROR(D30/D$5,0)</f>
        <v>0</v>
      </c>
      <c r="F30" s="96"/>
      <c r="G30" s="75" t="n">
        <f aca="false">SUMIFS('Dados Mov Financeira'!$N:$N,'Dados Mov Financeira'!$O:$O,'DRE 2020'!$B30,'Dados Mov Financeira'!$A:$A,'DRE 2020'!G$1,'Dados Mov Financeira'!$B:$B,'DRE 2020'!G$2)</f>
        <v>0</v>
      </c>
      <c r="H30" s="91" t="n">
        <f aca="false">IFERROR(G30/G$5,0)</f>
        <v>0</v>
      </c>
      <c r="I30" s="96"/>
      <c r="J30" s="75" t="n">
        <f aca="false">SUMIFS('Dados Mov Financeira'!$N:$N,'Dados Mov Financeira'!$O:$O,'DRE 2020'!$B30,'Dados Mov Financeira'!$A:$A,'DRE 2020'!J$1,'Dados Mov Financeira'!$B:$B,'DRE 2020'!J$2)</f>
        <v>0</v>
      </c>
      <c r="K30" s="91" t="n">
        <f aca="false">IFERROR(J30/J$5,0)</f>
        <v>0</v>
      </c>
      <c r="L30" s="96"/>
      <c r="M30" s="75" t="n">
        <f aca="false">SUMIFS('Dados Mov Financeira'!$N:$N,'Dados Mov Financeira'!$O:$O,'DRE 2020'!$B30,'Dados Mov Financeira'!$A:$A,'DRE 2020'!M$1,'Dados Mov Financeira'!$B:$B,'DRE 2020'!M$2)</f>
        <v>0</v>
      </c>
      <c r="N30" s="91" t="n">
        <f aca="false">IFERROR(M30/M$5,0)</f>
        <v>0</v>
      </c>
      <c r="O30" s="96"/>
      <c r="P30" s="75" t="n">
        <f aca="false">SUMIFS('Dados Mov Financeira'!$N:$N,'Dados Mov Financeira'!$O:$O,'DRE 2020'!$B30,'Dados Mov Financeira'!$A:$A,'DRE 2020'!P$1,'Dados Mov Financeira'!$B:$B,'DRE 2020'!P$2)</f>
        <v>0</v>
      </c>
      <c r="Q30" s="91" t="n">
        <f aca="false">IFERROR(P30/P$5,0)</f>
        <v>0</v>
      </c>
      <c r="R30" s="96"/>
      <c r="S30" s="75" t="n">
        <f aca="false">SUMIFS('Dados Mov Financeira'!$N:$N,'Dados Mov Financeira'!$O:$O,'DRE 2020'!$B30,'Dados Mov Financeira'!$A:$A,'DRE 2020'!S$1,'Dados Mov Financeira'!$B:$B,'DRE 2020'!S$2)</f>
        <v>0</v>
      </c>
      <c r="T30" s="91" t="n">
        <f aca="false">IFERROR(S30/S$5,0)</f>
        <v>0</v>
      </c>
      <c r="U30" s="96"/>
      <c r="V30" s="75" t="n">
        <f aca="false">SUMIFS('Dados Mov Financeira'!$N:$N,'Dados Mov Financeira'!$O:$O,'DRE 2020'!$B30,'Dados Mov Financeira'!$A:$A,'DRE 2020'!V$1,'Dados Mov Financeira'!$B:$B,'DRE 2020'!V$2)</f>
        <v>0</v>
      </c>
      <c r="W30" s="91" t="n">
        <f aca="false">IFERROR(V30/V$5,0)</f>
        <v>0</v>
      </c>
      <c r="X30" s="96"/>
      <c r="Y30" s="75" t="n">
        <f aca="false">SUMIFS('Dados Mov Financeira'!$N:$N,'Dados Mov Financeira'!$O:$O,'DRE 2020'!$B30,'Dados Mov Financeira'!$A:$A,'DRE 2020'!Y$1,'Dados Mov Financeira'!$B:$B,'DRE 2020'!Y$2)</f>
        <v>0</v>
      </c>
      <c r="Z30" s="91" t="n">
        <f aca="false">IFERROR(Y30/Y$5,0)</f>
        <v>0</v>
      </c>
      <c r="AA30" s="96"/>
      <c r="AB30" s="75" t="n">
        <f aca="false">SUMIFS('Dados Mov Financeira'!$N:$N,'Dados Mov Financeira'!$O:$O,'DRE 2020'!$B30,'Dados Mov Financeira'!$A:$A,'DRE 2020'!AB$1,'Dados Mov Financeira'!$B:$B,'DRE 2020'!AB$2)</f>
        <v>0</v>
      </c>
      <c r="AC30" s="91" t="n">
        <f aca="false">IFERROR(AB30/AB$5,0)</f>
        <v>0</v>
      </c>
      <c r="AD30" s="96"/>
      <c r="AE30" s="75" t="n">
        <f aca="false">SUMIFS('Dados Mov Financeira'!$N:$N,'Dados Mov Financeira'!$O:$O,'DRE 2020'!$B30,'Dados Mov Financeira'!$A:$A,'DRE 2020'!AE$1,'Dados Mov Financeira'!$B:$B,'DRE 2020'!AE$2)</f>
        <v>0</v>
      </c>
      <c r="AF30" s="91" t="n">
        <f aca="false">IFERROR(AE30/AE$5,0)</f>
        <v>0</v>
      </c>
      <c r="AG30" s="96"/>
      <c r="AH30" s="75" t="n">
        <f aca="false">SUMIFS('Dados Mov Financeira'!$N:$N,'Dados Mov Financeira'!$O:$O,'DRE 2020'!$B30,'Dados Mov Financeira'!$A:$A,'DRE 2020'!AH$1,'Dados Mov Financeira'!$B:$B,'DRE 2020'!AH$2)</f>
        <v>0</v>
      </c>
      <c r="AI30" s="91" t="n">
        <f aca="false">IFERROR(AH30/AH$5,0)</f>
        <v>0</v>
      </c>
      <c r="AJ30" s="96"/>
      <c r="AK30" s="75" t="n">
        <f aca="false">SUMIFS('Dados Mov Financeira'!$N:$N,'Dados Mov Financeira'!$O:$O,'DRE 2020'!$B30,'Dados Mov Financeira'!$A:$A,'DRE 2020'!AK$1,'Dados Mov Financeira'!$B:$B,'DRE 2020'!AK$2)</f>
        <v>0</v>
      </c>
      <c r="AL30" s="91" t="n">
        <f aca="false">IFERROR(AK30/AK$5,0)</f>
        <v>0</v>
      </c>
      <c r="AM30" s="96"/>
      <c r="AN30" s="92" t="n">
        <f aca="false">SUM(D30,G30,J30,M30,P30,S30,V30,Y30,AB30,AE30,AH30,AK30)</f>
        <v>0</v>
      </c>
      <c r="AO30" s="91" t="n">
        <f aca="false">IFERROR(AN30/AN$5,0)</f>
        <v>0</v>
      </c>
      <c r="AP30" s="96"/>
      <c r="AQ30" s="93" t="n">
        <f aca="false">AN30/$AR$1</f>
        <v>0</v>
      </c>
      <c r="AR30" s="94" t="n">
        <f aca="false">IFERROR(AQ30/AQ$5,0)</f>
        <v>0</v>
      </c>
      <c r="AS30" s="96"/>
      <c r="AT30" s="78"/>
    </row>
    <row r="31" customFormat="false" ht="14.25" hidden="false" customHeight="false" outlineLevel="0" collapsed="false">
      <c r="B31" s="89"/>
      <c r="D31" s="101"/>
      <c r="E31" s="91"/>
      <c r="G31" s="101"/>
      <c r="H31" s="91"/>
      <c r="J31" s="101"/>
      <c r="K31" s="91"/>
      <c r="M31" s="101"/>
      <c r="N31" s="91"/>
      <c r="P31" s="101"/>
      <c r="Q31" s="91"/>
      <c r="S31" s="101"/>
      <c r="T31" s="91"/>
      <c r="V31" s="101"/>
      <c r="W31" s="91"/>
      <c r="Y31" s="101"/>
      <c r="Z31" s="91"/>
      <c r="AB31" s="101"/>
      <c r="AC31" s="91"/>
      <c r="AE31" s="101"/>
      <c r="AF31" s="91"/>
      <c r="AH31" s="101"/>
      <c r="AI31" s="91"/>
      <c r="AK31" s="101"/>
      <c r="AL31" s="91"/>
      <c r="AN31" s="92"/>
      <c r="AO31" s="91"/>
      <c r="AQ31" s="93"/>
      <c r="AR31" s="94"/>
      <c r="AT31" s="78"/>
    </row>
    <row r="32" s="57" customFormat="true" ht="7.5" hidden="false" customHeight="true" outlineLevel="0" collapsed="false">
      <c r="B32" s="48"/>
      <c r="C32" s="58"/>
      <c r="D32" s="59"/>
      <c r="E32" s="60"/>
      <c r="F32" s="58"/>
      <c r="G32" s="59"/>
      <c r="H32" s="60"/>
      <c r="I32" s="58"/>
      <c r="J32" s="59"/>
      <c r="K32" s="60"/>
      <c r="L32" s="58"/>
      <c r="M32" s="59"/>
      <c r="N32" s="60"/>
      <c r="O32" s="58"/>
      <c r="P32" s="59"/>
      <c r="Q32" s="60"/>
      <c r="R32" s="58"/>
      <c r="S32" s="59"/>
      <c r="T32" s="60"/>
      <c r="U32" s="58"/>
      <c r="V32" s="59"/>
      <c r="W32" s="60"/>
      <c r="X32" s="58"/>
      <c r="Y32" s="59"/>
      <c r="Z32" s="60"/>
      <c r="AA32" s="58"/>
      <c r="AB32" s="59"/>
      <c r="AC32" s="60"/>
      <c r="AD32" s="58"/>
      <c r="AE32" s="59"/>
      <c r="AF32" s="60"/>
      <c r="AG32" s="58"/>
      <c r="AH32" s="59"/>
      <c r="AI32" s="60"/>
      <c r="AJ32" s="58"/>
      <c r="AK32" s="59"/>
      <c r="AL32" s="60"/>
      <c r="AM32" s="58"/>
      <c r="AN32" s="59"/>
      <c r="AO32" s="60"/>
      <c r="AP32" s="58"/>
      <c r="AQ32" s="61"/>
      <c r="AR32" s="60"/>
      <c r="AS32" s="58"/>
      <c r="AT32" s="62"/>
    </row>
    <row r="33" s="63" customFormat="true" ht="20.85" hidden="false" customHeight="false" outlineLevel="0" collapsed="false">
      <c r="A33" s="36"/>
      <c r="B33" s="102" t="s">
        <v>58</v>
      </c>
      <c r="D33" s="103" t="n">
        <f aca="false">SUM(D21,D23)</f>
        <v>0</v>
      </c>
      <c r="E33" s="104" t="n">
        <f aca="false">IFERROR(D33/D$5,0)</f>
        <v>0</v>
      </c>
      <c r="G33" s="103" t="n">
        <f aca="false">SUM(G21,G23)</f>
        <v>0</v>
      </c>
      <c r="H33" s="104" t="n">
        <f aca="false">IFERROR(G33/G$5,0)</f>
        <v>0</v>
      </c>
      <c r="J33" s="103" t="n">
        <f aca="false">SUM(J21,J23)</f>
        <v>0</v>
      </c>
      <c r="K33" s="104" t="n">
        <f aca="false">IFERROR(J33/J$5,0)</f>
        <v>0</v>
      </c>
      <c r="M33" s="103" t="n">
        <f aca="false">SUM(M21,M23)</f>
        <v>0</v>
      </c>
      <c r="N33" s="104" t="n">
        <f aca="false">IFERROR(M33/M$5,0)</f>
        <v>0</v>
      </c>
      <c r="P33" s="103" t="n">
        <f aca="false">SUM(P21,P23)</f>
        <v>0</v>
      </c>
      <c r="Q33" s="104" t="n">
        <f aca="false">IFERROR(P33/P$5,0)</f>
        <v>0</v>
      </c>
      <c r="S33" s="103" t="n">
        <f aca="false">SUM(S21,S23)</f>
        <v>0</v>
      </c>
      <c r="T33" s="104" t="n">
        <f aca="false">IFERROR(S33/S$5,0)</f>
        <v>0</v>
      </c>
      <c r="V33" s="103" t="n">
        <f aca="false">SUM(V21,V23)</f>
        <v>0</v>
      </c>
      <c r="W33" s="104" t="n">
        <f aca="false">IFERROR(V33/V$5,0)</f>
        <v>0</v>
      </c>
      <c r="Y33" s="103" t="n">
        <f aca="false">SUM(Y21,Y23)</f>
        <v>0</v>
      </c>
      <c r="Z33" s="104" t="n">
        <f aca="false">IFERROR(Y33/Y$5,0)</f>
        <v>0</v>
      </c>
      <c r="AB33" s="103" t="n">
        <f aca="false">SUM(AB21,AB23)</f>
        <v>0</v>
      </c>
      <c r="AC33" s="104" t="n">
        <f aca="false">IFERROR(AB33/AB$5,0)</f>
        <v>0</v>
      </c>
      <c r="AE33" s="103" t="n">
        <f aca="false">SUM(AE21,AE23)</f>
        <v>0</v>
      </c>
      <c r="AF33" s="104" t="n">
        <f aca="false">IFERROR(AE33/AE$5,0)</f>
        <v>0</v>
      </c>
      <c r="AH33" s="103" t="n">
        <f aca="false">SUM(AH21,AH23)</f>
        <v>0</v>
      </c>
      <c r="AI33" s="104" t="n">
        <f aca="false">IFERROR(AH33/AH$5,0)</f>
        <v>0</v>
      </c>
      <c r="AK33" s="103" t="n">
        <f aca="false">SUM(AK21,AK23)</f>
        <v>0</v>
      </c>
      <c r="AL33" s="104" t="n">
        <f aca="false">IFERROR(AK33/AK$5,0)</f>
        <v>0</v>
      </c>
      <c r="AN33" s="103" t="n">
        <f aca="false">SUM(AN21,AN23)</f>
        <v>0</v>
      </c>
      <c r="AO33" s="104" t="n">
        <f aca="false">IFERROR(AN33/AN$5,0)</f>
        <v>0</v>
      </c>
      <c r="AQ33" s="103" t="n">
        <f aca="false">SUM(AQ21,AQ23)</f>
        <v>0</v>
      </c>
      <c r="AR33" s="104" t="n">
        <f aca="false">IFERROR(AQ33/AQ$5,0)</f>
        <v>0</v>
      </c>
      <c r="AT33" s="105"/>
    </row>
    <row r="34" s="57" customFormat="true" ht="7.5" hidden="false" customHeight="true" outlineLevel="0" collapsed="false">
      <c r="B34" s="48"/>
      <c r="C34" s="58"/>
      <c r="D34" s="59"/>
      <c r="E34" s="60"/>
      <c r="F34" s="58"/>
      <c r="G34" s="59"/>
      <c r="H34" s="60"/>
      <c r="I34" s="58"/>
      <c r="J34" s="59"/>
      <c r="K34" s="60"/>
      <c r="L34" s="58"/>
      <c r="M34" s="59"/>
      <c r="N34" s="60"/>
      <c r="O34" s="58"/>
      <c r="P34" s="59"/>
      <c r="Q34" s="60"/>
      <c r="R34" s="58"/>
      <c r="S34" s="59"/>
      <c r="T34" s="60"/>
      <c r="U34" s="58"/>
      <c r="V34" s="59"/>
      <c r="W34" s="60"/>
      <c r="X34" s="58"/>
      <c r="Y34" s="59"/>
      <c r="Z34" s="60"/>
      <c r="AA34" s="58"/>
      <c r="AB34" s="59"/>
      <c r="AC34" s="60"/>
      <c r="AD34" s="58"/>
      <c r="AE34" s="59"/>
      <c r="AF34" s="60"/>
      <c r="AG34" s="58"/>
      <c r="AH34" s="59"/>
      <c r="AI34" s="60"/>
      <c r="AJ34" s="58"/>
      <c r="AK34" s="59"/>
      <c r="AL34" s="60"/>
      <c r="AM34" s="58"/>
      <c r="AN34" s="59"/>
      <c r="AO34" s="60"/>
      <c r="AP34" s="58"/>
      <c r="AQ34" s="61"/>
      <c r="AR34" s="60"/>
      <c r="AS34" s="58"/>
      <c r="AT34" s="62"/>
    </row>
    <row r="35" s="63" customFormat="true" ht="17.35" hidden="false" customHeight="false" outlineLevel="0" collapsed="false">
      <c r="A35" s="36"/>
      <c r="B35" s="79" t="s">
        <v>59</v>
      </c>
      <c r="D35" s="80" t="n">
        <f aca="false">SUM(D36)</f>
        <v>0</v>
      </c>
      <c r="E35" s="81" t="n">
        <f aca="false">IFERROR(D35/D$5,0)</f>
        <v>0</v>
      </c>
      <c r="G35" s="80" t="n">
        <f aca="false">SUM(G36)</f>
        <v>0</v>
      </c>
      <c r="H35" s="81" t="n">
        <f aca="false">IFERROR(G35/G$5,0)</f>
        <v>0</v>
      </c>
      <c r="J35" s="80" t="n">
        <f aca="false">SUM(J36)</f>
        <v>0</v>
      </c>
      <c r="K35" s="81" t="n">
        <f aca="false">IFERROR(J35/J$5,0)</f>
        <v>0</v>
      </c>
      <c r="M35" s="80" t="n">
        <f aca="false">SUM(M36)</f>
        <v>0</v>
      </c>
      <c r="N35" s="81" t="n">
        <f aca="false">IFERROR(M35/M$5,0)</f>
        <v>0</v>
      </c>
      <c r="P35" s="80" t="n">
        <f aca="false">SUM(P36)</f>
        <v>0</v>
      </c>
      <c r="Q35" s="81" t="n">
        <f aca="false">IFERROR(P35/P$5,0)</f>
        <v>0</v>
      </c>
      <c r="S35" s="80" t="n">
        <f aca="false">SUM(S36)</f>
        <v>0</v>
      </c>
      <c r="T35" s="81" t="n">
        <f aca="false">IFERROR(S35/S$5,0)</f>
        <v>0</v>
      </c>
      <c r="V35" s="80" t="n">
        <f aca="false">SUM(V36)</f>
        <v>0</v>
      </c>
      <c r="W35" s="81" t="n">
        <f aca="false">IFERROR(V35/V$5,0)</f>
        <v>0</v>
      </c>
      <c r="Y35" s="80" t="n">
        <f aca="false">SUM(Y36)</f>
        <v>0</v>
      </c>
      <c r="Z35" s="81" t="n">
        <f aca="false">IFERROR(Y35/Y$5,0)</f>
        <v>0</v>
      </c>
      <c r="AB35" s="80" t="n">
        <f aca="false">SUM(AB36)</f>
        <v>0</v>
      </c>
      <c r="AC35" s="81" t="n">
        <f aca="false">IFERROR(AB35/AB$5,0)</f>
        <v>0</v>
      </c>
      <c r="AE35" s="80" t="n">
        <f aca="false">SUM(AE36)</f>
        <v>0</v>
      </c>
      <c r="AF35" s="81" t="n">
        <f aca="false">IFERROR(AE35/AE$5,0)</f>
        <v>0</v>
      </c>
      <c r="AH35" s="80" t="n">
        <f aca="false">SUM(AH36)</f>
        <v>0</v>
      </c>
      <c r="AI35" s="81" t="n">
        <f aca="false">IFERROR(AH35/AH$5,0)</f>
        <v>0</v>
      </c>
      <c r="AK35" s="80" t="n">
        <f aca="false">SUM(AK36)</f>
        <v>0</v>
      </c>
      <c r="AL35" s="81" t="n">
        <f aca="false">IFERROR(AK35/AK$5,0)</f>
        <v>0</v>
      </c>
      <c r="AN35" s="80" t="n">
        <f aca="false">SUM(AN36)</f>
        <v>0</v>
      </c>
      <c r="AO35" s="81" t="n">
        <f aca="false">IFERROR(AN35/AN$5,0)</f>
        <v>0</v>
      </c>
      <c r="AQ35" s="82" t="n">
        <f aca="false">SUM(AQ36)</f>
        <v>0</v>
      </c>
      <c r="AR35" s="83" t="n">
        <f aca="false">IFERROR(AQ35/AQ$5,0)</f>
        <v>0</v>
      </c>
      <c r="AT35" s="84" t="n">
        <f aca="false">SUM(AT36:AT39)</f>
        <v>0</v>
      </c>
    </row>
    <row r="36" s="63" customFormat="true" ht="14.25" hidden="false" customHeight="false" outlineLevel="0" collapsed="false">
      <c r="B36" s="106" t="s">
        <v>60</v>
      </c>
      <c r="D36" s="75" t="n">
        <f aca="false">SUM(D37:D38)</f>
        <v>0</v>
      </c>
      <c r="E36" s="88" t="n">
        <f aca="false">IFERROR(D36/D$5,0)</f>
        <v>0</v>
      </c>
      <c r="G36" s="75" t="n">
        <f aca="false">SUM(G37:G38)</f>
        <v>0</v>
      </c>
      <c r="H36" s="88" t="n">
        <f aca="false">IFERROR(G36/G$5,0)</f>
        <v>0</v>
      </c>
      <c r="J36" s="75" t="n">
        <f aca="false">SUM(J37:J38)</f>
        <v>0</v>
      </c>
      <c r="K36" s="88" t="n">
        <f aca="false">IFERROR(J36/J$5,0)</f>
        <v>0</v>
      </c>
      <c r="M36" s="75" t="n">
        <f aca="false">SUM(M37:M38)</f>
        <v>0</v>
      </c>
      <c r="N36" s="88" t="n">
        <f aca="false">IFERROR(M36/M$5,0)</f>
        <v>0</v>
      </c>
      <c r="P36" s="75" t="n">
        <f aca="false">SUM(P37:P38)</f>
        <v>0</v>
      </c>
      <c r="Q36" s="88" t="n">
        <f aca="false">IFERROR(P36/P$5,0)</f>
        <v>0</v>
      </c>
      <c r="S36" s="75" t="n">
        <f aca="false">SUM(S37:S38)</f>
        <v>0</v>
      </c>
      <c r="T36" s="88" t="n">
        <f aca="false">IFERROR(S36/S$5,0)</f>
        <v>0</v>
      </c>
      <c r="V36" s="75" t="n">
        <f aca="false">SUM(V37:V38)</f>
        <v>0</v>
      </c>
      <c r="W36" s="88" t="n">
        <f aca="false">IFERROR(V36/V$5,0)</f>
        <v>0</v>
      </c>
      <c r="Y36" s="75" t="n">
        <f aca="false">SUM(Y37:Y38)</f>
        <v>0</v>
      </c>
      <c r="Z36" s="88" t="n">
        <f aca="false">IFERROR(Y36/Y$5,0)</f>
        <v>0</v>
      </c>
      <c r="AB36" s="75" t="n">
        <f aca="false">SUM(AB37:AB38)</f>
        <v>0</v>
      </c>
      <c r="AC36" s="88" t="n">
        <f aca="false">IFERROR(AB36/AB$5,0)</f>
        <v>0</v>
      </c>
      <c r="AE36" s="75" t="n">
        <f aca="false">SUM(AE37:AE38)</f>
        <v>0</v>
      </c>
      <c r="AF36" s="88" t="n">
        <f aca="false">IFERROR(AE36/AE$5,0)</f>
        <v>0</v>
      </c>
      <c r="AH36" s="75" t="n">
        <f aca="false">SUM(AH37:AH38)</f>
        <v>0</v>
      </c>
      <c r="AI36" s="88" t="n">
        <f aca="false">IFERROR(AH36/AH$5,0)</f>
        <v>0</v>
      </c>
      <c r="AK36" s="75" t="n">
        <f aca="false">SUM(AK37:AK38)</f>
        <v>0</v>
      </c>
      <c r="AL36" s="88" t="n">
        <f aca="false">IFERROR(AK36/AK$5,0)</f>
        <v>0</v>
      </c>
      <c r="AN36" s="75" t="n">
        <f aca="false">SUM(AN37:AN38)</f>
        <v>0</v>
      </c>
      <c r="AO36" s="88" t="n">
        <f aca="false">IFERROR(AN36/AN$5,0)</f>
        <v>0</v>
      </c>
      <c r="AQ36" s="75" t="n">
        <f aca="false">SUM(AQ37:AQ38)</f>
        <v>0</v>
      </c>
      <c r="AR36" s="76" t="n">
        <f aca="false">IFERROR(AQ36/AQ$5,0)</f>
        <v>0</v>
      </c>
      <c r="AT36" s="78"/>
    </row>
    <row r="37" customFormat="false" ht="14.25" hidden="true" customHeight="false" outlineLevel="1" collapsed="false">
      <c r="B37" s="89" t="s">
        <v>61</v>
      </c>
      <c r="D37" s="75" t="n">
        <f aca="false">SUMIFS('Dados Mov Financeira'!$N:$N,'Dados Mov Financeira'!$O:$O,'DRE 2020'!$B37,'Dados Mov Financeira'!$A:$A,'DRE 2020'!D$1,'Dados Mov Financeira'!$B:$B,'DRE 2020'!D$2)</f>
        <v>0</v>
      </c>
      <c r="E37" s="91" t="n">
        <f aca="false">IFERROR(D37/D$5,0)</f>
        <v>0</v>
      </c>
      <c r="G37" s="75" t="n">
        <f aca="false">SUMIFS('Dados Mov Financeira'!$N:$N,'Dados Mov Financeira'!$O:$O,'DRE 2020'!$B37,'Dados Mov Financeira'!$A:$A,'DRE 2020'!G$1,'Dados Mov Financeira'!$B:$B,'DRE 2020'!G$2)</f>
        <v>0</v>
      </c>
      <c r="H37" s="91" t="n">
        <f aca="false">IFERROR(G37/G$5,0)</f>
        <v>0</v>
      </c>
      <c r="J37" s="75" t="n">
        <f aca="false">SUMIFS('Dados Mov Financeira'!$N:$N,'Dados Mov Financeira'!$O:$O,'DRE 2020'!$B37,'Dados Mov Financeira'!$A:$A,'DRE 2020'!J$1,'Dados Mov Financeira'!$B:$B,'DRE 2020'!J$2)</f>
        <v>0</v>
      </c>
      <c r="K37" s="91" t="n">
        <f aca="false">IFERROR(J37/J$5,0)</f>
        <v>0</v>
      </c>
      <c r="M37" s="75" t="n">
        <f aca="false">SUMIFS('Dados Mov Financeira'!$N:$N,'Dados Mov Financeira'!$O:$O,'DRE 2020'!$B37,'Dados Mov Financeira'!$A:$A,'DRE 2020'!M$1,'Dados Mov Financeira'!$B:$B,'DRE 2020'!M$2)</f>
        <v>0</v>
      </c>
      <c r="N37" s="91" t="n">
        <f aca="false">IFERROR(M37/M$5,0)</f>
        <v>0</v>
      </c>
      <c r="P37" s="75" t="n">
        <f aca="false">SUMIFS('Dados Mov Financeira'!$N:$N,'Dados Mov Financeira'!$O:$O,'DRE 2020'!$B37,'Dados Mov Financeira'!$A:$A,'DRE 2020'!P$1,'Dados Mov Financeira'!$B:$B,'DRE 2020'!P$2)</f>
        <v>0</v>
      </c>
      <c r="Q37" s="91" t="n">
        <f aca="false">IFERROR(P37/P$5,0)</f>
        <v>0</v>
      </c>
      <c r="S37" s="75" t="n">
        <f aca="false">SUMIFS('Dados Mov Financeira'!$N:$N,'Dados Mov Financeira'!$O:$O,'DRE 2020'!$B37,'Dados Mov Financeira'!$A:$A,'DRE 2020'!S$1,'Dados Mov Financeira'!$B:$B,'DRE 2020'!S$2)</f>
        <v>0</v>
      </c>
      <c r="T37" s="91" t="n">
        <f aca="false">IFERROR(S37/S$5,0)</f>
        <v>0</v>
      </c>
      <c r="V37" s="75" t="n">
        <f aca="false">SUMIFS('Dados Mov Financeira'!$N:$N,'Dados Mov Financeira'!$O:$O,'DRE 2020'!$B37,'Dados Mov Financeira'!$A:$A,'DRE 2020'!V$1,'Dados Mov Financeira'!$B:$B,'DRE 2020'!V$2)</f>
        <v>0</v>
      </c>
      <c r="W37" s="91" t="n">
        <f aca="false">IFERROR(V37/V$5,0)</f>
        <v>0</v>
      </c>
      <c r="Y37" s="75" t="n">
        <f aca="false">SUMIFS('Dados Mov Financeira'!$N:$N,'Dados Mov Financeira'!$O:$O,'DRE 2020'!$B37,'Dados Mov Financeira'!$A:$A,'DRE 2020'!Y$1,'Dados Mov Financeira'!$B:$B,'DRE 2020'!Y$2)</f>
        <v>0</v>
      </c>
      <c r="Z37" s="91" t="n">
        <f aca="false">IFERROR(Y37/Y$5,0)</f>
        <v>0</v>
      </c>
      <c r="AB37" s="75" t="n">
        <f aca="false">SUMIFS('Dados Mov Financeira'!$N:$N,'Dados Mov Financeira'!$O:$O,'DRE 2020'!$B37,'Dados Mov Financeira'!$A:$A,'DRE 2020'!AB$1,'Dados Mov Financeira'!$B:$B,'DRE 2020'!AB$2)</f>
        <v>0</v>
      </c>
      <c r="AC37" s="91" t="n">
        <f aca="false">IFERROR(AB37/AB$5,0)</f>
        <v>0</v>
      </c>
      <c r="AE37" s="75" t="n">
        <f aca="false">SUMIFS('Dados Mov Financeira'!$N:$N,'Dados Mov Financeira'!$O:$O,'DRE 2020'!$B37,'Dados Mov Financeira'!$A:$A,'DRE 2020'!AE$1,'Dados Mov Financeira'!$B:$B,'DRE 2020'!AE$2)</f>
        <v>0</v>
      </c>
      <c r="AF37" s="91" t="n">
        <f aca="false">IFERROR(AE37/AE$5,0)</f>
        <v>0</v>
      </c>
      <c r="AH37" s="75" t="n">
        <f aca="false">SUMIFS('Dados Mov Financeira'!$N:$N,'Dados Mov Financeira'!$O:$O,'DRE 2020'!$B37,'Dados Mov Financeira'!$A:$A,'DRE 2020'!AH$1,'Dados Mov Financeira'!$B:$B,'DRE 2020'!AH$2)</f>
        <v>0</v>
      </c>
      <c r="AI37" s="91" t="n">
        <f aca="false">IFERROR(AH37/AH$5,0)</f>
        <v>0</v>
      </c>
      <c r="AK37" s="75" t="n">
        <f aca="false">SUMIFS('Dados Mov Financeira'!$N:$N,'Dados Mov Financeira'!$O:$O,'DRE 2020'!$B37,'Dados Mov Financeira'!$A:$A,'DRE 2020'!AK$1,'Dados Mov Financeira'!$B:$B,'DRE 2020'!AK$2)</f>
        <v>0</v>
      </c>
      <c r="AL37" s="91" t="n">
        <f aca="false">IFERROR(AK37/AK$5,0)</f>
        <v>0</v>
      </c>
      <c r="AN37" s="92" t="n">
        <f aca="false">SUM(D37,G37,J37,M37,P37,S37,V37,Y37,AB37,AE37,AH37,AK37)</f>
        <v>0</v>
      </c>
      <c r="AO37" s="91" t="n">
        <f aca="false">IFERROR(AN37/AN$5,0)</f>
        <v>0</v>
      </c>
      <c r="AQ37" s="93" t="n">
        <f aca="false">AN37/$AR$1</f>
        <v>0</v>
      </c>
      <c r="AR37" s="94" t="n">
        <f aca="false">IFERROR(AQ37/AQ$5,0)</f>
        <v>0</v>
      </c>
      <c r="AT37" s="78"/>
    </row>
    <row r="38" customFormat="false" ht="14.25" hidden="true" customHeight="false" outlineLevel="1" collapsed="false">
      <c r="B38" s="89" t="s">
        <v>62</v>
      </c>
      <c r="D38" s="75" t="n">
        <f aca="false">SUMIFS('Dados Mov Financeira'!$N:$N,'Dados Mov Financeira'!$O:$O,'DRE 2020'!$B38,'Dados Mov Financeira'!$A:$A,'DRE 2020'!D$1,'Dados Mov Financeira'!$B:$B,'DRE 2020'!D$2)</f>
        <v>0</v>
      </c>
      <c r="E38" s="91" t="n">
        <f aca="false">IFERROR(D38/D$5,0)</f>
        <v>0</v>
      </c>
      <c r="G38" s="75" t="n">
        <f aca="false">SUMIFS('Dados Mov Financeira'!$N:$N,'Dados Mov Financeira'!$O:$O,'DRE 2020'!$B38,'Dados Mov Financeira'!$A:$A,'DRE 2020'!G$1,'Dados Mov Financeira'!$B:$B,'DRE 2020'!G$2)</f>
        <v>0</v>
      </c>
      <c r="H38" s="91" t="n">
        <f aca="false">IFERROR(G38/G$5,0)</f>
        <v>0</v>
      </c>
      <c r="J38" s="75" t="n">
        <f aca="false">SUMIFS('Dados Mov Financeira'!$N:$N,'Dados Mov Financeira'!$O:$O,'DRE 2020'!$B38,'Dados Mov Financeira'!$A:$A,'DRE 2020'!J$1,'Dados Mov Financeira'!$B:$B,'DRE 2020'!J$2)</f>
        <v>0</v>
      </c>
      <c r="K38" s="91" t="n">
        <f aca="false">IFERROR(J38/J$5,0)</f>
        <v>0</v>
      </c>
      <c r="M38" s="75" t="n">
        <f aca="false">SUMIFS('Dados Mov Financeira'!$N:$N,'Dados Mov Financeira'!$O:$O,'DRE 2020'!$B38,'Dados Mov Financeira'!$A:$A,'DRE 2020'!M$1,'Dados Mov Financeira'!$B:$B,'DRE 2020'!M$2)</f>
        <v>0</v>
      </c>
      <c r="N38" s="91" t="n">
        <f aca="false">IFERROR(M38/M$5,0)</f>
        <v>0</v>
      </c>
      <c r="P38" s="124" t="n">
        <f aca="false">SUMIFS('Dados Mov Financeira'!$N:$N,'Dados Mov Financeira'!$O:$O,'DRE 2020'!$B38,'Dados Mov Financeira'!$A:$A,'DRE 2020'!P$1,'Dados Mov Financeira'!$B:$B,'DRE 2020'!P$2)</f>
        <v>0</v>
      </c>
      <c r="Q38" s="91" t="n">
        <f aca="false">IFERROR(P38/P$5,0)</f>
        <v>0</v>
      </c>
      <c r="S38" s="99" t="n">
        <f aca="false">SUMIFS('Dados Mov Financeira'!$N:$N,'Dados Mov Financeira'!$O:$O,'DRE 2020'!$B38,'Dados Mov Financeira'!$A:$A,'DRE 2020'!S$1,'Dados Mov Financeira'!$B:$B,'DRE 2020'!S$2)</f>
        <v>0</v>
      </c>
      <c r="T38" s="91" t="n">
        <f aca="false">IFERROR(S38/S$5,0)</f>
        <v>0</v>
      </c>
      <c r="V38" s="99" t="n">
        <f aca="false">SUMIFS('Dados Mov Financeira'!$N:$N,'Dados Mov Financeira'!$O:$O,'DRE 2020'!$B38,'Dados Mov Financeira'!$A:$A,'DRE 2020'!V$1,'Dados Mov Financeira'!$B:$B,'DRE 2020'!V$2)</f>
        <v>0</v>
      </c>
      <c r="W38" s="91" t="n">
        <f aca="false">IFERROR(V38/V$5,0)</f>
        <v>0</v>
      </c>
      <c r="Y38" s="99" t="n">
        <f aca="false">SUMIFS('Dados Mov Financeira'!$N:$N,'Dados Mov Financeira'!$O:$O,'DRE 2020'!$B38,'Dados Mov Financeira'!$A:$A,'DRE 2020'!Y$1,'Dados Mov Financeira'!$B:$B,'DRE 2020'!Y$2)</f>
        <v>0</v>
      </c>
      <c r="Z38" s="91" t="n">
        <f aca="false">IFERROR(Y38/Y$5,0)</f>
        <v>0</v>
      </c>
      <c r="AB38" s="99" t="n">
        <f aca="false">SUMIFS('Dados Mov Financeira'!$N:$N,'Dados Mov Financeira'!$O:$O,'DRE 2020'!$B38,'Dados Mov Financeira'!$A:$A,'DRE 2020'!AB$1,'Dados Mov Financeira'!$B:$B,'DRE 2020'!AB$2)</f>
        <v>0</v>
      </c>
      <c r="AC38" s="91" t="n">
        <f aca="false">IFERROR(AB38/AB$5,0)</f>
        <v>0</v>
      </c>
      <c r="AE38" s="99" t="n">
        <f aca="false">SUMIFS('Dados Mov Financeira'!$N:$N,'Dados Mov Financeira'!$O:$O,'DRE 2020'!$B38,'Dados Mov Financeira'!$A:$A,'DRE 2020'!AE$1,'Dados Mov Financeira'!$B:$B,'DRE 2020'!AE$2)</f>
        <v>0</v>
      </c>
      <c r="AF38" s="91" t="n">
        <f aca="false">IFERROR(AE38/AE$5,0)</f>
        <v>0</v>
      </c>
      <c r="AH38" s="99" t="n">
        <f aca="false">SUMIFS('Dados Mov Financeira'!$N:$N,'Dados Mov Financeira'!$O:$O,'DRE 2020'!$B38,'Dados Mov Financeira'!$A:$A,'DRE 2020'!AH$1,'Dados Mov Financeira'!$B:$B,'DRE 2020'!AH$2)</f>
        <v>0</v>
      </c>
      <c r="AI38" s="91" t="n">
        <f aca="false">IFERROR(AH38/AH$5,0)</f>
        <v>0</v>
      </c>
      <c r="AK38" s="99" t="n">
        <f aca="false">SUMIFS('Dados Mov Financeira'!$N:$N,'Dados Mov Financeira'!$O:$O,'DRE 2020'!$B38,'Dados Mov Financeira'!$A:$A,'DRE 2020'!AK$1,'Dados Mov Financeira'!$B:$B,'DRE 2020'!AK$2)</f>
        <v>0</v>
      </c>
      <c r="AL38" s="91" t="n">
        <f aca="false">IFERROR(AK38/AK$5,0)</f>
        <v>0</v>
      </c>
      <c r="AN38" s="92" t="n">
        <f aca="false">SUM(D38,G38,J38,M38,P38,S38,V38,Y38,AB38,AE38,AH38,AK38)</f>
        <v>0</v>
      </c>
      <c r="AO38" s="91" t="n">
        <f aca="false">IFERROR(AN38/AN$5,0)</f>
        <v>0</v>
      </c>
      <c r="AQ38" s="93" t="n">
        <f aca="false">AN38/$AR$1</f>
        <v>0</v>
      </c>
      <c r="AR38" s="94" t="n">
        <f aca="false">IFERROR(AQ38/AQ$5,0)</f>
        <v>0</v>
      </c>
      <c r="AT38" s="78"/>
    </row>
    <row r="39" customFormat="false" ht="14.25" hidden="false" customHeight="false" outlineLevel="0" collapsed="false">
      <c r="B39" s="89"/>
      <c r="C39" s="107"/>
      <c r="D39" s="92"/>
      <c r="E39" s="108"/>
      <c r="F39" s="107"/>
      <c r="G39" s="92"/>
      <c r="H39" s="108"/>
      <c r="I39" s="107"/>
      <c r="J39" s="92"/>
      <c r="K39" s="108"/>
      <c r="L39" s="107"/>
      <c r="M39" s="92"/>
      <c r="N39" s="108"/>
      <c r="O39" s="107"/>
      <c r="P39" s="92"/>
      <c r="Q39" s="108"/>
      <c r="R39" s="107"/>
      <c r="S39" s="92"/>
      <c r="T39" s="108"/>
      <c r="U39" s="107"/>
      <c r="V39" s="92"/>
      <c r="W39" s="108"/>
      <c r="X39" s="107"/>
      <c r="Y39" s="92"/>
      <c r="Z39" s="108"/>
      <c r="AA39" s="107"/>
      <c r="AB39" s="92"/>
      <c r="AC39" s="108"/>
      <c r="AD39" s="107"/>
      <c r="AE39" s="92"/>
      <c r="AF39" s="108"/>
      <c r="AG39" s="107"/>
      <c r="AH39" s="92"/>
      <c r="AI39" s="108"/>
      <c r="AJ39" s="107"/>
      <c r="AK39" s="92"/>
      <c r="AL39" s="108"/>
      <c r="AM39" s="107"/>
      <c r="AN39" s="92"/>
      <c r="AO39" s="108"/>
      <c r="AP39" s="107"/>
      <c r="AQ39" s="93"/>
      <c r="AR39" s="108"/>
      <c r="AS39" s="107"/>
      <c r="AT39" s="78"/>
    </row>
    <row r="40" s="57" customFormat="true" ht="14.25" hidden="false" customHeight="true" outlineLevel="0" collapsed="false">
      <c r="B40" s="48"/>
      <c r="C40" s="58"/>
      <c r="D40" s="59"/>
      <c r="E40" s="60"/>
      <c r="F40" s="58"/>
      <c r="G40" s="59"/>
      <c r="H40" s="60"/>
      <c r="I40" s="58"/>
      <c r="J40" s="59"/>
      <c r="K40" s="60"/>
      <c r="L40" s="58"/>
      <c r="M40" s="59"/>
      <c r="N40" s="60"/>
      <c r="O40" s="58"/>
      <c r="P40" s="59"/>
      <c r="Q40" s="60"/>
      <c r="R40" s="58"/>
      <c r="S40" s="59"/>
      <c r="T40" s="60"/>
      <c r="U40" s="58"/>
      <c r="V40" s="59"/>
      <c r="W40" s="60"/>
      <c r="X40" s="58"/>
      <c r="Y40" s="59"/>
      <c r="Z40" s="60"/>
      <c r="AA40" s="58"/>
      <c r="AB40" s="59"/>
      <c r="AC40" s="60"/>
      <c r="AD40" s="58"/>
      <c r="AE40" s="59"/>
      <c r="AF40" s="60"/>
      <c r="AG40" s="58"/>
      <c r="AH40" s="59"/>
      <c r="AI40" s="60"/>
      <c r="AJ40" s="58"/>
      <c r="AK40" s="59"/>
      <c r="AL40" s="60"/>
      <c r="AM40" s="58"/>
      <c r="AN40" s="59"/>
      <c r="AO40" s="60"/>
      <c r="AP40" s="58"/>
      <c r="AQ40" s="61"/>
      <c r="AR40" s="60"/>
      <c r="AS40" s="58"/>
      <c r="AT40" s="78"/>
    </row>
    <row r="41" s="63" customFormat="true" ht="20.85" hidden="false" customHeight="false" outlineLevel="0" collapsed="false">
      <c r="A41" s="36"/>
      <c r="B41" s="102" t="s">
        <v>63</v>
      </c>
      <c r="D41" s="103" t="n">
        <f aca="false">SUM(D33,D35)</f>
        <v>0</v>
      </c>
      <c r="E41" s="104" t="n">
        <f aca="false">IFERROR(D41/D$5,0)</f>
        <v>0</v>
      </c>
      <c r="G41" s="103" t="n">
        <f aca="false">SUM(G33,G35)</f>
        <v>0</v>
      </c>
      <c r="H41" s="104" t="n">
        <f aca="false">IFERROR(G41/G$5,0)</f>
        <v>0</v>
      </c>
      <c r="J41" s="103" t="n">
        <f aca="false">SUM(J33,J35)</f>
        <v>0</v>
      </c>
      <c r="K41" s="104" t="n">
        <f aca="false">IFERROR(J41/J$5,0)</f>
        <v>0</v>
      </c>
      <c r="M41" s="103" t="n">
        <f aca="false">SUM(M33,M35)</f>
        <v>0</v>
      </c>
      <c r="N41" s="104" t="n">
        <f aca="false">IFERROR(M41/M$5,0)</f>
        <v>0</v>
      </c>
      <c r="P41" s="103" t="n">
        <f aca="false">SUM(P33,P35)</f>
        <v>0</v>
      </c>
      <c r="Q41" s="104" t="n">
        <f aca="false">IFERROR(P41/P$5,0)</f>
        <v>0</v>
      </c>
      <c r="S41" s="103" t="n">
        <f aca="false">SUM(S33,S35)</f>
        <v>0</v>
      </c>
      <c r="T41" s="104" t="n">
        <f aca="false">IFERROR(S41/S$5,0)</f>
        <v>0</v>
      </c>
      <c r="V41" s="103" t="n">
        <f aca="false">SUM(V33,V35)</f>
        <v>0</v>
      </c>
      <c r="W41" s="104" t="n">
        <f aca="false">IFERROR(V41/V$5,0)</f>
        <v>0</v>
      </c>
      <c r="Y41" s="103" t="n">
        <f aca="false">SUM(Y33,Y35)</f>
        <v>0</v>
      </c>
      <c r="Z41" s="104" t="n">
        <f aca="false">IFERROR(Y41/Y$5,0)</f>
        <v>0</v>
      </c>
      <c r="AB41" s="103" t="n">
        <f aca="false">SUM(AB33,AB35)</f>
        <v>0</v>
      </c>
      <c r="AC41" s="104" t="n">
        <f aca="false">IFERROR(AB41/AB$5,0)</f>
        <v>0</v>
      </c>
      <c r="AE41" s="103" t="n">
        <f aca="false">SUM(AE33,AE35)</f>
        <v>0</v>
      </c>
      <c r="AF41" s="104" t="n">
        <f aca="false">IFERROR(AE41/AE$5,0)</f>
        <v>0</v>
      </c>
      <c r="AH41" s="103" t="n">
        <f aca="false">SUM(AH33,AH35)</f>
        <v>0</v>
      </c>
      <c r="AI41" s="104" t="n">
        <f aca="false">IFERROR(AH41/AH$5,0)</f>
        <v>0</v>
      </c>
      <c r="AK41" s="103" t="n">
        <f aca="false">SUM(AK33,AK35)</f>
        <v>0</v>
      </c>
      <c r="AL41" s="104" t="n">
        <f aca="false">IFERROR(AK41/AK$5,0)</f>
        <v>0</v>
      </c>
      <c r="AN41" s="103" t="n">
        <f aca="false">SUM(AN33,AN35)</f>
        <v>0</v>
      </c>
      <c r="AO41" s="104" t="n">
        <f aca="false">IFERROR(AN41/AN$5,0)</f>
        <v>0</v>
      </c>
      <c r="AQ41" s="103" t="n">
        <f aca="false">SUM(AQ33,AQ35)</f>
        <v>0</v>
      </c>
      <c r="AR41" s="104" t="n">
        <f aca="false">IFERROR(AQ41/AQ$5,0)</f>
        <v>0</v>
      </c>
      <c r="AT41" s="105"/>
    </row>
    <row r="42" s="57" customFormat="true" ht="7.5" hidden="false" customHeight="true" outlineLevel="0" collapsed="false">
      <c r="B42" s="48"/>
      <c r="C42" s="58"/>
      <c r="D42" s="59"/>
      <c r="E42" s="60"/>
      <c r="F42" s="58"/>
      <c r="G42" s="59"/>
      <c r="H42" s="60"/>
      <c r="I42" s="58"/>
      <c r="J42" s="59"/>
      <c r="K42" s="60"/>
      <c r="L42" s="58"/>
      <c r="M42" s="59"/>
      <c r="N42" s="60"/>
      <c r="O42" s="58"/>
      <c r="P42" s="59"/>
      <c r="Q42" s="60"/>
      <c r="R42" s="58"/>
      <c r="S42" s="59"/>
      <c r="T42" s="60"/>
      <c r="U42" s="58"/>
      <c r="V42" s="59"/>
      <c r="W42" s="60"/>
      <c r="X42" s="58"/>
      <c r="Y42" s="59"/>
      <c r="Z42" s="60"/>
      <c r="AA42" s="58"/>
      <c r="AB42" s="59"/>
      <c r="AC42" s="60"/>
      <c r="AD42" s="58"/>
      <c r="AE42" s="59"/>
      <c r="AF42" s="60"/>
      <c r="AG42" s="58"/>
      <c r="AH42" s="59"/>
      <c r="AI42" s="60"/>
      <c r="AJ42" s="58"/>
      <c r="AK42" s="59"/>
      <c r="AL42" s="60"/>
      <c r="AM42" s="58"/>
      <c r="AN42" s="59"/>
      <c r="AO42" s="60"/>
      <c r="AP42" s="58"/>
      <c r="AQ42" s="61"/>
      <c r="AR42" s="60"/>
      <c r="AS42" s="58"/>
      <c r="AT42" s="62"/>
    </row>
    <row r="43" s="63" customFormat="true" ht="17.35" hidden="false" customHeight="false" outlineLevel="0" collapsed="false">
      <c r="A43" s="36"/>
      <c r="B43" s="79" t="s">
        <v>64</v>
      </c>
      <c r="D43" s="80" t="n">
        <f aca="false">SUM(D44,D77,D95,D100)</f>
        <v>0</v>
      </c>
      <c r="E43" s="81" t="n">
        <f aca="false">IFERROR(D43/D$5,0)</f>
        <v>0</v>
      </c>
      <c r="G43" s="80" t="n">
        <f aca="false">SUM(G44,G77,G95,G100)</f>
        <v>0</v>
      </c>
      <c r="H43" s="81" t="n">
        <f aca="false">IFERROR(G43/G$5,0)</f>
        <v>0</v>
      </c>
      <c r="J43" s="80" t="n">
        <f aca="false">SUM(J44,J77,J95,J100)</f>
        <v>0</v>
      </c>
      <c r="K43" s="81" t="n">
        <f aca="false">IFERROR(J43/J$5,0)</f>
        <v>0</v>
      </c>
      <c r="M43" s="80" t="n">
        <f aca="false">SUM(M44,M77,M95,M100)</f>
        <v>0</v>
      </c>
      <c r="N43" s="81" t="n">
        <f aca="false">IFERROR(M43/M$5,0)</f>
        <v>0</v>
      </c>
      <c r="P43" s="80" t="n">
        <f aca="false">SUM(P44,P77,P95,P100)</f>
        <v>0</v>
      </c>
      <c r="Q43" s="81" t="n">
        <f aca="false">IFERROR(P43/P$5,0)</f>
        <v>0</v>
      </c>
      <c r="S43" s="80" t="n">
        <f aca="false">SUM(S44,S77,S95,S100)</f>
        <v>0</v>
      </c>
      <c r="T43" s="81" t="n">
        <f aca="false">IFERROR(S43/S$5,0)</f>
        <v>0</v>
      </c>
      <c r="V43" s="80" t="n">
        <f aca="false">SUM(V44,V77,V95,V100)</f>
        <v>0</v>
      </c>
      <c r="W43" s="81" t="n">
        <f aca="false">IFERROR(V43/V$5,0)</f>
        <v>0</v>
      </c>
      <c r="Y43" s="80" t="n">
        <f aca="false">SUM(Y44,Y77,Y95,Y100)</f>
        <v>0</v>
      </c>
      <c r="Z43" s="81" t="n">
        <f aca="false">IFERROR(Y43/Y$5,0)</f>
        <v>0</v>
      </c>
      <c r="AB43" s="80" t="n">
        <f aca="false">SUM(AB44,AB77,AB95,AB100)</f>
        <v>0</v>
      </c>
      <c r="AC43" s="81" t="n">
        <f aca="false">IFERROR(AB43/AB$5,0)</f>
        <v>0</v>
      </c>
      <c r="AE43" s="80" t="n">
        <f aca="false">SUM(AE44,AE77,AE95,AE100)</f>
        <v>0</v>
      </c>
      <c r="AF43" s="81" t="n">
        <f aca="false">IFERROR(AE43/AE$5,0)</f>
        <v>0</v>
      </c>
      <c r="AH43" s="80" t="n">
        <f aca="false">SUM(AH44,AH77,AH95,AH100)</f>
        <v>0</v>
      </c>
      <c r="AI43" s="81" t="n">
        <f aca="false">IFERROR(AH43/AH$5,0)</f>
        <v>0</v>
      </c>
      <c r="AK43" s="80" t="n">
        <f aca="false">SUM(AK44,AK77,AK95,AK100)</f>
        <v>0</v>
      </c>
      <c r="AL43" s="81" t="n">
        <f aca="false">IFERROR(AK43/AK$5,0)</f>
        <v>0</v>
      </c>
      <c r="AN43" s="80" t="n">
        <f aca="false">SUM(AN44,AN77,AN95,AN100)</f>
        <v>0</v>
      </c>
      <c r="AO43" s="81" t="n">
        <f aca="false">IFERROR(AN43/AN$5,0)</f>
        <v>0</v>
      </c>
      <c r="AQ43" s="82" t="n">
        <f aca="false">SUM(AQ44,AQ77,AQ95,AQ100)</f>
        <v>0</v>
      </c>
      <c r="AR43" s="83" t="n">
        <f aca="false">IFERROR(AQ43/AQ$5,0)</f>
        <v>0</v>
      </c>
      <c r="AT43" s="84" t="n">
        <f aca="false">SUM(AT44,AT77,AT95,AT100)</f>
        <v>-0.2708</v>
      </c>
    </row>
    <row r="44" s="63" customFormat="true" ht="14.25" hidden="false" customHeight="false" outlineLevel="0" collapsed="false">
      <c r="B44" s="106" t="s">
        <v>65</v>
      </c>
      <c r="D44" s="75" t="n">
        <f aca="false">SUM(D45:D76)</f>
        <v>0</v>
      </c>
      <c r="E44" s="109" t="n">
        <f aca="false">IFERROR(D44/D$5,0)</f>
        <v>0</v>
      </c>
      <c r="G44" s="75" t="n">
        <f aca="false">SUM(G45:G76)</f>
        <v>0</v>
      </c>
      <c r="H44" s="109" t="n">
        <f aca="false">IFERROR(G44/G$5,0)</f>
        <v>0</v>
      </c>
      <c r="J44" s="75" t="n">
        <f aca="false">SUM(J45:J76)</f>
        <v>0</v>
      </c>
      <c r="K44" s="109" t="n">
        <f aca="false">IFERROR(J44/J$5,0)</f>
        <v>0</v>
      </c>
      <c r="M44" s="75" t="n">
        <f aca="false">SUM(M45:M76)</f>
        <v>0</v>
      </c>
      <c r="N44" s="109" t="n">
        <f aca="false">IFERROR(M44/M$5,0)</f>
        <v>0</v>
      </c>
      <c r="P44" s="75" t="n">
        <f aca="false">SUM(P45:P76)</f>
        <v>0</v>
      </c>
      <c r="Q44" s="109" t="n">
        <f aca="false">IFERROR(P44/P$5,0)</f>
        <v>0</v>
      </c>
      <c r="S44" s="75" t="n">
        <f aca="false">SUM(S45:S76)</f>
        <v>0</v>
      </c>
      <c r="T44" s="109" t="n">
        <f aca="false">IFERROR(S44/S$5,0)</f>
        <v>0</v>
      </c>
      <c r="V44" s="75" t="n">
        <f aca="false">SUM(V45:V76)</f>
        <v>0</v>
      </c>
      <c r="W44" s="109" t="n">
        <f aca="false">IFERROR(V44/V$5,0)</f>
        <v>0</v>
      </c>
      <c r="Y44" s="75" t="n">
        <f aca="false">SUM(Y45:Y76)</f>
        <v>0</v>
      </c>
      <c r="Z44" s="109" t="n">
        <f aca="false">IFERROR(Y44/Y$5,0)</f>
        <v>0</v>
      </c>
      <c r="AB44" s="75" t="n">
        <f aca="false">SUM(AB45:AB76)</f>
        <v>0</v>
      </c>
      <c r="AC44" s="109" t="n">
        <f aca="false">IFERROR(AB44/AB$5,0)</f>
        <v>0</v>
      </c>
      <c r="AE44" s="75" t="n">
        <f aca="false">SUM(AE45:AE76)</f>
        <v>0</v>
      </c>
      <c r="AF44" s="109" t="n">
        <f aca="false">IFERROR(AE44/AE$5,0)</f>
        <v>0</v>
      </c>
      <c r="AH44" s="75" t="n">
        <f aca="false">SUM(AH45:AH76)</f>
        <v>0</v>
      </c>
      <c r="AI44" s="109" t="n">
        <f aca="false">IFERROR(AH44/AH$5,0)</f>
        <v>0</v>
      </c>
      <c r="AK44" s="75" t="n">
        <f aca="false">SUM(AK45:AK76)</f>
        <v>0</v>
      </c>
      <c r="AL44" s="109" t="n">
        <f aca="false">IFERROR(AK44/AK$5,0)</f>
        <v>0</v>
      </c>
      <c r="AN44" s="75" t="n">
        <f aca="false">SUM(D44,G44,J44,M44,P44,S44,V44,Y44,AB44,AE44,AH44,AK44)</f>
        <v>0</v>
      </c>
      <c r="AO44" s="88" t="n">
        <f aca="false">IFERROR(AN44/AN$5,0)</f>
        <v>0</v>
      </c>
      <c r="AQ44" s="77" t="n">
        <f aca="false">AN44/$AR$1</f>
        <v>0</v>
      </c>
      <c r="AR44" s="76" t="n">
        <f aca="false">IFERROR(AQ44/AQ$5,0)</f>
        <v>0</v>
      </c>
      <c r="AT44" s="110" t="n">
        <v>-0.07</v>
      </c>
    </row>
    <row r="45" customFormat="false" ht="15.75" hidden="true" customHeight="true" outlineLevel="1" collapsed="false">
      <c r="B45" s="89" t="s">
        <v>66</v>
      </c>
      <c r="D45" s="75" t="n">
        <f aca="false">SUMIFS('Dados Mov Financeira'!$N:$N,'Dados Mov Financeira'!$O:$O,'DRE 2020'!$B45,'Dados Mov Financeira'!$A:$A,'DRE 2020'!D$1,'Dados Mov Financeira'!$B:$B,'DRE 2020'!D$2)</f>
        <v>0</v>
      </c>
      <c r="E45" s="91" t="n">
        <f aca="false">IFERROR(D45/D$5,0)</f>
        <v>0</v>
      </c>
      <c r="G45" s="75" t="n">
        <f aca="false">SUMIFS('Dados Mov Financeira'!$N:$N,'Dados Mov Financeira'!$O:$O,'DRE 2020'!$B45,'Dados Mov Financeira'!$A:$A,'DRE 2020'!G$1,'Dados Mov Financeira'!$B:$B,'DRE 2020'!G$2)</f>
        <v>0</v>
      </c>
      <c r="H45" s="91" t="n">
        <f aca="false">IFERROR(G45/G$5,0)</f>
        <v>0</v>
      </c>
      <c r="J45" s="75" t="n">
        <f aca="false">SUMIFS('Dados Mov Financeira'!$N:$N,'Dados Mov Financeira'!$O:$O,'DRE 2020'!$B45,'Dados Mov Financeira'!$A:$A,'DRE 2020'!J$1,'Dados Mov Financeira'!$B:$B,'DRE 2020'!J$2)</f>
        <v>0</v>
      </c>
      <c r="K45" s="91" t="n">
        <f aca="false">IFERROR(J45/J$5,0)</f>
        <v>0</v>
      </c>
      <c r="M45" s="75" t="n">
        <f aca="false">SUMIFS('Dados Mov Financeira'!$N:$N,'Dados Mov Financeira'!$O:$O,'DRE 2020'!$B45,'Dados Mov Financeira'!$A:$A,'DRE 2020'!M$1,'Dados Mov Financeira'!$B:$B,'DRE 2020'!M$2)</f>
        <v>0</v>
      </c>
      <c r="N45" s="91" t="n">
        <f aca="false">IFERROR(M45/M$5,0)</f>
        <v>0</v>
      </c>
      <c r="P45" s="99" t="n">
        <f aca="false">SUMIFS('Dados Mov Financeira'!$N:$N,'Dados Mov Financeira'!$O:$O,'DRE 2020'!$B45,'Dados Mov Financeira'!$A:$A,'DRE 2020'!P$1,'Dados Mov Financeira'!$B:$B,'DRE 2020'!P$2)</f>
        <v>0</v>
      </c>
      <c r="Q45" s="91" t="n">
        <f aca="false">IFERROR(P45/P$5,0)</f>
        <v>0</v>
      </c>
      <c r="S45" s="99" t="n">
        <f aca="false">SUMIFS('Dados Mov Financeira'!$N:$N,'Dados Mov Financeira'!$O:$O,'DRE 2020'!$B45,'Dados Mov Financeira'!$A:$A,'DRE 2020'!S$1,'Dados Mov Financeira'!$B:$B,'DRE 2020'!S$2)</f>
        <v>0</v>
      </c>
      <c r="T45" s="91" t="n">
        <f aca="false">IFERROR(S45/S$5,0)</f>
        <v>0</v>
      </c>
      <c r="V45" s="99" t="n">
        <f aca="false">SUMIFS('Dados Mov Financeira'!$N:$N,'Dados Mov Financeira'!$O:$O,'DRE 2020'!$B45,'Dados Mov Financeira'!$A:$A,'DRE 2020'!V$1,'Dados Mov Financeira'!$B:$B,'DRE 2020'!V$2)</f>
        <v>0</v>
      </c>
      <c r="W45" s="91" t="n">
        <f aca="false">IFERROR(V45/V$5,0)</f>
        <v>0</v>
      </c>
      <c r="Y45" s="99" t="n">
        <f aca="false">SUMIFS('Dados Mov Financeira'!$N:$N,'Dados Mov Financeira'!$O:$O,'DRE 2020'!$B45,'Dados Mov Financeira'!$A:$A,'DRE 2020'!Y$1,'Dados Mov Financeira'!$B:$B,'DRE 2020'!Y$2)</f>
        <v>0</v>
      </c>
      <c r="Z45" s="91" t="n">
        <f aca="false">IFERROR(Y45/Y$5,0)</f>
        <v>0</v>
      </c>
      <c r="AB45" s="99" t="n">
        <f aca="false">SUMIFS('Dados Mov Financeira'!$N:$N,'Dados Mov Financeira'!$O:$O,'DRE 2020'!$B45,'Dados Mov Financeira'!$A:$A,'DRE 2020'!AB$1,'Dados Mov Financeira'!$B:$B,'DRE 2020'!AB$2)</f>
        <v>0</v>
      </c>
      <c r="AC45" s="91" t="n">
        <f aca="false">IFERROR(AB45/AB$5,0)</f>
        <v>0</v>
      </c>
      <c r="AE45" s="99" t="n">
        <f aca="false">SUMIFS('Dados Mov Financeira'!$N:$N,'Dados Mov Financeira'!$O:$O,'DRE 2020'!$B45,'Dados Mov Financeira'!$A:$A,'DRE 2020'!AE$1,'Dados Mov Financeira'!$B:$B,'DRE 2020'!AE$2)</f>
        <v>0</v>
      </c>
      <c r="AF45" s="91" t="n">
        <f aca="false">IFERROR(AE45/AE$5,0)</f>
        <v>0</v>
      </c>
      <c r="AH45" s="99" t="n">
        <f aca="false">SUMIFS('Dados Mov Financeira'!$N:$N,'Dados Mov Financeira'!$O:$O,'DRE 2020'!$B45,'Dados Mov Financeira'!$A:$A,'DRE 2020'!AH$1,'Dados Mov Financeira'!$B:$B,'DRE 2020'!AH$2)</f>
        <v>0</v>
      </c>
      <c r="AI45" s="91" t="n">
        <f aca="false">IFERROR(AH45/AH$5,0)</f>
        <v>0</v>
      </c>
      <c r="AK45" s="99" t="n">
        <f aca="false">SUMIFS('Dados Mov Financeira'!$N:$N,'Dados Mov Financeira'!$O:$O,'DRE 2020'!$B45,'Dados Mov Financeira'!$A:$A,'DRE 2020'!AK$1,'Dados Mov Financeira'!$B:$B,'DRE 2020'!AK$2)</f>
        <v>0</v>
      </c>
      <c r="AL45" s="91" t="n">
        <f aca="false">IFERROR(AK45/AK$5,0)</f>
        <v>0</v>
      </c>
      <c r="AN45" s="92" t="n">
        <f aca="false">SUM(D45,G45,J45,M45,P45,S45,V45,Y45,AB45,AE45,AH45,AK45)</f>
        <v>0</v>
      </c>
      <c r="AO45" s="91" t="n">
        <f aca="false">IFERROR(AN45/AN$5,0)</f>
        <v>0</v>
      </c>
      <c r="AQ45" s="93" t="n">
        <f aca="false">AN45/$AR$1</f>
        <v>0</v>
      </c>
      <c r="AR45" s="94" t="n">
        <f aca="false">IFERROR(AQ45/AQ$5,0)</f>
        <v>0</v>
      </c>
      <c r="AT45" s="111"/>
    </row>
    <row r="46" customFormat="false" ht="15.75" hidden="true" customHeight="true" outlineLevel="1" collapsed="false">
      <c r="B46" s="89" t="s">
        <v>67</v>
      </c>
      <c r="D46" s="75" t="n">
        <f aca="false">SUMIFS('Dados Mov Financeira'!$N:$N,'Dados Mov Financeira'!$O:$O,'DRE 2020'!$B46,'Dados Mov Financeira'!$A:$A,'DRE 2020'!D$1,'Dados Mov Financeira'!$B:$B,'DRE 2020'!D$2)</f>
        <v>0</v>
      </c>
      <c r="E46" s="91" t="n">
        <f aca="false">IFERROR(D46/D$5,0)</f>
        <v>0</v>
      </c>
      <c r="G46" s="75" t="n">
        <f aca="false">SUMIFS('Dados Mov Financeira'!$N:$N,'Dados Mov Financeira'!$O:$O,'DRE 2020'!$B46,'Dados Mov Financeira'!$A:$A,'DRE 2020'!G$1,'Dados Mov Financeira'!$B:$B,'DRE 2020'!G$2)</f>
        <v>0</v>
      </c>
      <c r="H46" s="91" t="n">
        <f aca="false">IFERROR(G46/G$5,0)</f>
        <v>0</v>
      </c>
      <c r="J46" s="75" t="n">
        <f aca="false">SUMIFS('Dados Mov Financeira'!$N:$N,'Dados Mov Financeira'!$O:$O,'DRE 2020'!$B46,'Dados Mov Financeira'!$A:$A,'DRE 2020'!J$1,'Dados Mov Financeira'!$B:$B,'DRE 2020'!J$2)</f>
        <v>0</v>
      </c>
      <c r="K46" s="91" t="n">
        <f aca="false">IFERROR(J46/J$5,0)</f>
        <v>0</v>
      </c>
      <c r="M46" s="75" t="n">
        <f aca="false">SUMIFS('Dados Mov Financeira'!$N:$N,'Dados Mov Financeira'!$O:$O,'DRE 2020'!$B46,'Dados Mov Financeira'!$A:$A,'DRE 2020'!M$1,'Dados Mov Financeira'!$B:$B,'DRE 2020'!M$2)</f>
        <v>0</v>
      </c>
      <c r="N46" s="91" t="n">
        <f aca="false">IFERROR(M46/M$5,0)</f>
        <v>0</v>
      </c>
      <c r="P46" s="75" t="n">
        <f aca="false">SUMIFS('Dados Mov Financeira'!$N:$N,'Dados Mov Financeira'!$O:$O,'DRE 2020'!$B46,'Dados Mov Financeira'!$A:$A,'DRE 2020'!P$1,'Dados Mov Financeira'!$B:$B,'DRE 2020'!P$2)</f>
        <v>0</v>
      </c>
      <c r="Q46" s="91" t="n">
        <f aca="false">IFERROR(P46/P$5,0)</f>
        <v>0</v>
      </c>
      <c r="S46" s="75" t="n">
        <f aca="false">SUMIFS('Dados Mov Financeira'!$N:$N,'Dados Mov Financeira'!$O:$O,'DRE 2020'!$B46,'Dados Mov Financeira'!$A:$A,'DRE 2020'!S$1,'Dados Mov Financeira'!$B:$B,'DRE 2020'!S$2)</f>
        <v>0</v>
      </c>
      <c r="T46" s="91" t="n">
        <f aca="false">IFERROR(S46/S$5,0)</f>
        <v>0</v>
      </c>
      <c r="V46" s="75" t="n">
        <f aca="false">SUMIFS('Dados Mov Financeira'!$N:$N,'Dados Mov Financeira'!$O:$O,'DRE 2020'!$B46,'Dados Mov Financeira'!$A:$A,'DRE 2020'!V$1,'Dados Mov Financeira'!$B:$B,'DRE 2020'!V$2)</f>
        <v>0</v>
      </c>
      <c r="W46" s="91" t="n">
        <f aca="false">IFERROR(V46/V$5,0)</f>
        <v>0</v>
      </c>
      <c r="Y46" s="75" t="n">
        <f aca="false">SUMIFS('Dados Mov Financeira'!$N:$N,'Dados Mov Financeira'!$O:$O,'DRE 2020'!$B46,'Dados Mov Financeira'!$A:$A,'DRE 2020'!Y$1,'Dados Mov Financeira'!$B:$B,'DRE 2020'!Y$2)</f>
        <v>0</v>
      </c>
      <c r="Z46" s="91" t="n">
        <f aca="false">IFERROR(Y46/Y$5,0)</f>
        <v>0</v>
      </c>
      <c r="AB46" s="75" t="n">
        <f aca="false">SUMIFS('Dados Mov Financeira'!$N:$N,'Dados Mov Financeira'!$O:$O,'DRE 2020'!$B46,'Dados Mov Financeira'!$A:$A,'DRE 2020'!AB$1,'Dados Mov Financeira'!$B:$B,'DRE 2020'!AB$2)</f>
        <v>0</v>
      </c>
      <c r="AC46" s="91" t="n">
        <f aca="false">IFERROR(AB46/AB$5,0)</f>
        <v>0</v>
      </c>
      <c r="AE46" s="75" t="n">
        <f aca="false">SUMIFS('Dados Mov Financeira'!$N:$N,'Dados Mov Financeira'!$O:$O,'DRE 2020'!$B46,'Dados Mov Financeira'!$A:$A,'DRE 2020'!AE$1,'Dados Mov Financeira'!$B:$B,'DRE 2020'!AE$2)</f>
        <v>0</v>
      </c>
      <c r="AF46" s="91" t="n">
        <f aca="false">IFERROR(AE46/AE$5,0)</f>
        <v>0</v>
      </c>
      <c r="AH46" s="75" t="n">
        <f aca="false">SUMIFS('Dados Mov Financeira'!$N:$N,'Dados Mov Financeira'!$O:$O,'DRE 2020'!$B46,'Dados Mov Financeira'!$A:$A,'DRE 2020'!AH$1,'Dados Mov Financeira'!$B:$B,'DRE 2020'!AH$2)</f>
        <v>0</v>
      </c>
      <c r="AI46" s="91" t="n">
        <f aca="false">IFERROR(AH46/AH$5,0)</f>
        <v>0</v>
      </c>
      <c r="AK46" s="75" t="n">
        <f aca="false">SUMIFS('Dados Mov Financeira'!$N:$N,'Dados Mov Financeira'!$O:$O,'DRE 2020'!$B46,'Dados Mov Financeira'!$A:$A,'DRE 2020'!AK$1,'Dados Mov Financeira'!$B:$B,'DRE 2020'!AK$2)</f>
        <v>0</v>
      </c>
      <c r="AL46" s="91" t="n">
        <f aca="false">IFERROR(AK46/AK$5,0)</f>
        <v>0</v>
      </c>
      <c r="AN46" s="92" t="n">
        <f aca="false">SUM(D46,G46,J46,M46,P46,S46,V46,Y46,AB46,AE46,AH46,AK46)</f>
        <v>0</v>
      </c>
      <c r="AO46" s="91" t="n">
        <f aca="false">IFERROR(AN46/AN$5,0)</f>
        <v>0</v>
      </c>
      <c r="AQ46" s="93" t="n">
        <f aca="false">AN46/$AR$1</f>
        <v>0</v>
      </c>
      <c r="AR46" s="94" t="n">
        <f aca="false">IFERROR(AQ46/AQ$5,0)</f>
        <v>0</v>
      </c>
      <c r="AT46" s="111"/>
    </row>
    <row r="47" customFormat="false" ht="15.75" hidden="true" customHeight="true" outlineLevel="1" collapsed="false">
      <c r="B47" s="89" t="s">
        <v>68</v>
      </c>
      <c r="D47" s="75" t="n">
        <f aca="false">SUMIFS('Dados Mov Financeira'!$N:$N,'Dados Mov Financeira'!$O:$O,'DRE 2020'!$B47,'Dados Mov Financeira'!$A:$A,'DRE 2020'!D$1,'Dados Mov Financeira'!$B:$B,'DRE 2020'!D$2)</f>
        <v>0</v>
      </c>
      <c r="E47" s="91" t="n">
        <f aca="false">IFERROR(D47/D$5,0)</f>
        <v>0</v>
      </c>
      <c r="G47" s="75" t="n">
        <f aca="false">SUMIFS('Dados Mov Financeira'!$N:$N,'Dados Mov Financeira'!$O:$O,'DRE 2020'!$B47,'Dados Mov Financeira'!$A:$A,'DRE 2020'!G$1,'Dados Mov Financeira'!$B:$B,'DRE 2020'!G$2)</f>
        <v>0</v>
      </c>
      <c r="H47" s="91" t="n">
        <f aca="false">IFERROR(G47/G$5,0)</f>
        <v>0</v>
      </c>
      <c r="J47" s="75" t="n">
        <f aca="false">SUMIFS('Dados Mov Financeira'!$N:$N,'Dados Mov Financeira'!$O:$O,'DRE 2020'!$B47,'Dados Mov Financeira'!$A:$A,'DRE 2020'!J$1,'Dados Mov Financeira'!$B:$B,'DRE 2020'!J$2)</f>
        <v>0</v>
      </c>
      <c r="K47" s="91" t="n">
        <f aca="false">IFERROR(J47/J$5,0)</f>
        <v>0</v>
      </c>
      <c r="M47" s="75" t="n">
        <f aca="false">SUMIFS('Dados Mov Financeira'!$N:$N,'Dados Mov Financeira'!$O:$O,'DRE 2020'!$B47,'Dados Mov Financeira'!$A:$A,'DRE 2020'!M$1,'Dados Mov Financeira'!$B:$B,'DRE 2020'!M$2)</f>
        <v>0</v>
      </c>
      <c r="N47" s="91" t="n">
        <f aca="false">IFERROR(M47/M$5,0)</f>
        <v>0</v>
      </c>
      <c r="P47" s="75" t="n">
        <f aca="false">SUMIFS('Dados Mov Financeira'!$N:$N,'Dados Mov Financeira'!$O:$O,'DRE 2020'!$B47,'Dados Mov Financeira'!$A:$A,'DRE 2020'!P$1,'Dados Mov Financeira'!$B:$B,'DRE 2020'!P$2)</f>
        <v>0</v>
      </c>
      <c r="Q47" s="91" t="n">
        <f aca="false">IFERROR(P47/P$5,0)</f>
        <v>0</v>
      </c>
      <c r="S47" s="75" t="n">
        <f aca="false">SUMIFS('Dados Mov Financeira'!$N:$N,'Dados Mov Financeira'!$O:$O,'DRE 2020'!$B47,'Dados Mov Financeira'!$A:$A,'DRE 2020'!S$1,'Dados Mov Financeira'!$B:$B,'DRE 2020'!S$2)</f>
        <v>0</v>
      </c>
      <c r="T47" s="91" t="n">
        <f aca="false">IFERROR(S47/S$5,0)</f>
        <v>0</v>
      </c>
      <c r="V47" s="75" t="n">
        <f aca="false">SUMIFS('Dados Mov Financeira'!$N:$N,'Dados Mov Financeira'!$O:$O,'DRE 2020'!$B47,'Dados Mov Financeira'!$A:$A,'DRE 2020'!V$1,'Dados Mov Financeira'!$B:$B,'DRE 2020'!V$2)</f>
        <v>0</v>
      </c>
      <c r="W47" s="91" t="n">
        <f aca="false">IFERROR(V47/V$5,0)</f>
        <v>0</v>
      </c>
      <c r="Y47" s="75" t="n">
        <f aca="false">SUMIFS('Dados Mov Financeira'!$N:$N,'Dados Mov Financeira'!$O:$O,'DRE 2020'!$B47,'Dados Mov Financeira'!$A:$A,'DRE 2020'!Y$1,'Dados Mov Financeira'!$B:$B,'DRE 2020'!Y$2)</f>
        <v>0</v>
      </c>
      <c r="Z47" s="91" t="n">
        <f aca="false">IFERROR(Y47/Y$5,0)</f>
        <v>0</v>
      </c>
      <c r="AB47" s="75" t="n">
        <f aca="false">SUMIFS('Dados Mov Financeira'!$N:$N,'Dados Mov Financeira'!$O:$O,'DRE 2020'!$B47,'Dados Mov Financeira'!$A:$A,'DRE 2020'!AB$1,'Dados Mov Financeira'!$B:$B,'DRE 2020'!AB$2)</f>
        <v>0</v>
      </c>
      <c r="AC47" s="91" t="n">
        <f aca="false">IFERROR(AB47/AB$5,0)</f>
        <v>0</v>
      </c>
      <c r="AE47" s="75" t="n">
        <f aca="false">SUMIFS('Dados Mov Financeira'!$N:$N,'Dados Mov Financeira'!$O:$O,'DRE 2020'!$B47,'Dados Mov Financeira'!$A:$A,'DRE 2020'!AE$1,'Dados Mov Financeira'!$B:$B,'DRE 2020'!AE$2)</f>
        <v>0</v>
      </c>
      <c r="AF47" s="91" t="n">
        <f aca="false">IFERROR(AE47/AE$5,0)</f>
        <v>0</v>
      </c>
      <c r="AH47" s="75" t="n">
        <f aca="false">SUMIFS('Dados Mov Financeira'!$N:$N,'Dados Mov Financeira'!$O:$O,'DRE 2020'!$B47,'Dados Mov Financeira'!$A:$A,'DRE 2020'!AH$1,'Dados Mov Financeira'!$B:$B,'DRE 2020'!AH$2)</f>
        <v>0</v>
      </c>
      <c r="AI47" s="91" t="n">
        <f aca="false">IFERROR(AH47/AH$5,0)</f>
        <v>0</v>
      </c>
      <c r="AK47" s="75" t="n">
        <f aca="false">SUMIFS('Dados Mov Financeira'!$N:$N,'Dados Mov Financeira'!$O:$O,'DRE 2020'!$B47,'Dados Mov Financeira'!$A:$A,'DRE 2020'!AK$1,'Dados Mov Financeira'!$B:$B,'DRE 2020'!AK$2)</f>
        <v>0</v>
      </c>
      <c r="AL47" s="91" t="n">
        <f aca="false">IFERROR(AK47/AK$5,0)</f>
        <v>0</v>
      </c>
      <c r="AN47" s="92" t="n">
        <f aca="false">SUM(D47,G47,J47,M47,P47,S47,V47,Y47,AB47,AE47,AH47,AK47)</f>
        <v>0</v>
      </c>
      <c r="AO47" s="91" t="n">
        <f aca="false">IFERROR(AN47/AN$5,0)</f>
        <v>0</v>
      </c>
      <c r="AQ47" s="93" t="n">
        <f aca="false">AN47/$AR$1</f>
        <v>0</v>
      </c>
      <c r="AR47" s="94" t="n">
        <f aca="false">IFERROR(AQ47/AQ$5,0)</f>
        <v>0</v>
      </c>
      <c r="AT47" s="111"/>
    </row>
    <row r="48" customFormat="false" ht="15.75" hidden="true" customHeight="true" outlineLevel="1" collapsed="false">
      <c r="B48" s="89" t="s">
        <v>69</v>
      </c>
      <c r="D48" s="75" t="n">
        <f aca="false">SUMIFS('Dados Mov Financeira'!$N:$N,'Dados Mov Financeira'!$O:$O,'DRE 2020'!$B48,'Dados Mov Financeira'!$A:$A,'DRE 2020'!D$1,'Dados Mov Financeira'!$B:$B,'DRE 2020'!D$2)</f>
        <v>0</v>
      </c>
      <c r="E48" s="91" t="n">
        <f aca="false">IFERROR(D48/D$5,0)</f>
        <v>0</v>
      </c>
      <c r="G48" s="75" t="n">
        <f aca="false">SUMIFS('Dados Mov Financeira'!$N:$N,'Dados Mov Financeira'!$O:$O,'DRE 2020'!$B48,'Dados Mov Financeira'!$A:$A,'DRE 2020'!G$1,'Dados Mov Financeira'!$B:$B,'DRE 2020'!G$2)</f>
        <v>0</v>
      </c>
      <c r="H48" s="91" t="n">
        <f aca="false">IFERROR(G48/G$5,0)</f>
        <v>0</v>
      </c>
      <c r="J48" s="75" t="n">
        <f aca="false">SUMIFS('Dados Mov Financeira'!$N:$N,'Dados Mov Financeira'!$O:$O,'DRE 2020'!$B48,'Dados Mov Financeira'!$A:$A,'DRE 2020'!J$1,'Dados Mov Financeira'!$B:$B,'DRE 2020'!J$2)</f>
        <v>0</v>
      </c>
      <c r="K48" s="91" t="n">
        <f aca="false">IFERROR(J48/J$5,0)</f>
        <v>0</v>
      </c>
      <c r="M48" s="75" t="n">
        <f aca="false">SUMIFS('Dados Mov Financeira'!$N:$N,'Dados Mov Financeira'!$O:$O,'DRE 2020'!$B48,'Dados Mov Financeira'!$A:$A,'DRE 2020'!M$1,'Dados Mov Financeira'!$B:$B,'DRE 2020'!M$2)</f>
        <v>0</v>
      </c>
      <c r="N48" s="91" t="n">
        <f aca="false">IFERROR(M48/M$5,0)</f>
        <v>0</v>
      </c>
      <c r="P48" s="75" t="n">
        <f aca="false">SUMIFS('Dados Mov Financeira'!$N:$N,'Dados Mov Financeira'!$O:$O,'DRE 2020'!$B48,'Dados Mov Financeira'!$A:$A,'DRE 2020'!P$1,'Dados Mov Financeira'!$B:$B,'DRE 2020'!P$2)</f>
        <v>0</v>
      </c>
      <c r="Q48" s="91" t="n">
        <f aca="false">IFERROR(P48/P$5,0)</f>
        <v>0</v>
      </c>
      <c r="S48" s="75" t="n">
        <f aca="false">SUMIFS('Dados Mov Financeira'!$N:$N,'Dados Mov Financeira'!$O:$O,'DRE 2020'!$B48,'Dados Mov Financeira'!$A:$A,'DRE 2020'!S$1,'Dados Mov Financeira'!$B:$B,'DRE 2020'!S$2)</f>
        <v>0</v>
      </c>
      <c r="T48" s="91" t="n">
        <f aca="false">IFERROR(S48/S$5,0)</f>
        <v>0</v>
      </c>
      <c r="V48" s="75" t="n">
        <f aca="false">SUMIFS('Dados Mov Financeira'!$N:$N,'Dados Mov Financeira'!$O:$O,'DRE 2020'!$B48,'Dados Mov Financeira'!$A:$A,'DRE 2020'!V$1,'Dados Mov Financeira'!$B:$B,'DRE 2020'!V$2)</f>
        <v>0</v>
      </c>
      <c r="W48" s="91" t="n">
        <f aca="false">IFERROR(V48/V$5,0)</f>
        <v>0</v>
      </c>
      <c r="Y48" s="75" t="n">
        <f aca="false">SUMIFS('Dados Mov Financeira'!$N:$N,'Dados Mov Financeira'!$O:$O,'DRE 2020'!$B48,'Dados Mov Financeira'!$A:$A,'DRE 2020'!Y$1,'Dados Mov Financeira'!$B:$B,'DRE 2020'!Y$2)</f>
        <v>0</v>
      </c>
      <c r="Z48" s="91" t="n">
        <f aca="false">IFERROR(Y48/Y$5,0)</f>
        <v>0</v>
      </c>
      <c r="AB48" s="75" t="n">
        <f aca="false">SUMIFS('Dados Mov Financeira'!$N:$N,'Dados Mov Financeira'!$O:$O,'DRE 2020'!$B48,'Dados Mov Financeira'!$A:$A,'DRE 2020'!AB$1,'Dados Mov Financeira'!$B:$B,'DRE 2020'!AB$2)</f>
        <v>0</v>
      </c>
      <c r="AC48" s="91" t="n">
        <f aca="false">IFERROR(AB48/AB$5,0)</f>
        <v>0</v>
      </c>
      <c r="AE48" s="75" t="n">
        <f aca="false">SUMIFS('Dados Mov Financeira'!$N:$N,'Dados Mov Financeira'!$O:$O,'DRE 2020'!$B48,'Dados Mov Financeira'!$A:$A,'DRE 2020'!AE$1,'Dados Mov Financeira'!$B:$B,'DRE 2020'!AE$2)</f>
        <v>0</v>
      </c>
      <c r="AF48" s="91" t="n">
        <f aca="false">IFERROR(AE48/AE$5,0)</f>
        <v>0</v>
      </c>
      <c r="AH48" s="75" t="n">
        <f aca="false">SUMIFS('Dados Mov Financeira'!$N:$N,'Dados Mov Financeira'!$O:$O,'DRE 2020'!$B48,'Dados Mov Financeira'!$A:$A,'DRE 2020'!AH$1,'Dados Mov Financeira'!$B:$B,'DRE 2020'!AH$2)</f>
        <v>0</v>
      </c>
      <c r="AI48" s="91" t="n">
        <f aca="false">IFERROR(AH48/AH$5,0)</f>
        <v>0</v>
      </c>
      <c r="AK48" s="75" t="n">
        <f aca="false">SUMIFS('Dados Mov Financeira'!$N:$N,'Dados Mov Financeira'!$O:$O,'DRE 2020'!$B48,'Dados Mov Financeira'!$A:$A,'DRE 2020'!AK$1,'Dados Mov Financeira'!$B:$B,'DRE 2020'!AK$2)</f>
        <v>0</v>
      </c>
      <c r="AL48" s="91" t="n">
        <f aca="false">IFERROR(AK48/AK$5,0)</f>
        <v>0</v>
      </c>
      <c r="AN48" s="92" t="n">
        <f aca="false">SUM(D48,G48,J48,M48,P48,S48,V48,Y48,AB48,AE48,AH48,AK48)</f>
        <v>0</v>
      </c>
      <c r="AO48" s="91" t="n">
        <f aca="false">IFERROR(AN48/AN$5,0)</f>
        <v>0</v>
      </c>
      <c r="AQ48" s="93" t="n">
        <f aca="false">AN48/$AR$1</f>
        <v>0</v>
      </c>
      <c r="AR48" s="94" t="n">
        <f aca="false">IFERROR(AQ48/AQ$5,0)</f>
        <v>0</v>
      </c>
      <c r="AT48" s="111"/>
    </row>
    <row r="49" customFormat="false" ht="15.75" hidden="true" customHeight="true" outlineLevel="1" collapsed="false">
      <c r="B49" s="89" t="s">
        <v>70</v>
      </c>
      <c r="D49" s="75" t="n">
        <f aca="false">SUMIFS('Dados Mov Financeira'!$N:$N,'Dados Mov Financeira'!$O:$O,'DRE 2020'!$B49,'Dados Mov Financeira'!$A:$A,'DRE 2020'!D$1,'Dados Mov Financeira'!$B:$B,'DRE 2020'!D$2)</f>
        <v>0</v>
      </c>
      <c r="E49" s="91" t="n">
        <f aca="false">IFERROR(D49/D$5,0)</f>
        <v>0</v>
      </c>
      <c r="G49" s="75" t="n">
        <f aca="false">SUMIFS('Dados Mov Financeira'!$N:$N,'Dados Mov Financeira'!$O:$O,'DRE 2020'!$B49,'Dados Mov Financeira'!$A:$A,'DRE 2020'!G$1,'Dados Mov Financeira'!$B:$B,'DRE 2020'!G$2)</f>
        <v>0</v>
      </c>
      <c r="H49" s="91" t="n">
        <f aca="false">IFERROR(G49/G$5,0)</f>
        <v>0</v>
      </c>
      <c r="J49" s="75" t="n">
        <f aca="false">SUMIFS('Dados Mov Financeira'!$N:$N,'Dados Mov Financeira'!$O:$O,'DRE 2020'!$B49,'Dados Mov Financeira'!$A:$A,'DRE 2020'!J$1,'Dados Mov Financeira'!$B:$B,'DRE 2020'!J$2)</f>
        <v>0</v>
      </c>
      <c r="K49" s="91" t="n">
        <f aca="false">IFERROR(J49/J$5,0)</f>
        <v>0</v>
      </c>
      <c r="M49" s="75" t="n">
        <f aca="false">SUMIFS('Dados Mov Financeira'!$N:$N,'Dados Mov Financeira'!$O:$O,'DRE 2020'!$B49,'Dados Mov Financeira'!$A:$A,'DRE 2020'!M$1,'Dados Mov Financeira'!$B:$B,'DRE 2020'!M$2)</f>
        <v>0</v>
      </c>
      <c r="N49" s="91" t="n">
        <f aca="false">IFERROR(M49/M$5,0)</f>
        <v>0</v>
      </c>
      <c r="P49" s="75" t="n">
        <f aca="false">SUMIFS('Dados Mov Financeira'!$N:$N,'Dados Mov Financeira'!$O:$O,'DRE 2020'!$B49,'Dados Mov Financeira'!$A:$A,'DRE 2020'!P$1,'Dados Mov Financeira'!$B:$B,'DRE 2020'!P$2)</f>
        <v>0</v>
      </c>
      <c r="Q49" s="91" t="n">
        <f aca="false">IFERROR(P49/P$5,0)</f>
        <v>0</v>
      </c>
      <c r="S49" s="75" t="n">
        <f aca="false">SUMIFS('Dados Mov Financeira'!$N:$N,'Dados Mov Financeira'!$O:$O,'DRE 2020'!$B49,'Dados Mov Financeira'!$A:$A,'DRE 2020'!S$1,'Dados Mov Financeira'!$B:$B,'DRE 2020'!S$2)</f>
        <v>0</v>
      </c>
      <c r="T49" s="91" t="n">
        <f aca="false">IFERROR(S49/S$5,0)</f>
        <v>0</v>
      </c>
      <c r="V49" s="75" t="n">
        <f aca="false">SUMIFS('Dados Mov Financeira'!$N:$N,'Dados Mov Financeira'!$O:$O,'DRE 2020'!$B49,'Dados Mov Financeira'!$A:$A,'DRE 2020'!V$1,'Dados Mov Financeira'!$B:$B,'DRE 2020'!V$2)</f>
        <v>0</v>
      </c>
      <c r="W49" s="91" t="n">
        <f aca="false">IFERROR(V49/V$5,0)</f>
        <v>0</v>
      </c>
      <c r="Y49" s="75" t="n">
        <f aca="false">SUMIFS('Dados Mov Financeira'!$N:$N,'Dados Mov Financeira'!$O:$O,'DRE 2020'!$B49,'Dados Mov Financeira'!$A:$A,'DRE 2020'!Y$1,'Dados Mov Financeira'!$B:$B,'DRE 2020'!Y$2)</f>
        <v>0</v>
      </c>
      <c r="Z49" s="91" t="n">
        <f aca="false">IFERROR(Y49/Y$5,0)</f>
        <v>0</v>
      </c>
      <c r="AB49" s="75" t="n">
        <f aca="false">SUMIFS('Dados Mov Financeira'!$N:$N,'Dados Mov Financeira'!$O:$O,'DRE 2020'!$B49,'Dados Mov Financeira'!$A:$A,'DRE 2020'!AB$1,'Dados Mov Financeira'!$B:$B,'DRE 2020'!AB$2)</f>
        <v>0</v>
      </c>
      <c r="AC49" s="91" t="n">
        <f aca="false">IFERROR(AB49/AB$5,0)</f>
        <v>0</v>
      </c>
      <c r="AE49" s="75" t="n">
        <f aca="false">SUMIFS('Dados Mov Financeira'!$N:$N,'Dados Mov Financeira'!$O:$O,'DRE 2020'!$B49,'Dados Mov Financeira'!$A:$A,'DRE 2020'!AE$1,'Dados Mov Financeira'!$B:$B,'DRE 2020'!AE$2)</f>
        <v>0</v>
      </c>
      <c r="AF49" s="91" t="n">
        <f aca="false">IFERROR(AE49/AE$5,0)</f>
        <v>0</v>
      </c>
      <c r="AH49" s="75" t="n">
        <f aca="false">SUMIFS('Dados Mov Financeira'!$N:$N,'Dados Mov Financeira'!$O:$O,'DRE 2020'!$B49,'Dados Mov Financeira'!$A:$A,'DRE 2020'!AH$1,'Dados Mov Financeira'!$B:$B,'DRE 2020'!AH$2)</f>
        <v>0</v>
      </c>
      <c r="AI49" s="91" t="n">
        <f aca="false">IFERROR(AH49/AH$5,0)</f>
        <v>0</v>
      </c>
      <c r="AK49" s="75" t="n">
        <f aca="false">SUMIFS('Dados Mov Financeira'!$N:$N,'Dados Mov Financeira'!$O:$O,'DRE 2020'!$B49,'Dados Mov Financeira'!$A:$A,'DRE 2020'!AK$1,'Dados Mov Financeira'!$B:$B,'DRE 2020'!AK$2)</f>
        <v>0</v>
      </c>
      <c r="AL49" s="91" t="n">
        <f aca="false">IFERROR(AK49/AK$5,0)</f>
        <v>0</v>
      </c>
      <c r="AN49" s="92" t="n">
        <f aca="false">SUM(D49,G49,J49,M49,P49,S49,V49,Y49,AB49,AE49,AH49,AK49)</f>
        <v>0</v>
      </c>
      <c r="AO49" s="91" t="n">
        <f aca="false">IFERROR(AN49/AN$5,0)</f>
        <v>0</v>
      </c>
      <c r="AQ49" s="93" t="n">
        <f aca="false">AN49/$AR$1</f>
        <v>0</v>
      </c>
      <c r="AR49" s="94" t="n">
        <f aca="false">IFERROR(AQ49/AQ$5,0)</f>
        <v>0</v>
      </c>
      <c r="AT49" s="111"/>
    </row>
    <row r="50" customFormat="false" ht="15.75" hidden="true" customHeight="true" outlineLevel="1" collapsed="false">
      <c r="B50" s="89" t="s">
        <v>71</v>
      </c>
      <c r="D50" s="75" t="n">
        <f aca="false">SUMIFS('Dados Mov Financeira'!$N:$N,'Dados Mov Financeira'!$O:$O,'DRE 2020'!$B50,'Dados Mov Financeira'!$A:$A,'DRE 2020'!D$1,'Dados Mov Financeira'!$B:$B,'DRE 2020'!D$2)</f>
        <v>0</v>
      </c>
      <c r="E50" s="91" t="n">
        <f aca="false">IFERROR(D50/D$5,0)</f>
        <v>0</v>
      </c>
      <c r="G50" s="75" t="n">
        <f aca="false">SUMIFS('Dados Mov Financeira'!$N:$N,'Dados Mov Financeira'!$O:$O,'DRE 2020'!$B50,'Dados Mov Financeira'!$A:$A,'DRE 2020'!G$1,'Dados Mov Financeira'!$B:$B,'DRE 2020'!G$2)</f>
        <v>0</v>
      </c>
      <c r="H50" s="91" t="n">
        <f aca="false">IFERROR(G50/G$5,0)</f>
        <v>0</v>
      </c>
      <c r="J50" s="75" t="n">
        <f aca="false">SUMIFS('Dados Mov Financeira'!$N:$N,'Dados Mov Financeira'!$O:$O,'DRE 2020'!$B50,'Dados Mov Financeira'!$A:$A,'DRE 2020'!J$1,'Dados Mov Financeira'!$B:$B,'DRE 2020'!J$2)</f>
        <v>0</v>
      </c>
      <c r="K50" s="91" t="n">
        <f aca="false">IFERROR(J50/J$5,0)</f>
        <v>0</v>
      </c>
      <c r="M50" s="75" t="n">
        <f aca="false">SUMIFS('Dados Mov Financeira'!$N:$N,'Dados Mov Financeira'!$O:$O,'DRE 2020'!$B50,'Dados Mov Financeira'!$A:$A,'DRE 2020'!M$1,'Dados Mov Financeira'!$B:$B,'DRE 2020'!M$2)</f>
        <v>0</v>
      </c>
      <c r="N50" s="91" t="n">
        <f aca="false">IFERROR(M50/M$5,0)</f>
        <v>0</v>
      </c>
      <c r="P50" s="75" t="n">
        <f aca="false">SUMIFS('Dados Mov Financeira'!$N:$N,'Dados Mov Financeira'!$O:$O,'DRE 2020'!$B50,'Dados Mov Financeira'!$A:$A,'DRE 2020'!P$1,'Dados Mov Financeira'!$B:$B,'DRE 2020'!P$2)</f>
        <v>0</v>
      </c>
      <c r="Q50" s="91" t="n">
        <f aca="false">IFERROR(P50/P$5,0)</f>
        <v>0</v>
      </c>
      <c r="S50" s="75" t="n">
        <f aca="false">SUMIFS('Dados Mov Financeira'!$N:$N,'Dados Mov Financeira'!$O:$O,'DRE 2020'!$B50,'Dados Mov Financeira'!$A:$A,'DRE 2020'!S$1,'Dados Mov Financeira'!$B:$B,'DRE 2020'!S$2)</f>
        <v>0</v>
      </c>
      <c r="T50" s="91" t="n">
        <f aca="false">IFERROR(S50/S$5,0)</f>
        <v>0</v>
      </c>
      <c r="V50" s="75" t="n">
        <f aca="false">SUMIFS('Dados Mov Financeira'!$N:$N,'Dados Mov Financeira'!$O:$O,'DRE 2020'!$B50,'Dados Mov Financeira'!$A:$A,'DRE 2020'!V$1,'Dados Mov Financeira'!$B:$B,'DRE 2020'!V$2)</f>
        <v>0</v>
      </c>
      <c r="W50" s="91" t="n">
        <f aca="false">IFERROR(V50/V$5,0)</f>
        <v>0</v>
      </c>
      <c r="Y50" s="75" t="n">
        <f aca="false">SUMIFS('Dados Mov Financeira'!$N:$N,'Dados Mov Financeira'!$O:$O,'DRE 2020'!$B50,'Dados Mov Financeira'!$A:$A,'DRE 2020'!Y$1,'Dados Mov Financeira'!$B:$B,'DRE 2020'!Y$2)</f>
        <v>0</v>
      </c>
      <c r="Z50" s="91" t="n">
        <f aca="false">IFERROR(Y50/Y$5,0)</f>
        <v>0</v>
      </c>
      <c r="AB50" s="75" t="n">
        <f aca="false">SUMIFS('Dados Mov Financeira'!$N:$N,'Dados Mov Financeira'!$O:$O,'DRE 2020'!$B50,'Dados Mov Financeira'!$A:$A,'DRE 2020'!AB$1,'Dados Mov Financeira'!$B:$B,'DRE 2020'!AB$2)</f>
        <v>0</v>
      </c>
      <c r="AC50" s="91" t="n">
        <f aca="false">IFERROR(AB50/AB$5,0)</f>
        <v>0</v>
      </c>
      <c r="AE50" s="75" t="n">
        <f aca="false">SUMIFS('Dados Mov Financeira'!$N:$N,'Dados Mov Financeira'!$O:$O,'DRE 2020'!$B50,'Dados Mov Financeira'!$A:$A,'DRE 2020'!AE$1,'Dados Mov Financeira'!$B:$B,'DRE 2020'!AE$2)</f>
        <v>0</v>
      </c>
      <c r="AF50" s="91" t="n">
        <f aca="false">IFERROR(AE50/AE$5,0)</f>
        <v>0</v>
      </c>
      <c r="AH50" s="75" t="n">
        <f aca="false">SUMIFS('Dados Mov Financeira'!$N:$N,'Dados Mov Financeira'!$O:$O,'DRE 2020'!$B50,'Dados Mov Financeira'!$A:$A,'DRE 2020'!AH$1,'Dados Mov Financeira'!$B:$B,'DRE 2020'!AH$2)</f>
        <v>0</v>
      </c>
      <c r="AI50" s="91" t="n">
        <f aca="false">IFERROR(AH50/AH$5,0)</f>
        <v>0</v>
      </c>
      <c r="AK50" s="75" t="n">
        <f aca="false">SUMIFS('Dados Mov Financeira'!$N:$N,'Dados Mov Financeira'!$O:$O,'DRE 2020'!$B50,'Dados Mov Financeira'!$A:$A,'DRE 2020'!AK$1,'Dados Mov Financeira'!$B:$B,'DRE 2020'!AK$2)</f>
        <v>0</v>
      </c>
      <c r="AL50" s="91" t="n">
        <f aca="false">IFERROR(AK50/AK$5,0)</f>
        <v>0</v>
      </c>
      <c r="AN50" s="92" t="n">
        <f aca="false">SUM(D50,G50,J50,M50,P50,S50,V50,Y50,AB50,AE50,AH50,AK50)</f>
        <v>0</v>
      </c>
      <c r="AO50" s="91" t="n">
        <f aca="false">IFERROR(AN50/AN$5,0)</f>
        <v>0</v>
      </c>
      <c r="AQ50" s="93" t="n">
        <f aca="false">AN50/$AR$1</f>
        <v>0</v>
      </c>
      <c r="AR50" s="94" t="n">
        <f aca="false">IFERROR(AQ50/AQ$5,0)</f>
        <v>0</v>
      </c>
      <c r="AT50" s="111"/>
    </row>
    <row r="51" customFormat="false" ht="15.75" hidden="true" customHeight="true" outlineLevel="1" collapsed="false">
      <c r="B51" s="89" t="s">
        <v>72</v>
      </c>
      <c r="D51" s="75" t="n">
        <f aca="false">SUMIFS('Dados Mov Financeira'!$N:$N,'Dados Mov Financeira'!$O:$O,'DRE 2020'!$B51,'Dados Mov Financeira'!$A:$A,'DRE 2020'!D$1,'Dados Mov Financeira'!$B:$B,'DRE 2020'!D$2)</f>
        <v>0</v>
      </c>
      <c r="E51" s="91" t="n">
        <f aca="false">IFERROR(D51/D$5,0)</f>
        <v>0</v>
      </c>
      <c r="G51" s="75" t="n">
        <f aca="false">SUMIFS('Dados Mov Financeira'!$N:$N,'Dados Mov Financeira'!$O:$O,'DRE 2020'!$B51,'Dados Mov Financeira'!$A:$A,'DRE 2020'!G$1,'Dados Mov Financeira'!$B:$B,'DRE 2020'!G$2)</f>
        <v>0</v>
      </c>
      <c r="H51" s="91" t="n">
        <f aca="false">IFERROR(G51/G$5,0)</f>
        <v>0</v>
      </c>
      <c r="J51" s="75" t="n">
        <f aca="false">SUMIFS('Dados Mov Financeira'!$N:$N,'Dados Mov Financeira'!$O:$O,'DRE 2020'!$B51,'Dados Mov Financeira'!$A:$A,'DRE 2020'!J$1,'Dados Mov Financeira'!$B:$B,'DRE 2020'!J$2)</f>
        <v>0</v>
      </c>
      <c r="K51" s="91" t="n">
        <f aca="false">IFERROR(J51/J$5,0)</f>
        <v>0</v>
      </c>
      <c r="M51" s="75" t="n">
        <f aca="false">SUMIFS('Dados Mov Financeira'!$N:$N,'Dados Mov Financeira'!$O:$O,'DRE 2020'!$B51,'Dados Mov Financeira'!$A:$A,'DRE 2020'!M$1,'Dados Mov Financeira'!$B:$B,'DRE 2020'!M$2)</f>
        <v>0</v>
      </c>
      <c r="N51" s="91" t="n">
        <f aca="false">IFERROR(M51/M$5,0)</f>
        <v>0</v>
      </c>
      <c r="P51" s="75" t="n">
        <f aca="false">SUMIFS('Dados Mov Financeira'!$N:$N,'Dados Mov Financeira'!$O:$O,'DRE 2020'!$B51,'Dados Mov Financeira'!$A:$A,'DRE 2020'!P$1,'Dados Mov Financeira'!$B:$B,'DRE 2020'!P$2)</f>
        <v>0</v>
      </c>
      <c r="Q51" s="91" t="n">
        <f aca="false">IFERROR(P51/P$5,0)</f>
        <v>0</v>
      </c>
      <c r="S51" s="75" t="n">
        <f aca="false">SUMIFS('Dados Mov Financeira'!$N:$N,'Dados Mov Financeira'!$O:$O,'DRE 2020'!$B51,'Dados Mov Financeira'!$A:$A,'DRE 2020'!S$1,'Dados Mov Financeira'!$B:$B,'DRE 2020'!S$2)</f>
        <v>0</v>
      </c>
      <c r="T51" s="91" t="n">
        <f aca="false">IFERROR(S51/S$5,0)</f>
        <v>0</v>
      </c>
      <c r="V51" s="75" t="n">
        <f aca="false">SUMIFS('Dados Mov Financeira'!$N:$N,'Dados Mov Financeira'!$O:$O,'DRE 2020'!$B51,'Dados Mov Financeira'!$A:$A,'DRE 2020'!V$1,'Dados Mov Financeira'!$B:$B,'DRE 2020'!V$2)</f>
        <v>0</v>
      </c>
      <c r="W51" s="91" t="n">
        <f aca="false">IFERROR(V51/V$5,0)</f>
        <v>0</v>
      </c>
      <c r="Y51" s="75" t="n">
        <f aca="false">SUMIFS('Dados Mov Financeira'!$N:$N,'Dados Mov Financeira'!$O:$O,'DRE 2020'!$B51,'Dados Mov Financeira'!$A:$A,'DRE 2020'!Y$1,'Dados Mov Financeira'!$B:$B,'DRE 2020'!Y$2)</f>
        <v>0</v>
      </c>
      <c r="Z51" s="91" t="n">
        <f aca="false">IFERROR(Y51/Y$5,0)</f>
        <v>0</v>
      </c>
      <c r="AB51" s="75" t="n">
        <f aca="false">SUMIFS('Dados Mov Financeira'!$N:$N,'Dados Mov Financeira'!$O:$O,'DRE 2020'!$B51,'Dados Mov Financeira'!$A:$A,'DRE 2020'!AB$1,'Dados Mov Financeira'!$B:$B,'DRE 2020'!AB$2)</f>
        <v>0</v>
      </c>
      <c r="AC51" s="91" t="n">
        <f aca="false">IFERROR(AB51/AB$5,0)</f>
        <v>0</v>
      </c>
      <c r="AE51" s="75" t="n">
        <f aca="false">SUMIFS('Dados Mov Financeira'!$N:$N,'Dados Mov Financeira'!$O:$O,'DRE 2020'!$B51,'Dados Mov Financeira'!$A:$A,'DRE 2020'!AE$1,'Dados Mov Financeira'!$B:$B,'DRE 2020'!AE$2)</f>
        <v>0</v>
      </c>
      <c r="AF51" s="91" t="n">
        <f aca="false">IFERROR(AE51/AE$5,0)</f>
        <v>0</v>
      </c>
      <c r="AH51" s="75" t="n">
        <f aca="false">SUMIFS('Dados Mov Financeira'!$N:$N,'Dados Mov Financeira'!$O:$O,'DRE 2020'!$B51,'Dados Mov Financeira'!$A:$A,'DRE 2020'!AH$1,'Dados Mov Financeira'!$B:$B,'DRE 2020'!AH$2)</f>
        <v>0</v>
      </c>
      <c r="AI51" s="91" t="n">
        <f aca="false">IFERROR(AH51/AH$5,0)</f>
        <v>0</v>
      </c>
      <c r="AK51" s="75" t="n">
        <f aca="false">SUMIFS('Dados Mov Financeira'!$N:$N,'Dados Mov Financeira'!$O:$O,'DRE 2020'!$B51,'Dados Mov Financeira'!$A:$A,'DRE 2020'!AK$1,'Dados Mov Financeira'!$B:$B,'DRE 2020'!AK$2)</f>
        <v>0</v>
      </c>
      <c r="AL51" s="91" t="n">
        <f aca="false">IFERROR(AK51/AK$5,0)</f>
        <v>0</v>
      </c>
      <c r="AN51" s="92" t="n">
        <f aca="false">SUM(D51,G51,J51,M51,P51,S51,V51,Y51,AB51,AE51,AH51,AK51)</f>
        <v>0</v>
      </c>
      <c r="AO51" s="91" t="n">
        <f aca="false">IFERROR(AN51/AN$5,0)</f>
        <v>0</v>
      </c>
      <c r="AQ51" s="93" t="n">
        <f aca="false">AN51/$AR$1</f>
        <v>0</v>
      </c>
      <c r="AR51" s="94" t="n">
        <f aca="false">IFERROR(AQ51/AQ$5,0)</f>
        <v>0</v>
      </c>
      <c r="AT51" s="111"/>
    </row>
    <row r="52" customFormat="false" ht="15.75" hidden="true" customHeight="true" outlineLevel="1" collapsed="false">
      <c r="B52" s="89" t="s">
        <v>73</v>
      </c>
      <c r="D52" s="75" t="n">
        <f aca="false">SUMIFS('Dados Mov Financeira'!$N:$N,'Dados Mov Financeira'!$O:$O,'DRE 2020'!$B52,'Dados Mov Financeira'!$A:$A,'DRE 2020'!D$1,'Dados Mov Financeira'!$B:$B,'DRE 2020'!D$2)</f>
        <v>0</v>
      </c>
      <c r="E52" s="91" t="n">
        <f aca="false">IFERROR(D52/D$5,0)</f>
        <v>0</v>
      </c>
      <c r="G52" s="75" t="n">
        <f aca="false">SUMIFS('Dados Mov Financeira'!$N:$N,'Dados Mov Financeira'!$O:$O,'DRE 2020'!$B52,'Dados Mov Financeira'!$A:$A,'DRE 2020'!G$1,'Dados Mov Financeira'!$B:$B,'DRE 2020'!G$2)</f>
        <v>0</v>
      </c>
      <c r="H52" s="91" t="n">
        <f aca="false">IFERROR(G52/G$5,0)</f>
        <v>0</v>
      </c>
      <c r="J52" s="75" t="n">
        <f aca="false">SUMIFS('Dados Mov Financeira'!$N:$N,'Dados Mov Financeira'!$O:$O,'DRE 2020'!$B52,'Dados Mov Financeira'!$A:$A,'DRE 2020'!J$1,'Dados Mov Financeira'!$B:$B,'DRE 2020'!J$2)</f>
        <v>0</v>
      </c>
      <c r="K52" s="91" t="n">
        <f aca="false">IFERROR(J52/J$5,0)</f>
        <v>0</v>
      </c>
      <c r="M52" s="75" t="n">
        <f aca="false">SUMIFS('Dados Mov Financeira'!$N:$N,'Dados Mov Financeira'!$O:$O,'DRE 2020'!$B52,'Dados Mov Financeira'!$A:$A,'DRE 2020'!M$1,'Dados Mov Financeira'!$B:$B,'DRE 2020'!M$2)</f>
        <v>0</v>
      </c>
      <c r="N52" s="91" t="n">
        <f aca="false">IFERROR(M52/M$5,0)</f>
        <v>0</v>
      </c>
      <c r="P52" s="75" t="n">
        <f aca="false">SUMIFS('Dados Mov Financeira'!$N:$N,'Dados Mov Financeira'!$O:$O,'DRE 2020'!$B52,'Dados Mov Financeira'!$A:$A,'DRE 2020'!P$1,'Dados Mov Financeira'!$B:$B,'DRE 2020'!P$2)</f>
        <v>0</v>
      </c>
      <c r="Q52" s="91" t="n">
        <f aca="false">IFERROR(P52/P$5,0)</f>
        <v>0</v>
      </c>
      <c r="S52" s="75" t="n">
        <f aca="false">SUMIFS('Dados Mov Financeira'!$N:$N,'Dados Mov Financeira'!$O:$O,'DRE 2020'!$B52,'Dados Mov Financeira'!$A:$A,'DRE 2020'!S$1,'Dados Mov Financeira'!$B:$B,'DRE 2020'!S$2)</f>
        <v>0</v>
      </c>
      <c r="T52" s="91" t="n">
        <f aca="false">IFERROR(S52/S$5,0)</f>
        <v>0</v>
      </c>
      <c r="V52" s="75" t="n">
        <f aca="false">SUMIFS('Dados Mov Financeira'!$N:$N,'Dados Mov Financeira'!$O:$O,'DRE 2020'!$B52,'Dados Mov Financeira'!$A:$A,'DRE 2020'!V$1,'Dados Mov Financeira'!$B:$B,'DRE 2020'!V$2)</f>
        <v>0</v>
      </c>
      <c r="W52" s="91" t="n">
        <f aca="false">IFERROR(V52/V$5,0)</f>
        <v>0</v>
      </c>
      <c r="Y52" s="75" t="n">
        <f aca="false">SUMIFS('Dados Mov Financeira'!$N:$N,'Dados Mov Financeira'!$O:$O,'DRE 2020'!$B52,'Dados Mov Financeira'!$A:$A,'DRE 2020'!Y$1,'Dados Mov Financeira'!$B:$B,'DRE 2020'!Y$2)</f>
        <v>0</v>
      </c>
      <c r="Z52" s="91" t="n">
        <f aca="false">IFERROR(Y52/Y$5,0)</f>
        <v>0</v>
      </c>
      <c r="AB52" s="75" t="n">
        <f aca="false">SUMIFS('Dados Mov Financeira'!$N:$N,'Dados Mov Financeira'!$O:$O,'DRE 2020'!$B52,'Dados Mov Financeira'!$A:$A,'DRE 2020'!AB$1,'Dados Mov Financeira'!$B:$B,'DRE 2020'!AB$2)</f>
        <v>0</v>
      </c>
      <c r="AC52" s="91" t="n">
        <f aca="false">IFERROR(AB52/AB$5,0)</f>
        <v>0</v>
      </c>
      <c r="AE52" s="75" t="n">
        <f aca="false">SUMIFS('Dados Mov Financeira'!$N:$N,'Dados Mov Financeira'!$O:$O,'DRE 2020'!$B52,'Dados Mov Financeira'!$A:$A,'DRE 2020'!AE$1,'Dados Mov Financeira'!$B:$B,'DRE 2020'!AE$2)</f>
        <v>0</v>
      </c>
      <c r="AF52" s="91" t="n">
        <f aca="false">IFERROR(AE52/AE$5,0)</f>
        <v>0</v>
      </c>
      <c r="AH52" s="75" t="n">
        <f aca="false">SUMIFS('Dados Mov Financeira'!$N:$N,'Dados Mov Financeira'!$O:$O,'DRE 2020'!$B52,'Dados Mov Financeira'!$A:$A,'DRE 2020'!AH$1,'Dados Mov Financeira'!$B:$B,'DRE 2020'!AH$2)</f>
        <v>0</v>
      </c>
      <c r="AI52" s="91" t="n">
        <f aca="false">IFERROR(AH52/AH$5,0)</f>
        <v>0</v>
      </c>
      <c r="AK52" s="75" t="n">
        <f aca="false">SUMIFS('Dados Mov Financeira'!$N:$N,'Dados Mov Financeira'!$O:$O,'DRE 2020'!$B52,'Dados Mov Financeira'!$A:$A,'DRE 2020'!AK$1,'Dados Mov Financeira'!$B:$B,'DRE 2020'!AK$2)</f>
        <v>0</v>
      </c>
      <c r="AL52" s="91" t="n">
        <f aca="false">IFERROR(AK52/AK$5,0)</f>
        <v>0</v>
      </c>
      <c r="AN52" s="92" t="n">
        <f aca="false">SUM(D52,G52,J52,M52,P52,S52,V52,Y52,AB52,AE52,AH52,AK52)</f>
        <v>0</v>
      </c>
      <c r="AO52" s="91" t="n">
        <f aca="false">IFERROR(AN52/AN$5,0)</f>
        <v>0</v>
      </c>
      <c r="AQ52" s="125" t="n">
        <f aca="false">AN52/$AR$1</f>
        <v>0</v>
      </c>
      <c r="AR52" s="94" t="n">
        <f aca="false">IFERROR(AQ52/AQ$5,0)</f>
        <v>0</v>
      </c>
      <c r="AT52" s="111"/>
    </row>
    <row r="53" customFormat="false" ht="15.75" hidden="true" customHeight="true" outlineLevel="1" collapsed="false">
      <c r="B53" s="89" t="s">
        <v>74</v>
      </c>
      <c r="D53" s="75" t="n">
        <f aca="false">SUMIFS('Dados Mov Financeira'!$N:$N,'Dados Mov Financeira'!$O:$O,'DRE 2020'!$B53,'Dados Mov Financeira'!$A:$A,'DRE 2020'!D$1,'Dados Mov Financeira'!$B:$B,'DRE 2020'!D$2)</f>
        <v>0</v>
      </c>
      <c r="E53" s="91" t="n">
        <f aca="false">IFERROR(D53/D$5,0)</f>
        <v>0</v>
      </c>
      <c r="G53" s="75" t="n">
        <f aca="false">SUMIFS('Dados Mov Financeira'!$N:$N,'Dados Mov Financeira'!$O:$O,'DRE 2020'!$B53,'Dados Mov Financeira'!$A:$A,'DRE 2020'!G$1,'Dados Mov Financeira'!$B:$B,'DRE 2020'!G$2)</f>
        <v>0</v>
      </c>
      <c r="H53" s="91" t="n">
        <f aca="false">IFERROR(G53/G$5,0)</f>
        <v>0</v>
      </c>
      <c r="J53" s="75" t="n">
        <f aca="false">SUMIFS('Dados Mov Financeira'!$N:$N,'Dados Mov Financeira'!$O:$O,'DRE 2020'!$B53,'Dados Mov Financeira'!$A:$A,'DRE 2020'!J$1,'Dados Mov Financeira'!$B:$B,'DRE 2020'!J$2)</f>
        <v>0</v>
      </c>
      <c r="K53" s="91" t="n">
        <f aca="false">IFERROR(J53/J$5,0)</f>
        <v>0</v>
      </c>
      <c r="M53" s="75" t="n">
        <f aca="false">SUMIFS('Dados Mov Financeira'!$N:$N,'Dados Mov Financeira'!$O:$O,'DRE 2020'!$B53,'Dados Mov Financeira'!$A:$A,'DRE 2020'!M$1,'Dados Mov Financeira'!$B:$B,'DRE 2020'!M$2)</f>
        <v>0</v>
      </c>
      <c r="N53" s="91" t="n">
        <f aca="false">IFERROR(M53/M$5,0)</f>
        <v>0</v>
      </c>
      <c r="P53" s="75" t="n">
        <f aca="false">SUMIFS('Dados Mov Financeira'!$N:$N,'Dados Mov Financeira'!$O:$O,'DRE 2020'!$B53,'Dados Mov Financeira'!$A:$A,'DRE 2020'!P$1,'Dados Mov Financeira'!$B:$B,'DRE 2020'!P$2)</f>
        <v>0</v>
      </c>
      <c r="Q53" s="91" t="n">
        <f aca="false">IFERROR(P53/P$5,0)</f>
        <v>0</v>
      </c>
      <c r="S53" s="75" t="n">
        <f aca="false">SUMIFS('Dados Mov Financeira'!$N:$N,'Dados Mov Financeira'!$O:$O,'DRE 2020'!$B53,'Dados Mov Financeira'!$A:$A,'DRE 2020'!S$1,'Dados Mov Financeira'!$B:$B,'DRE 2020'!S$2)</f>
        <v>0</v>
      </c>
      <c r="T53" s="91" t="n">
        <f aca="false">IFERROR(S53/S$5,0)</f>
        <v>0</v>
      </c>
      <c r="V53" s="75" t="n">
        <f aca="false">SUMIFS('Dados Mov Financeira'!$N:$N,'Dados Mov Financeira'!$O:$O,'DRE 2020'!$B53,'Dados Mov Financeira'!$A:$A,'DRE 2020'!V$1,'Dados Mov Financeira'!$B:$B,'DRE 2020'!V$2)</f>
        <v>0</v>
      </c>
      <c r="W53" s="91" t="n">
        <f aca="false">IFERROR(V53/V$5,0)</f>
        <v>0</v>
      </c>
      <c r="Y53" s="75" t="n">
        <f aca="false">SUMIFS('Dados Mov Financeira'!$N:$N,'Dados Mov Financeira'!$O:$O,'DRE 2020'!$B53,'Dados Mov Financeira'!$A:$A,'DRE 2020'!Y$1,'Dados Mov Financeira'!$B:$B,'DRE 2020'!Y$2)</f>
        <v>0</v>
      </c>
      <c r="Z53" s="91" t="n">
        <f aca="false">IFERROR(Y53/Y$5,0)</f>
        <v>0</v>
      </c>
      <c r="AB53" s="75" t="n">
        <f aca="false">SUMIFS('Dados Mov Financeira'!$N:$N,'Dados Mov Financeira'!$O:$O,'DRE 2020'!$B53,'Dados Mov Financeira'!$A:$A,'DRE 2020'!AB$1,'Dados Mov Financeira'!$B:$B,'DRE 2020'!AB$2)</f>
        <v>0</v>
      </c>
      <c r="AC53" s="91" t="n">
        <f aca="false">IFERROR(AB53/AB$5,0)</f>
        <v>0</v>
      </c>
      <c r="AE53" s="75" t="n">
        <f aca="false">SUMIFS('Dados Mov Financeira'!$N:$N,'Dados Mov Financeira'!$O:$O,'DRE 2020'!$B53,'Dados Mov Financeira'!$A:$A,'DRE 2020'!AE$1,'Dados Mov Financeira'!$B:$B,'DRE 2020'!AE$2)</f>
        <v>0</v>
      </c>
      <c r="AF53" s="91" t="n">
        <f aca="false">IFERROR(AE53/AE$5,0)</f>
        <v>0</v>
      </c>
      <c r="AH53" s="75" t="n">
        <f aca="false">SUMIFS('Dados Mov Financeira'!$N:$N,'Dados Mov Financeira'!$O:$O,'DRE 2020'!$B53,'Dados Mov Financeira'!$A:$A,'DRE 2020'!AH$1,'Dados Mov Financeira'!$B:$B,'DRE 2020'!AH$2)</f>
        <v>0</v>
      </c>
      <c r="AI53" s="91" t="n">
        <f aca="false">IFERROR(AH53/AH$5,0)</f>
        <v>0</v>
      </c>
      <c r="AK53" s="75" t="n">
        <f aca="false">SUMIFS('Dados Mov Financeira'!$N:$N,'Dados Mov Financeira'!$O:$O,'DRE 2020'!$B53,'Dados Mov Financeira'!$A:$A,'DRE 2020'!AK$1,'Dados Mov Financeira'!$B:$B,'DRE 2020'!AK$2)</f>
        <v>0</v>
      </c>
      <c r="AL53" s="91" t="n">
        <f aca="false">IFERROR(AK53/AK$5,0)</f>
        <v>0</v>
      </c>
      <c r="AN53" s="92" t="n">
        <f aca="false">SUM(D53,G53,J53,M53,P53,S53,V53,Y53,AB53,AE53,AH53,AK53)</f>
        <v>0</v>
      </c>
      <c r="AO53" s="91" t="n">
        <f aca="false">IFERROR(AN53/AN$5,0)</f>
        <v>0</v>
      </c>
      <c r="AQ53" s="93" t="n">
        <f aca="false">AN53/$AR$1</f>
        <v>0</v>
      </c>
      <c r="AR53" s="94" t="n">
        <f aca="false">IFERROR(AQ53/AQ$5,0)</f>
        <v>0</v>
      </c>
      <c r="AT53" s="111"/>
    </row>
    <row r="54" customFormat="false" ht="14.25" hidden="true" customHeight="false" outlineLevel="1" collapsed="false">
      <c r="B54" s="89" t="s">
        <v>75</v>
      </c>
      <c r="D54" s="75" t="n">
        <f aca="false">SUMIFS('Dados Mov Financeira'!$N:$N,'Dados Mov Financeira'!$O:$O,'DRE 2020'!$B54,'Dados Mov Financeira'!$A:$A,'DRE 2020'!D$1,'Dados Mov Financeira'!$B:$B,'DRE 2020'!D$2)</f>
        <v>0</v>
      </c>
      <c r="E54" s="91" t="n">
        <f aca="false">IFERROR(D54/D$5,0)</f>
        <v>0</v>
      </c>
      <c r="G54" s="75" t="n">
        <f aca="false">SUMIFS('Dados Mov Financeira'!$N:$N,'Dados Mov Financeira'!$O:$O,'DRE 2020'!$B54,'Dados Mov Financeira'!$A:$A,'DRE 2020'!G$1,'Dados Mov Financeira'!$B:$B,'DRE 2020'!G$2)</f>
        <v>0</v>
      </c>
      <c r="H54" s="91" t="n">
        <f aca="false">IFERROR(G54/G$5,0)</f>
        <v>0</v>
      </c>
      <c r="J54" s="75" t="n">
        <f aca="false">SUMIFS('Dados Mov Financeira'!$N:$N,'Dados Mov Financeira'!$O:$O,'DRE 2020'!$B54,'Dados Mov Financeira'!$A:$A,'DRE 2020'!J$1,'Dados Mov Financeira'!$B:$B,'DRE 2020'!J$2)</f>
        <v>0</v>
      </c>
      <c r="K54" s="91" t="n">
        <f aca="false">IFERROR(J54/J$5,0)</f>
        <v>0</v>
      </c>
      <c r="M54" s="75" t="n">
        <f aca="false">SUMIFS('Dados Mov Financeira'!$N:$N,'Dados Mov Financeira'!$O:$O,'DRE 2020'!$B54,'Dados Mov Financeira'!$A:$A,'DRE 2020'!M$1,'Dados Mov Financeira'!$B:$B,'DRE 2020'!M$2)</f>
        <v>0</v>
      </c>
      <c r="N54" s="91" t="n">
        <f aca="false">IFERROR(M54/M$5,0)</f>
        <v>0</v>
      </c>
      <c r="P54" s="75" t="n">
        <f aca="false">SUMIFS('Dados Mov Financeira'!$N:$N,'Dados Mov Financeira'!$O:$O,'DRE 2020'!$B54,'Dados Mov Financeira'!$A:$A,'DRE 2020'!P$1,'Dados Mov Financeira'!$B:$B,'DRE 2020'!P$2)</f>
        <v>0</v>
      </c>
      <c r="Q54" s="91" t="n">
        <f aca="false">IFERROR(P54/P$5,0)</f>
        <v>0</v>
      </c>
      <c r="S54" s="75" t="n">
        <f aca="false">SUMIFS('Dados Mov Financeira'!$N:$N,'Dados Mov Financeira'!$O:$O,'DRE 2020'!$B54,'Dados Mov Financeira'!$A:$A,'DRE 2020'!S$1,'Dados Mov Financeira'!$B:$B,'DRE 2020'!S$2)</f>
        <v>0</v>
      </c>
      <c r="T54" s="91" t="n">
        <f aca="false">IFERROR(S54/S$5,0)</f>
        <v>0</v>
      </c>
      <c r="V54" s="75" t="n">
        <f aca="false">SUMIFS('Dados Mov Financeira'!$N:$N,'Dados Mov Financeira'!$O:$O,'DRE 2020'!$B54,'Dados Mov Financeira'!$A:$A,'DRE 2020'!V$1,'Dados Mov Financeira'!$B:$B,'DRE 2020'!V$2)</f>
        <v>0</v>
      </c>
      <c r="W54" s="91" t="n">
        <f aca="false">IFERROR(V54/V$5,0)</f>
        <v>0</v>
      </c>
      <c r="Y54" s="75" t="n">
        <f aca="false">SUMIFS('Dados Mov Financeira'!$N:$N,'Dados Mov Financeira'!$O:$O,'DRE 2020'!$B54,'Dados Mov Financeira'!$A:$A,'DRE 2020'!Y$1,'Dados Mov Financeira'!$B:$B,'DRE 2020'!Y$2)</f>
        <v>0</v>
      </c>
      <c r="Z54" s="91" t="n">
        <f aca="false">IFERROR(Y54/Y$5,0)</f>
        <v>0</v>
      </c>
      <c r="AB54" s="75" t="n">
        <f aca="false">SUMIFS('Dados Mov Financeira'!$N:$N,'Dados Mov Financeira'!$O:$O,'DRE 2020'!$B54,'Dados Mov Financeira'!$A:$A,'DRE 2020'!AB$1,'Dados Mov Financeira'!$B:$B,'DRE 2020'!AB$2)</f>
        <v>0</v>
      </c>
      <c r="AC54" s="91" t="n">
        <f aca="false">IFERROR(AB54/AB$5,0)</f>
        <v>0</v>
      </c>
      <c r="AE54" s="75" t="n">
        <f aca="false">SUMIFS('Dados Mov Financeira'!$N:$N,'Dados Mov Financeira'!$O:$O,'DRE 2020'!$B54,'Dados Mov Financeira'!$A:$A,'DRE 2020'!AE$1,'Dados Mov Financeira'!$B:$B,'DRE 2020'!AE$2)</f>
        <v>0</v>
      </c>
      <c r="AF54" s="91" t="n">
        <f aca="false">IFERROR(AE54/AE$5,0)</f>
        <v>0</v>
      </c>
      <c r="AH54" s="75" t="n">
        <f aca="false">SUMIFS('Dados Mov Financeira'!$N:$N,'Dados Mov Financeira'!$O:$O,'DRE 2020'!$B54,'Dados Mov Financeira'!$A:$A,'DRE 2020'!AH$1,'Dados Mov Financeira'!$B:$B,'DRE 2020'!AH$2)</f>
        <v>0</v>
      </c>
      <c r="AI54" s="91" t="n">
        <f aca="false">IFERROR(AH54/AH$5,0)</f>
        <v>0</v>
      </c>
      <c r="AK54" s="75" t="n">
        <f aca="false">SUMIFS('Dados Mov Financeira'!$N:$N,'Dados Mov Financeira'!$O:$O,'DRE 2020'!$B54,'Dados Mov Financeira'!$A:$A,'DRE 2020'!AK$1,'Dados Mov Financeira'!$B:$B,'DRE 2020'!AK$2)</f>
        <v>0</v>
      </c>
      <c r="AL54" s="91" t="n">
        <f aca="false">IFERROR(AK54/AK$5,0)</f>
        <v>0</v>
      </c>
      <c r="AN54" s="92" t="n">
        <f aca="false">SUM(D54,G54,J54,M54,P54,S54,V54,Y54,AB54,AE54,AH54,AK54)</f>
        <v>0</v>
      </c>
      <c r="AO54" s="91" t="n">
        <f aca="false">IFERROR(AN54/AN$5,0)</f>
        <v>0</v>
      </c>
      <c r="AQ54" s="93" t="n">
        <f aca="false">AN54/$AR$1</f>
        <v>0</v>
      </c>
      <c r="AR54" s="94" t="n">
        <f aca="false">IFERROR(AQ54/AQ$5,0)</f>
        <v>0</v>
      </c>
      <c r="AT54" s="111"/>
    </row>
    <row r="55" customFormat="false" ht="15.75" hidden="true" customHeight="true" outlineLevel="1" collapsed="false">
      <c r="B55" s="89" t="s">
        <v>76</v>
      </c>
      <c r="D55" s="75" t="n">
        <f aca="false">SUMIFS('Dados Mov Financeira'!$N:$N,'Dados Mov Financeira'!$O:$O,'DRE 2020'!$B55,'Dados Mov Financeira'!$A:$A,'DRE 2020'!D$1,'Dados Mov Financeira'!$B:$B,'DRE 2020'!D$2)</f>
        <v>0</v>
      </c>
      <c r="E55" s="91" t="n">
        <f aca="false">IFERROR(D55/D$5,0)</f>
        <v>0</v>
      </c>
      <c r="G55" s="75" t="n">
        <f aca="false">SUMIFS('Dados Mov Financeira'!$N:$N,'Dados Mov Financeira'!$O:$O,'DRE 2020'!$B55,'Dados Mov Financeira'!$A:$A,'DRE 2020'!G$1,'Dados Mov Financeira'!$B:$B,'DRE 2020'!G$2)</f>
        <v>0</v>
      </c>
      <c r="H55" s="91" t="n">
        <f aca="false">IFERROR(G55/G$5,0)</f>
        <v>0</v>
      </c>
      <c r="J55" s="75" t="n">
        <f aca="false">SUMIFS('Dados Mov Financeira'!$N:$N,'Dados Mov Financeira'!$O:$O,'DRE 2020'!$B55,'Dados Mov Financeira'!$A:$A,'DRE 2020'!J$1,'Dados Mov Financeira'!$B:$B,'DRE 2020'!J$2)</f>
        <v>0</v>
      </c>
      <c r="K55" s="91" t="n">
        <f aca="false">IFERROR(J55/J$5,0)</f>
        <v>0</v>
      </c>
      <c r="M55" s="75" t="n">
        <f aca="false">SUMIFS('Dados Mov Financeira'!$N:$N,'Dados Mov Financeira'!$O:$O,'DRE 2020'!$B55,'Dados Mov Financeira'!$A:$A,'DRE 2020'!M$1,'Dados Mov Financeira'!$B:$B,'DRE 2020'!M$2)</f>
        <v>0</v>
      </c>
      <c r="N55" s="91" t="n">
        <f aca="false">IFERROR(M55/M$5,0)</f>
        <v>0</v>
      </c>
      <c r="P55" s="75" t="n">
        <f aca="false">SUMIFS('Dados Mov Financeira'!$N:$N,'Dados Mov Financeira'!$O:$O,'DRE 2020'!$B55,'Dados Mov Financeira'!$A:$A,'DRE 2020'!P$1,'Dados Mov Financeira'!$B:$B,'DRE 2020'!P$2)</f>
        <v>0</v>
      </c>
      <c r="Q55" s="91" t="n">
        <f aca="false">IFERROR(P55/P$5,0)</f>
        <v>0</v>
      </c>
      <c r="S55" s="75" t="n">
        <f aca="false">SUMIFS('Dados Mov Financeira'!$N:$N,'Dados Mov Financeira'!$O:$O,'DRE 2020'!$B55,'Dados Mov Financeira'!$A:$A,'DRE 2020'!S$1,'Dados Mov Financeira'!$B:$B,'DRE 2020'!S$2)</f>
        <v>0</v>
      </c>
      <c r="T55" s="91" t="n">
        <f aca="false">IFERROR(S55/S$5,0)</f>
        <v>0</v>
      </c>
      <c r="V55" s="75" t="n">
        <f aca="false">SUMIFS('Dados Mov Financeira'!$N:$N,'Dados Mov Financeira'!$O:$O,'DRE 2020'!$B55,'Dados Mov Financeira'!$A:$A,'DRE 2020'!V$1,'Dados Mov Financeira'!$B:$B,'DRE 2020'!V$2)</f>
        <v>0</v>
      </c>
      <c r="W55" s="91" t="n">
        <f aca="false">IFERROR(V55/V$5,0)</f>
        <v>0</v>
      </c>
      <c r="Y55" s="75" t="n">
        <f aca="false">SUMIFS('Dados Mov Financeira'!$N:$N,'Dados Mov Financeira'!$O:$O,'DRE 2020'!$B55,'Dados Mov Financeira'!$A:$A,'DRE 2020'!Y$1,'Dados Mov Financeira'!$B:$B,'DRE 2020'!Y$2)</f>
        <v>0</v>
      </c>
      <c r="Z55" s="91" t="n">
        <f aca="false">IFERROR(Y55/Y$5,0)</f>
        <v>0</v>
      </c>
      <c r="AB55" s="75" t="n">
        <f aca="false">SUMIFS('Dados Mov Financeira'!$N:$N,'Dados Mov Financeira'!$O:$O,'DRE 2020'!$B55,'Dados Mov Financeira'!$A:$A,'DRE 2020'!AB$1,'Dados Mov Financeira'!$B:$B,'DRE 2020'!AB$2)</f>
        <v>0</v>
      </c>
      <c r="AC55" s="91" t="n">
        <f aca="false">IFERROR(AB55/AB$5,0)</f>
        <v>0</v>
      </c>
      <c r="AE55" s="75" t="n">
        <f aca="false">SUMIFS('Dados Mov Financeira'!$N:$N,'Dados Mov Financeira'!$O:$O,'DRE 2020'!$B55,'Dados Mov Financeira'!$A:$A,'DRE 2020'!AE$1,'Dados Mov Financeira'!$B:$B,'DRE 2020'!AE$2)</f>
        <v>0</v>
      </c>
      <c r="AF55" s="91" t="n">
        <f aca="false">IFERROR(AE55/AE$5,0)</f>
        <v>0</v>
      </c>
      <c r="AH55" s="75" t="n">
        <f aca="false">SUMIFS('Dados Mov Financeira'!$N:$N,'Dados Mov Financeira'!$O:$O,'DRE 2020'!$B55,'Dados Mov Financeira'!$A:$A,'DRE 2020'!AH$1,'Dados Mov Financeira'!$B:$B,'DRE 2020'!AH$2)</f>
        <v>0</v>
      </c>
      <c r="AI55" s="91" t="n">
        <f aca="false">IFERROR(AH55/AH$5,0)</f>
        <v>0</v>
      </c>
      <c r="AK55" s="75" t="n">
        <f aca="false">SUMIFS('Dados Mov Financeira'!$N:$N,'Dados Mov Financeira'!$O:$O,'DRE 2020'!$B55,'Dados Mov Financeira'!$A:$A,'DRE 2020'!AK$1,'Dados Mov Financeira'!$B:$B,'DRE 2020'!AK$2)</f>
        <v>0</v>
      </c>
      <c r="AL55" s="91" t="n">
        <f aca="false">IFERROR(AK55/AK$5,0)</f>
        <v>0</v>
      </c>
      <c r="AN55" s="92" t="n">
        <f aca="false">SUM(D55,G55,J55,M55,P55,S55,V55,Y55,AB55,AE55,AH55,AK55)</f>
        <v>0</v>
      </c>
      <c r="AO55" s="91" t="n">
        <f aca="false">IFERROR(AN55/AN$5,0)</f>
        <v>0</v>
      </c>
      <c r="AQ55" s="93" t="n">
        <f aca="false">AN55/$AR$1</f>
        <v>0</v>
      </c>
      <c r="AR55" s="94" t="n">
        <f aca="false">IFERROR(AQ55/AQ$5,0)</f>
        <v>0</v>
      </c>
      <c r="AT55" s="111"/>
    </row>
    <row r="56" customFormat="false" ht="15.75" hidden="true" customHeight="true" outlineLevel="1" collapsed="false">
      <c r="B56" s="89" t="s">
        <v>77</v>
      </c>
      <c r="D56" s="75" t="n">
        <f aca="false">SUMIFS('Dados Mov Financeira'!$N:$N,'Dados Mov Financeira'!$O:$O,'DRE 2020'!$B56,'Dados Mov Financeira'!$A:$A,'DRE 2020'!D$1,'Dados Mov Financeira'!$B:$B,'DRE 2020'!D$2)</f>
        <v>0</v>
      </c>
      <c r="E56" s="91" t="n">
        <f aca="false">IFERROR(D56/D$5,0)</f>
        <v>0</v>
      </c>
      <c r="G56" s="75" t="n">
        <f aca="false">SUMIFS('Dados Mov Financeira'!$N:$N,'Dados Mov Financeira'!$O:$O,'DRE 2020'!$B56,'Dados Mov Financeira'!$A:$A,'DRE 2020'!G$1,'Dados Mov Financeira'!$B:$B,'DRE 2020'!G$2)</f>
        <v>0</v>
      </c>
      <c r="H56" s="91" t="n">
        <f aca="false">IFERROR(G56/G$5,0)</f>
        <v>0</v>
      </c>
      <c r="J56" s="75" t="n">
        <f aca="false">SUMIFS('Dados Mov Financeira'!$N:$N,'Dados Mov Financeira'!$O:$O,'DRE 2020'!$B56,'Dados Mov Financeira'!$A:$A,'DRE 2020'!J$1,'Dados Mov Financeira'!$B:$B,'DRE 2020'!J$2)</f>
        <v>0</v>
      </c>
      <c r="K56" s="91" t="n">
        <f aca="false">IFERROR(J56/J$5,0)</f>
        <v>0</v>
      </c>
      <c r="M56" s="75" t="n">
        <f aca="false">SUMIFS('Dados Mov Financeira'!$N:$N,'Dados Mov Financeira'!$O:$O,'DRE 2020'!$B56,'Dados Mov Financeira'!$A:$A,'DRE 2020'!M$1,'Dados Mov Financeira'!$B:$B,'DRE 2020'!M$2)</f>
        <v>0</v>
      </c>
      <c r="N56" s="91" t="n">
        <f aca="false">IFERROR(M56/M$5,0)</f>
        <v>0</v>
      </c>
      <c r="P56" s="75" t="n">
        <f aca="false">SUMIFS('Dados Mov Financeira'!$N:$N,'Dados Mov Financeira'!$O:$O,'DRE 2020'!$B56,'Dados Mov Financeira'!$A:$A,'DRE 2020'!P$1,'Dados Mov Financeira'!$B:$B,'DRE 2020'!P$2)</f>
        <v>0</v>
      </c>
      <c r="Q56" s="91" t="n">
        <f aca="false">IFERROR(P56/P$5,0)</f>
        <v>0</v>
      </c>
      <c r="S56" s="75" t="n">
        <f aca="false">SUMIFS('Dados Mov Financeira'!$N:$N,'Dados Mov Financeira'!$O:$O,'DRE 2020'!$B56,'Dados Mov Financeira'!$A:$A,'DRE 2020'!S$1,'Dados Mov Financeira'!$B:$B,'DRE 2020'!S$2)</f>
        <v>0</v>
      </c>
      <c r="T56" s="91" t="n">
        <f aca="false">IFERROR(S56/S$5,0)</f>
        <v>0</v>
      </c>
      <c r="V56" s="75" t="n">
        <f aca="false">SUMIFS('Dados Mov Financeira'!$N:$N,'Dados Mov Financeira'!$O:$O,'DRE 2020'!$B56,'Dados Mov Financeira'!$A:$A,'DRE 2020'!V$1,'Dados Mov Financeira'!$B:$B,'DRE 2020'!V$2)</f>
        <v>0</v>
      </c>
      <c r="W56" s="91" t="n">
        <f aca="false">IFERROR(V56/V$5,0)</f>
        <v>0</v>
      </c>
      <c r="Y56" s="75" t="n">
        <f aca="false">SUMIFS('Dados Mov Financeira'!$N:$N,'Dados Mov Financeira'!$O:$O,'DRE 2020'!$B56,'Dados Mov Financeira'!$A:$A,'DRE 2020'!Y$1,'Dados Mov Financeira'!$B:$B,'DRE 2020'!Y$2)</f>
        <v>0</v>
      </c>
      <c r="Z56" s="91" t="n">
        <f aca="false">IFERROR(Y56/Y$5,0)</f>
        <v>0</v>
      </c>
      <c r="AB56" s="75" t="n">
        <f aca="false">SUMIFS('Dados Mov Financeira'!$N:$N,'Dados Mov Financeira'!$O:$O,'DRE 2020'!$B56,'Dados Mov Financeira'!$A:$A,'DRE 2020'!AB$1,'Dados Mov Financeira'!$B:$B,'DRE 2020'!AB$2)</f>
        <v>0</v>
      </c>
      <c r="AC56" s="91" t="n">
        <f aca="false">IFERROR(AB56/AB$5,0)</f>
        <v>0</v>
      </c>
      <c r="AE56" s="75" t="n">
        <f aca="false">SUMIFS('Dados Mov Financeira'!$N:$N,'Dados Mov Financeira'!$O:$O,'DRE 2020'!$B56,'Dados Mov Financeira'!$A:$A,'DRE 2020'!AE$1,'Dados Mov Financeira'!$B:$B,'DRE 2020'!AE$2)</f>
        <v>0</v>
      </c>
      <c r="AF56" s="91" t="n">
        <f aca="false">IFERROR(AE56/AE$5,0)</f>
        <v>0</v>
      </c>
      <c r="AH56" s="75" t="n">
        <f aca="false">SUMIFS('Dados Mov Financeira'!$N:$N,'Dados Mov Financeira'!$O:$O,'DRE 2020'!$B56,'Dados Mov Financeira'!$A:$A,'DRE 2020'!AH$1,'Dados Mov Financeira'!$B:$B,'DRE 2020'!AH$2)</f>
        <v>0</v>
      </c>
      <c r="AI56" s="91" t="n">
        <f aca="false">IFERROR(AH56/AH$5,0)</f>
        <v>0</v>
      </c>
      <c r="AK56" s="75" t="n">
        <f aca="false">SUMIFS('Dados Mov Financeira'!$N:$N,'Dados Mov Financeira'!$O:$O,'DRE 2020'!$B56,'Dados Mov Financeira'!$A:$A,'DRE 2020'!AK$1,'Dados Mov Financeira'!$B:$B,'DRE 2020'!AK$2)</f>
        <v>0</v>
      </c>
      <c r="AL56" s="91" t="n">
        <f aca="false">IFERROR(AK56/AK$5,0)</f>
        <v>0</v>
      </c>
      <c r="AN56" s="92" t="n">
        <f aca="false">SUM(D56,G56,J56,M56,P56,S56,V56,Y56,AB56,AE56,AH56,AK56)</f>
        <v>0</v>
      </c>
      <c r="AO56" s="91" t="n">
        <f aca="false">IFERROR(AN56/AN$5,0)</f>
        <v>0</v>
      </c>
      <c r="AQ56" s="93" t="n">
        <f aca="false">AN56/$AR$1</f>
        <v>0</v>
      </c>
      <c r="AR56" s="94" t="n">
        <f aca="false">IFERROR(AQ56/AQ$5,0)</f>
        <v>0</v>
      </c>
      <c r="AT56" s="111"/>
    </row>
    <row r="57" customFormat="false" ht="15.75" hidden="true" customHeight="true" outlineLevel="1" collapsed="false">
      <c r="B57" s="89" t="s">
        <v>78</v>
      </c>
      <c r="D57" s="75" t="n">
        <f aca="false">SUMIFS('Dados Mov Financeira'!$N:$N,'Dados Mov Financeira'!$O:$O,'DRE 2020'!$B57,'Dados Mov Financeira'!$A:$A,'DRE 2020'!D$1,'Dados Mov Financeira'!$B:$B,'DRE 2020'!D$2)</f>
        <v>0</v>
      </c>
      <c r="E57" s="91" t="n">
        <f aca="false">IFERROR(D57/D$5,0)</f>
        <v>0</v>
      </c>
      <c r="G57" s="75" t="n">
        <f aca="false">SUMIFS('Dados Mov Financeira'!$N:$N,'Dados Mov Financeira'!$O:$O,'DRE 2020'!$B57,'Dados Mov Financeira'!$A:$A,'DRE 2020'!G$1,'Dados Mov Financeira'!$B:$B,'DRE 2020'!G$2)</f>
        <v>0</v>
      </c>
      <c r="H57" s="91" t="n">
        <f aca="false">IFERROR(G57/G$5,0)</f>
        <v>0</v>
      </c>
      <c r="J57" s="75" t="n">
        <f aca="false">SUMIFS('Dados Mov Financeira'!$N:$N,'Dados Mov Financeira'!$O:$O,'DRE 2020'!$B57,'Dados Mov Financeira'!$A:$A,'DRE 2020'!J$1,'Dados Mov Financeira'!$B:$B,'DRE 2020'!J$2)</f>
        <v>0</v>
      </c>
      <c r="K57" s="91" t="n">
        <f aca="false">IFERROR(J57/J$5,0)</f>
        <v>0</v>
      </c>
      <c r="M57" s="75" t="n">
        <f aca="false">SUMIFS('Dados Mov Financeira'!$N:$N,'Dados Mov Financeira'!$O:$O,'DRE 2020'!$B57,'Dados Mov Financeira'!$A:$A,'DRE 2020'!M$1,'Dados Mov Financeira'!$B:$B,'DRE 2020'!M$2)</f>
        <v>0</v>
      </c>
      <c r="N57" s="91" t="n">
        <f aca="false">IFERROR(M57/M$5,0)</f>
        <v>0</v>
      </c>
      <c r="P57" s="75" t="n">
        <f aca="false">SUMIFS('Dados Mov Financeira'!$N:$N,'Dados Mov Financeira'!$O:$O,'DRE 2020'!$B57,'Dados Mov Financeira'!$A:$A,'DRE 2020'!P$1,'Dados Mov Financeira'!$B:$B,'DRE 2020'!P$2)</f>
        <v>0</v>
      </c>
      <c r="Q57" s="91" t="n">
        <f aca="false">IFERROR(P57/P$5,0)</f>
        <v>0</v>
      </c>
      <c r="S57" s="75" t="n">
        <f aca="false">SUMIFS('Dados Mov Financeira'!$N:$N,'Dados Mov Financeira'!$O:$O,'DRE 2020'!$B57,'Dados Mov Financeira'!$A:$A,'DRE 2020'!S$1,'Dados Mov Financeira'!$B:$B,'DRE 2020'!S$2)</f>
        <v>0</v>
      </c>
      <c r="T57" s="91" t="n">
        <f aca="false">IFERROR(S57/S$5,0)</f>
        <v>0</v>
      </c>
      <c r="V57" s="75" t="n">
        <f aca="false">SUMIFS('Dados Mov Financeira'!$N:$N,'Dados Mov Financeira'!$O:$O,'DRE 2020'!$B57,'Dados Mov Financeira'!$A:$A,'DRE 2020'!V$1,'Dados Mov Financeira'!$B:$B,'DRE 2020'!V$2)</f>
        <v>0</v>
      </c>
      <c r="W57" s="91" t="n">
        <f aca="false">IFERROR(V57/V$5,0)</f>
        <v>0</v>
      </c>
      <c r="Y57" s="75" t="n">
        <f aca="false">SUMIFS('Dados Mov Financeira'!$N:$N,'Dados Mov Financeira'!$O:$O,'DRE 2020'!$B57,'Dados Mov Financeira'!$A:$A,'DRE 2020'!Y$1,'Dados Mov Financeira'!$B:$B,'DRE 2020'!Y$2)</f>
        <v>0</v>
      </c>
      <c r="Z57" s="91" t="n">
        <f aca="false">IFERROR(Y57/Y$5,0)</f>
        <v>0</v>
      </c>
      <c r="AB57" s="75" t="n">
        <f aca="false">SUMIFS('Dados Mov Financeira'!$N:$N,'Dados Mov Financeira'!$O:$O,'DRE 2020'!$B57,'Dados Mov Financeira'!$A:$A,'DRE 2020'!AB$1,'Dados Mov Financeira'!$B:$B,'DRE 2020'!AB$2)</f>
        <v>0</v>
      </c>
      <c r="AC57" s="91" t="n">
        <f aca="false">IFERROR(AB57/AB$5,0)</f>
        <v>0</v>
      </c>
      <c r="AE57" s="75" t="n">
        <f aca="false">SUMIFS('Dados Mov Financeira'!$N:$N,'Dados Mov Financeira'!$O:$O,'DRE 2020'!$B57,'Dados Mov Financeira'!$A:$A,'DRE 2020'!AE$1,'Dados Mov Financeira'!$B:$B,'DRE 2020'!AE$2)</f>
        <v>0</v>
      </c>
      <c r="AF57" s="91" t="n">
        <f aca="false">IFERROR(AE57/AE$5,0)</f>
        <v>0</v>
      </c>
      <c r="AH57" s="75" t="n">
        <f aca="false">SUMIFS('Dados Mov Financeira'!$N:$N,'Dados Mov Financeira'!$O:$O,'DRE 2020'!$B57,'Dados Mov Financeira'!$A:$A,'DRE 2020'!AH$1,'Dados Mov Financeira'!$B:$B,'DRE 2020'!AH$2)</f>
        <v>0</v>
      </c>
      <c r="AI57" s="91" t="n">
        <f aca="false">IFERROR(AH57/AH$5,0)</f>
        <v>0</v>
      </c>
      <c r="AK57" s="75" t="n">
        <f aca="false">SUMIFS('Dados Mov Financeira'!$N:$N,'Dados Mov Financeira'!$O:$O,'DRE 2020'!$B57,'Dados Mov Financeira'!$A:$A,'DRE 2020'!AK$1,'Dados Mov Financeira'!$B:$B,'DRE 2020'!AK$2)</f>
        <v>0</v>
      </c>
      <c r="AL57" s="91" t="n">
        <f aca="false">IFERROR(AK57/AK$5,0)</f>
        <v>0</v>
      </c>
      <c r="AN57" s="92" t="n">
        <f aca="false">SUM(D57,G57,J57,M57,P57,S57,V57,Y57,AB57,AE57,AH57,AK57)</f>
        <v>0</v>
      </c>
      <c r="AO57" s="91" t="n">
        <f aca="false">IFERROR(AN57/AN$5,0)</f>
        <v>0</v>
      </c>
      <c r="AQ57" s="93" t="n">
        <f aca="false">AN57/$AR$1</f>
        <v>0</v>
      </c>
      <c r="AR57" s="94" t="n">
        <f aca="false">IFERROR(AQ57/AQ$5,0)</f>
        <v>0</v>
      </c>
      <c r="AT57" s="111"/>
    </row>
    <row r="58" customFormat="false" ht="14.25" hidden="true" customHeight="false" outlineLevel="1" collapsed="false">
      <c r="B58" s="89" t="s">
        <v>79</v>
      </c>
      <c r="D58" s="75" t="n">
        <f aca="false">SUMIFS('Dados Mov Financeira'!$N:$N,'Dados Mov Financeira'!$O:$O,'DRE 2020'!$B58,'Dados Mov Financeira'!$A:$A,'DRE 2020'!D$1,'Dados Mov Financeira'!$B:$B,'DRE 2020'!D$2)</f>
        <v>0</v>
      </c>
      <c r="E58" s="91" t="n">
        <f aca="false">IFERROR(D58/D$5,0)</f>
        <v>0</v>
      </c>
      <c r="G58" s="75" t="n">
        <f aca="false">SUMIFS('Dados Mov Financeira'!$N:$N,'Dados Mov Financeira'!$O:$O,'DRE 2020'!$B58,'Dados Mov Financeira'!$A:$A,'DRE 2020'!G$1,'Dados Mov Financeira'!$B:$B,'DRE 2020'!G$2)</f>
        <v>0</v>
      </c>
      <c r="H58" s="91" t="n">
        <f aca="false">IFERROR(G58/G$5,0)</f>
        <v>0</v>
      </c>
      <c r="J58" s="75" t="n">
        <f aca="false">SUMIFS('Dados Mov Financeira'!$N:$N,'Dados Mov Financeira'!$O:$O,'DRE 2020'!$B58,'Dados Mov Financeira'!$A:$A,'DRE 2020'!J$1,'Dados Mov Financeira'!$B:$B,'DRE 2020'!J$2)</f>
        <v>0</v>
      </c>
      <c r="K58" s="91" t="n">
        <f aca="false">IFERROR(J58/J$5,0)</f>
        <v>0</v>
      </c>
      <c r="M58" s="75" t="n">
        <f aca="false">SUMIFS('Dados Mov Financeira'!$N:$N,'Dados Mov Financeira'!$O:$O,'DRE 2020'!$B58,'Dados Mov Financeira'!$A:$A,'DRE 2020'!M$1,'Dados Mov Financeira'!$B:$B,'DRE 2020'!M$2)</f>
        <v>0</v>
      </c>
      <c r="N58" s="91" t="n">
        <f aca="false">IFERROR(M58/M$5,0)</f>
        <v>0</v>
      </c>
      <c r="P58" s="75" t="n">
        <f aca="false">SUMIFS('Dados Mov Financeira'!$N:$N,'Dados Mov Financeira'!$O:$O,'DRE 2020'!$B58,'Dados Mov Financeira'!$A:$A,'DRE 2020'!P$1,'Dados Mov Financeira'!$B:$B,'DRE 2020'!P$2)</f>
        <v>0</v>
      </c>
      <c r="Q58" s="91" t="n">
        <f aca="false">IFERROR(P58/P$5,0)</f>
        <v>0</v>
      </c>
      <c r="S58" s="75" t="n">
        <f aca="false">SUMIFS('Dados Mov Financeira'!$N:$N,'Dados Mov Financeira'!$O:$O,'DRE 2020'!$B58,'Dados Mov Financeira'!$A:$A,'DRE 2020'!S$1,'Dados Mov Financeira'!$B:$B,'DRE 2020'!S$2)</f>
        <v>0</v>
      </c>
      <c r="T58" s="91" t="n">
        <f aca="false">IFERROR(S58/S$5,0)</f>
        <v>0</v>
      </c>
      <c r="V58" s="75" t="n">
        <f aca="false">SUMIFS('Dados Mov Financeira'!$N:$N,'Dados Mov Financeira'!$O:$O,'DRE 2020'!$B58,'Dados Mov Financeira'!$A:$A,'DRE 2020'!V$1,'Dados Mov Financeira'!$B:$B,'DRE 2020'!V$2)</f>
        <v>0</v>
      </c>
      <c r="W58" s="91" t="n">
        <f aca="false">IFERROR(V58/V$5,0)</f>
        <v>0</v>
      </c>
      <c r="Y58" s="75" t="n">
        <f aca="false">SUMIFS('Dados Mov Financeira'!$N:$N,'Dados Mov Financeira'!$O:$O,'DRE 2020'!$B58,'Dados Mov Financeira'!$A:$A,'DRE 2020'!Y$1,'Dados Mov Financeira'!$B:$B,'DRE 2020'!Y$2)</f>
        <v>0</v>
      </c>
      <c r="Z58" s="91" t="n">
        <f aca="false">IFERROR(Y58/Y$5,0)</f>
        <v>0</v>
      </c>
      <c r="AB58" s="75" t="n">
        <f aca="false">SUMIFS('Dados Mov Financeira'!$N:$N,'Dados Mov Financeira'!$O:$O,'DRE 2020'!$B58,'Dados Mov Financeira'!$A:$A,'DRE 2020'!AB$1,'Dados Mov Financeira'!$B:$B,'DRE 2020'!AB$2)</f>
        <v>0</v>
      </c>
      <c r="AC58" s="91" t="n">
        <f aca="false">IFERROR(AB58/AB$5,0)</f>
        <v>0</v>
      </c>
      <c r="AE58" s="75" t="n">
        <f aca="false">SUMIFS('Dados Mov Financeira'!$N:$N,'Dados Mov Financeira'!$O:$O,'DRE 2020'!$B58,'Dados Mov Financeira'!$A:$A,'DRE 2020'!AE$1,'Dados Mov Financeira'!$B:$B,'DRE 2020'!AE$2)</f>
        <v>0</v>
      </c>
      <c r="AF58" s="91" t="n">
        <f aca="false">IFERROR(AE58/AE$5,0)</f>
        <v>0</v>
      </c>
      <c r="AH58" s="75" t="n">
        <f aca="false">SUMIFS('Dados Mov Financeira'!$N:$N,'Dados Mov Financeira'!$O:$O,'DRE 2020'!$B58,'Dados Mov Financeira'!$A:$A,'DRE 2020'!AH$1,'Dados Mov Financeira'!$B:$B,'DRE 2020'!AH$2)</f>
        <v>0</v>
      </c>
      <c r="AI58" s="91" t="n">
        <f aca="false">IFERROR(AH58/AH$5,0)</f>
        <v>0</v>
      </c>
      <c r="AK58" s="75" t="n">
        <f aca="false">SUMIFS('Dados Mov Financeira'!$N:$N,'Dados Mov Financeira'!$O:$O,'DRE 2020'!$B58,'Dados Mov Financeira'!$A:$A,'DRE 2020'!AK$1,'Dados Mov Financeira'!$B:$B,'DRE 2020'!AK$2)</f>
        <v>0</v>
      </c>
      <c r="AL58" s="91" t="n">
        <f aca="false">IFERROR(AK58/AK$5,0)</f>
        <v>0</v>
      </c>
      <c r="AN58" s="92" t="n">
        <f aca="false">SUM(D58,G58,J58,M58,P58,S58,V58,Y58,AB58,AE58,AH58,AK58)</f>
        <v>0</v>
      </c>
      <c r="AO58" s="91" t="n">
        <f aca="false">IFERROR(AN58/AN$5,0)</f>
        <v>0</v>
      </c>
      <c r="AQ58" s="93" t="n">
        <f aca="false">AN58/$AR$1</f>
        <v>0</v>
      </c>
      <c r="AR58" s="94" t="n">
        <f aca="false">IFERROR(AQ58/AQ$5,0)</f>
        <v>0</v>
      </c>
      <c r="AT58" s="111"/>
    </row>
    <row r="59" customFormat="false" ht="15.75" hidden="true" customHeight="true" outlineLevel="1" collapsed="false">
      <c r="B59" s="89" t="s">
        <v>80</v>
      </c>
      <c r="D59" s="75" t="n">
        <f aca="false">SUMIFS('Dados Mov Financeira'!$N:$N,'Dados Mov Financeira'!$O:$O,'DRE 2020'!$B59,'Dados Mov Financeira'!$A:$A,'DRE 2020'!D$1,'Dados Mov Financeira'!$B:$B,'DRE 2020'!D$2)</f>
        <v>0</v>
      </c>
      <c r="E59" s="91" t="n">
        <f aca="false">IFERROR(D59/D$5,0)</f>
        <v>0</v>
      </c>
      <c r="G59" s="75" t="n">
        <f aca="false">SUMIFS('Dados Mov Financeira'!$N:$N,'Dados Mov Financeira'!$O:$O,'DRE 2020'!$B59,'Dados Mov Financeira'!$A:$A,'DRE 2020'!G$1,'Dados Mov Financeira'!$B:$B,'DRE 2020'!G$2)</f>
        <v>0</v>
      </c>
      <c r="H59" s="91" t="n">
        <f aca="false">IFERROR(G59/G$5,0)</f>
        <v>0</v>
      </c>
      <c r="J59" s="75" t="n">
        <f aca="false">SUMIFS('Dados Mov Financeira'!$N:$N,'Dados Mov Financeira'!$O:$O,'DRE 2020'!$B59,'Dados Mov Financeira'!$A:$A,'DRE 2020'!J$1,'Dados Mov Financeira'!$B:$B,'DRE 2020'!J$2)</f>
        <v>0</v>
      </c>
      <c r="K59" s="91" t="n">
        <f aca="false">IFERROR(J59/J$5,0)</f>
        <v>0</v>
      </c>
      <c r="M59" s="75" t="n">
        <f aca="false">SUMIFS('Dados Mov Financeira'!$N:$N,'Dados Mov Financeira'!$O:$O,'DRE 2020'!$B59,'Dados Mov Financeira'!$A:$A,'DRE 2020'!M$1,'Dados Mov Financeira'!$B:$B,'DRE 2020'!M$2)</f>
        <v>0</v>
      </c>
      <c r="N59" s="91" t="n">
        <f aca="false">IFERROR(M59/M$5,0)</f>
        <v>0</v>
      </c>
      <c r="P59" s="75" t="n">
        <f aca="false">SUMIFS('Dados Mov Financeira'!$N:$N,'Dados Mov Financeira'!$O:$O,'DRE 2020'!$B59,'Dados Mov Financeira'!$A:$A,'DRE 2020'!P$1,'Dados Mov Financeira'!$B:$B,'DRE 2020'!P$2)</f>
        <v>0</v>
      </c>
      <c r="Q59" s="91" t="n">
        <f aca="false">IFERROR(P59/P$5,0)</f>
        <v>0</v>
      </c>
      <c r="S59" s="75" t="n">
        <f aca="false">SUMIFS('Dados Mov Financeira'!$N:$N,'Dados Mov Financeira'!$O:$O,'DRE 2020'!$B59,'Dados Mov Financeira'!$A:$A,'DRE 2020'!S$1,'Dados Mov Financeira'!$B:$B,'DRE 2020'!S$2)</f>
        <v>0</v>
      </c>
      <c r="T59" s="91" t="n">
        <f aca="false">IFERROR(S59/S$5,0)</f>
        <v>0</v>
      </c>
      <c r="V59" s="75" t="n">
        <f aca="false">SUMIFS('Dados Mov Financeira'!$N:$N,'Dados Mov Financeira'!$O:$O,'DRE 2020'!$B59,'Dados Mov Financeira'!$A:$A,'DRE 2020'!V$1,'Dados Mov Financeira'!$B:$B,'DRE 2020'!V$2)</f>
        <v>0</v>
      </c>
      <c r="W59" s="91" t="n">
        <f aca="false">IFERROR(V59/V$5,0)</f>
        <v>0</v>
      </c>
      <c r="Y59" s="75" t="n">
        <f aca="false">SUMIFS('Dados Mov Financeira'!$N:$N,'Dados Mov Financeira'!$O:$O,'DRE 2020'!$B59,'Dados Mov Financeira'!$A:$A,'DRE 2020'!Y$1,'Dados Mov Financeira'!$B:$B,'DRE 2020'!Y$2)</f>
        <v>0</v>
      </c>
      <c r="Z59" s="91" t="n">
        <f aca="false">IFERROR(Y59/Y$5,0)</f>
        <v>0</v>
      </c>
      <c r="AB59" s="75" t="n">
        <f aca="false">SUMIFS('Dados Mov Financeira'!$N:$N,'Dados Mov Financeira'!$O:$O,'DRE 2020'!$B59,'Dados Mov Financeira'!$A:$A,'DRE 2020'!AB$1,'Dados Mov Financeira'!$B:$B,'DRE 2020'!AB$2)</f>
        <v>0</v>
      </c>
      <c r="AC59" s="91" t="n">
        <f aca="false">IFERROR(AB59/AB$5,0)</f>
        <v>0</v>
      </c>
      <c r="AE59" s="75" t="n">
        <f aca="false">SUMIFS('Dados Mov Financeira'!$N:$N,'Dados Mov Financeira'!$O:$O,'DRE 2020'!$B59,'Dados Mov Financeira'!$A:$A,'DRE 2020'!AE$1,'Dados Mov Financeira'!$B:$B,'DRE 2020'!AE$2)</f>
        <v>0</v>
      </c>
      <c r="AF59" s="91" t="n">
        <f aca="false">IFERROR(AE59/AE$5,0)</f>
        <v>0</v>
      </c>
      <c r="AH59" s="75" t="n">
        <f aca="false">SUMIFS('Dados Mov Financeira'!$N:$N,'Dados Mov Financeira'!$O:$O,'DRE 2020'!$B59,'Dados Mov Financeira'!$A:$A,'DRE 2020'!AH$1,'Dados Mov Financeira'!$B:$B,'DRE 2020'!AH$2)</f>
        <v>0</v>
      </c>
      <c r="AI59" s="91" t="n">
        <f aca="false">IFERROR(AH59/AH$5,0)</f>
        <v>0</v>
      </c>
      <c r="AK59" s="75" t="n">
        <f aca="false">SUMIFS('Dados Mov Financeira'!$N:$N,'Dados Mov Financeira'!$O:$O,'DRE 2020'!$B59,'Dados Mov Financeira'!$A:$A,'DRE 2020'!AK$1,'Dados Mov Financeira'!$B:$B,'DRE 2020'!AK$2)</f>
        <v>0</v>
      </c>
      <c r="AL59" s="91" t="n">
        <f aca="false">IFERROR(AK59/AK$5,0)</f>
        <v>0</v>
      </c>
      <c r="AN59" s="92" t="n">
        <f aca="false">SUM(D59,G59,J59,M59,P59,S59,V59,Y59,AB59,AE59,AH59,AK59)</f>
        <v>0</v>
      </c>
      <c r="AO59" s="91" t="n">
        <f aca="false">IFERROR(AN59/AN$5,0)</f>
        <v>0</v>
      </c>
      <c r="AQ59" s="93" t="n">
        <f aca="false">AN59/$AR$1</f>
        <v>0</v>
      </c>
      <c r="AR59" s="94" t="n">
        <f aca="false">IFERROR(AQ59/AQ$5,0)</f>
        <v>0</v>
      </c>
      <c r="AT59" s="111"/>
    </row>
    <row r="60" customFormat="false" ht="15.75" hidden="true" customHeight="true" outlineLevel="1" collapsed="false">
      <c r="B60" s="89" t="s">
        <v>81</v>
      </c>
      <c r="D60" s="75" t="n">
        <f aca="false">SUMIFS('Dados Mov Financeira'!$N:$N,'Dados Mov Financeira'!$O:$O,'DRE 2020'!$B60,'Dados Mov Financeira'!$A:$A,'DRE 2020'!D$1,'Dados Mov Financeira'!$B:$B,'DRE 2020'!D$2)</f>
        <v>0</v>
      </c>
      <c r="E60" s="91" t="n">
        <f aca="false">IFERROR(D60/D$5,0)</f>
        <v>0</v>
      </c>
      <c r="G60" s="75" t="n">
        <f aca="false">SUMIFS('Dados Mov Financeira'!$N:$N,'Dados Mov Financeira'!$O:$O,'DRE 2020'!$B60,'Dados Mov Financeira'!$A:$A,'DRE 2020'!G$1,'Dados Mov Financeira'!$B:$B,'DRE 2020'!G$2)</f>
        <v>0</v>
      </c>
      <c r="H60" s="91" t="n">
        <f aca="false">IFERROR(G60/G$5,0)</f>
        <v>0</v>
      </c>
      <c r="J60" s="75" t="n">
        <f aca="false">SUMIFS('Dados Mov Financeira'!$N:$N,'Dados Mov Financeira'!$O:$O,'DRE 2020'!$B60,'Dados Mov Financeira'!$A:$A,'DRE 2020'!J$1,'Dados Mov Financeira'!$B:$B,'DRE 2020'!J$2)</f>
        <v>0</v>
      </c>
      <c r="K60" s="91" t="n">
        <f aca="false">IFERROR(J60/J$5,0)</f>
        <v>0</v>
      </c>
      <c r="M60" s="75" t="n">
        <f aca="false">SUMIFS('Dados Mov Financeira'!$N:$N,'Dados Mov Financeira'!$O:$O,'DRE 2020'!$B60,'Dados Mov Financeira'!$A:$A,'DRE 2020'!M$1,'Dados Mov Financeira'!$B:$B,'DRE 2020'!M$2)</f>
        <v>0</v>
      </c>
      <c r="N60" s="91" t="n">
        <f aca="false">IFERROR(M60/M$5,0)</f>
        <v>0</v>
      </c>
      <c r="P60" s="75" t="n">
        <f aca="false">SUMIFS('Dados Mov Financeira'!$N:$N,'Dados Mov Financeira'!$O:$O,'DRE 2020'!$B60,'Dados Mov Financeira'!$A:$A,'DRE 2020'!P$1,'Dados Mov Financeira'!$B:$B,'DRE 2020'!P$2)</f>
        <v>0</v>
      </c>
      <c r="Q60" s="91" t="n">
        <f aca="false">IFERROR(P60/P$5,0)</f>
        <v>0</v>
      </c>
      <c r="S60" s="75" t="n">
        <f aca="false">SUMIFS('Dados Mov Financeira'!$N:$N,'Dados Mov Financeira'!$O:$O,'DRE 2020'!$B60,'Dados Mov Financeira'!$A:$A,'DRE 2020'!S$1,'Dados Mov Financeira'!$B:$B,'DRE 2020'!S$2)</f>
        <v>0</v>
      </c>
      <c r="T60" s="91" t="n">
        <f aca="false">IFERROR(S60/S$5,0)</f>
        <v>0</v>
      </c>
      <c r="V60" s="75" t="n">
        <f aca="false">SUMIFS('Dados Mov Financeira'!$N:$N,'Dados Mov Financeira'!$O:$O,'DRE 2020'!$B60,'Dados Mov Financeira'!$A:$A,'DRE 2020'!V$1,'Dados Mov Financeira'!$B:$B,'DRE 2020'!V$2)</f>
        <v>0</v>
      </c>
      <c r="W60" s="91" t="n">
        <f aca="false">IFERROR(V60/V$5,0)</f>
        <v>0</v>
      </c>
      <c r="Y60" s="75" t="n">
        <f aca="false">SUMIFS('Dados Mov Financeira'!$N:$N,'Dados Mov Financeira'!$O:$O,'DRE 2020'!$B60,'Dados Mov Financeira'!$A:$A,'DRE 2020'!Y$1,'Dados Mov Financeira'!$B:$B,'DRE 2020'!Y$2)</f>
        <v>0</v>
      </c>
      <c r="Z60" s="91" t="n">
        <f aca="false">IFERROR(Y60/Y$5,0)</f>
        <v>0</v>
      </c>
      <c r="AB60" s="75" t="n">
        <f aca="false">SUMIFS('Dados Mov Financeira'!$N:$N,'Dados Mov Financeira'!$O:$O,'DRE 2020'!$B60,'Dados Mov Financeira'!$A:$A,'DRE 2020'!AB$1,'Dados Mov Financeira'!$B:$B,'DRE 2020'!AB$2)</f>
        <v>0</v>
      </c>
      <c r="AC60" s="91" t="n">
        <f aca="false">IFERROR(AB60/AB$5,0)</f>
        <v>0</v>
      </c>
      <c r="AE60" s="75" t="n">
        <f aca="false">SUMIFS('Dados Mov Financeira'!$N:$N,'Dados Mov Financeira'!$O:$O,'DRE 2020'!$B60,'Dados Mov Financeira'!$A:$A,'DRE 2020'!AE$1,'Dados Mov Financeira'!$B:$B,'DRE 2020'!AE$2)</f>
        <v>0</v>
      </c>
      <c r="AF60" s="91" t="n">
        <f aca="false">IFERROR(AE60/AE$5,0)</f>
        <v>0</v>
      </c>
      <c r="AH60" s="75" t="n">
        <f aca="false">SUMIFS('Dados Mov Financeira'!$N:$N,'Dados Mov Financeira'!$O:$O,'DRE 2020'!$B60,'Dados Mov Financeira'!$A:$A,'DRE 2020'!AH$1,'Dados Mov Financeira'!$B:$B,'DRE 2020'!AH$2)</f>
        <v>0</v>
      </c>
      <c r="AI60" s="91" t="n">
        <f aca="false">IFERROR(AH60/AH$5,0)</f>
        <v>0</v>
      </c>
      <c r="AK60" s="75" t="n">
        <f aca="false">SUMIFS('Dados Mov Financeira'!$N:$N,'Dados Mov Financeira'!$O:$O,'DRE 2020'!$B60,'Dados Mov Financeira'!$A:$A,'DRE 2020'!AK$1,'Dados Mov Financeira'!$B:$B,'DRE 2020'!AK$2)</f>
        <v>0</v>
      </c>
      <c r="AL60" s="91" t="n">
        <f aca="false">IFERROR(AK60/AK$5,0)</f>
        <v>0</v>
      </c>
      <c r="AN60" s="92" t="n">
        <f aca="false">SUM(D60,G60,J60,M60,P60,S60,V60,Y60,AB60,AE60,AH60,AK60)</f>
        <v>0</v>
      </c>
      <c r="AO60" s="91" t="n">
        <f aca="false">IFERROR(AN60/AN$5,0)</f>
        <v>0</v>
      </c>
      <c r="AQ60" s="93" t="n">
        <f aca="false">AN60/$AR$1</f>
        <v>0</v>
      </c>
      <c r="AR60" s="94" t="n">
        <f aca="false">IFERROR(AQ60/AQ$5,0)</f>
        <v>0</v>
      </c>
      <c r="AT60" s="111"/>
    </row>
    <row r="61" customFormat="false" ht="15.75" hidden="true" customHeight="true" outlineLevel="1" collapsed="false">
      <c r="B61" s="89" t="s">
        <v>82</v>
      </c>
      <c r="D61" s="75" t="n">
        <f aca="false">SUMIFS('Dados Mov Financeira'!$N:$N,'Dados Mov Financeira'!$O:$O,'DRE 2020'!$B61,'Dados Mov Financeira'!$A:$A,'DRE 2020'!D$1,'Dados Mov Financeira'!$B:$B,'DRE 2020'!D$2)</f>
        <v>0</v>
      </c>
      <c r="E61" s="91" t="n">
        <f aca="false">IFERROR(D61/D$5,0)</f>
        <v>0</v>
      </c>
      <c r="G61" s="75" t="n">
        <f aca="false">SUMIFS('Dados Mov Financeira'!$N:$N,'Dados Mov Financeira'!$O:$O,'DRE 2020'!$B61,'Dados Mov Financeira'!$A:$A,'DRE 2020'!G$1,'Dados Mov Financeira'!$B:$B,'DRE 2020'!G$2)</f>
        <v>0</v>
      </c>
      <c r="H61" s="91" t="n">
        <f aca="false">IFERROR(G61/G$5,0)</f>
        <v>0</v>
      </c>
      <c r="J61" s="75" t="n">
        <f aca="false">SUMIFS('Dados Mov Financeira'!$N:$N,'Dados Mov Financeira'!$O:$O,'DRE 2020'!$B61,'Dados Mov Financeira'!$A:$A,'DRE 2020'!J$1,'Dados Mov Financeira'!$B:$B,'DRE 2020'!J$2)</f>
        <v>0</v>
      </c>
      <c r="K61" s="91" t="n">
        <f aca="false">IFERROR(J61/J$5,0)</f>
        <v>0</v>
      </c>
      <c r="M61" s="75" t="n">
        <f aca="false">SUMIFS('Dados Mov Financeira'!$N:$N,'Dados Mov Financeira'!$O:$O,'DRE 2020'!$B61,'Dados Mov Financeira'!$A:$A,'DRE 2020'!M$1,'Dados Mov Financeira'!$B:$B,'DRE 2020'!M$2)</f>
        <v>0</v>
      </c>
      <c r="N61" s="91" t="n">
        <f aca="false">IFERROR(M61/M$5,0)</f>
        <v>0</v>
      </c>
      <c r="P61" s="75" t="n">
        <f aca="false">SUMIFS('Dados Mov Financeira'!$N:$N,'Dados Mov Financeira'!$O:$O,'DRE 2020'!$B61,'Dados Mov Financeira'!$A:$A,'DRE 2020'!P$1,'Dados Mov Financeira'!$B:$B,'DRE 2020'!P$2)</f>
        <v>0</v>
      </c>
      <c r="Q61" s="91" t="n">
        <f aca="false">IFERROR(P61/P$5,0)</f>
        <v>0</v>
      </c>
      <c r="S61" s="75" t="n">
        <f aca="false">SUMIFS('Dados Mov Financeira'!$N:$N,'Dados Mov Financeira'!$O:$O,'DRE 2020'!$B61,'Dados Mov Financeira'!$A:$A,'DRE 2020'!S$1,'Dados Mov Financeira'!$B:$B,'DRE 2020'!S$2)</f>
        <v>0</v>
      </c>
      <c r="T61" s="91" t="n">
        <f aca="false">IFERROR(S61/S$5,0)</f>
        <v>0</v>
      </c>
      <c r="V61" s="75" t="n">
        <f aca="false">SUMIFS('Dados Mov Financeira'!$N:$N,'Dados Mov Financeira'!$O:$O,'DRE 2020'!$B61,'Dados Mov Financeira'!$A:$A,'DRE 2020'!V$1,'Dados Mov Financeira'!$B:$B,'DRE 2020'!V$2)</f>
        <v>0</v>
      </c>
      <c r="W61" s="91" t="n">
        <f aca="false">IFERROR(V61/V$5,0)</f>
        <v>0</v>
      </c>
      <c r="Y61" s="75" t="n">
        <f aca="false">SUMIFS('Dados Mov Financeira'!$N:$N,'Dados Mov Financeira'!$O:$O,'DRE 2020'!$B61,'Dados Mov Financeira'!$A:$A,'DRE 2020'!Y$1,'Dados Mov Financeira'!$B:$B,'DRE 2020'!Y$2)</f>
        <v>0</v>
      </c>
      <c r="Z61" s="91" t="n">
        <f aca="false">IFERROR(Y61/Y$5,0)</f>
        <v>0</v>
      </c>
      <c r="AB61" s="75" t="n">
        <f aca="false">SUMIFS('Dados Mov Financeira'!$N:$N,'Dados Mov Financeira'!$O:$O,'DRE 2020'!$B61,'Dados Mov Financeira'!$A:$A,'DRE 2020'!AB$1,'Dados Mov Financeira'!$B:$B,'DRE 2020'!AB$2)</f>
        <v>0</v>
      </c>
      <c r="AC61" s="91" t="n">
        <f aca="false">IFERROR(AB61/AB$5,0)</f>
        <v>0</v>
      </c>
      <c r="AE61" s="75" t="n">
        <f aca="false">SUMIFS('Dados Mov Financeira'!$N:$N,'Dados Mov Financeira'!$O:$O,'DRE 2020'!$B61,'Dados Mov Financeira'!$A:$A,'DRE 2020'!AE$1,'Dados Mov Financeira'!$B:$B,'DRE 2020'!AE$2)</f>
        <v>0</v>
      </c>
      <c r="AF61" s="91" t="n">
        <f aca="false">IFERROR(AE61/AE$5,0)</f>
        <v>0</v>
      </c>
      <c r="AH61" s="75" t="n">
        <f aca="false">SUMIFS('Dados Mov Financeira'!$N:$N,'Dados Mov Financeira'!$O:$O,'DRE 2020'!$B61,'Dados Mov Financeira'!$A:$A,'DRE 2020'!AH$1,'Dados Mov Financeira'!$B:$B,'DRE 2020'!AH$2)</f>
        <v>0</v>
      </c>
      <c r="AI61" s="91" t="n">
        <f aca="false">IFERROR(AH61/AH$5,0)</f>
        <v>0</v>
      </c>
      <c r="AK61" s="75" t="n">
        <f aca="false">SUMIFS('Dados Mov Financeira'!$N:$N,'Dados Mov Financeira'!$O:$O,'DRE 2020'!$B61,'Dados Mov Financeira'!$A:$A,'DRE 2020'!AK$1,'Dados Mov Financeira'!$B:$B,'DRE 2020'!AK$2)</f>
        <v>0</v>
      </c>
      <c r="AL61" s="91" t="n">
        <f aca="false">IFERROR(AK61/AK$5,0)</f>
        <v>0</v>
      </c>
      <c r="AN61" s="92" t="n">
        <f aca="false">SUM(D61,G61,J61,M61,P61,S61,V61,Y61,AB61,AE61,AH61,AK61)</f>
        <v>0</v>
      </c>
      <c r="AO61" s="91" t="n">
        <f aca="false">IFERROR(AN61/AN$5,0)</f>
        <v>0</v>
      </c>
      <c r="AQ61" s="125" t="n">
        <f aca="false">AN61/$AR$1</f>
        <v>0</v>
      </c>
      <c r="AR61" s="94" t="n">
        <f aca="false">IFERROR(AQ61/AQ$5,0)</f>
        <v>0</v>
      </c>
      <c r="AT61" s="111"/>
    </row>
    <row r="62" customFormat="false" ht="15.75" hidden="true" customHeight="true" outlineLevel="1" collapsed="false">
      <c r="B62" s="89" t="s">
        <v>83</v>
      </c>
      <c r="D62" s="75" t="n">
        <f aca="false">SUMIFS('Dados Mov Financeira'!$N:$N,'Dados Mov Financeira'!$O:$O,'DRE 2020'!$B62,'Dados Mov Financeira'!$A:$A,'DRE 2020'!D$1,'Dados Mov Financeira'!$B:$B,'DRE 2020'!D$2)</f>
        <v>0</v>
      </c>
      <c r="E62" s="91" t="n">
        <f aca="false">IFERROR(D62/D$5,0)</f>
        <v>0</v>
      </c>
      <c r="G62" s="75" t="n">
        <f aca="false">SUMIFS('Dados Mov Financeira'!$N:$N,'Dados Mov Financeira'!$O:$O,'DRE 2020'!$B62,'Dados Mov Financeira'!$A:$A,'DRE 2020'!G$1,'Dados Mov Financeira'!$B:$B,'DRE 2020'!G$2)</f>
        <v>0</v>
      </c>
      <c r="H62" s="91" t="n">
        <f aca="false">IFERROR(G62/G$5,0)</f>
        <v>0</v>
      </c>
      <c r="J62" s="75" t="n">
        <f aca="false">SUMIFS('Dados Mov Financeira'!$N:$N,'Dados Mov Financeira'!$O:$O,'DRE 2020'!$B62,'Dados Mov Financeira'!$A:$A,'DRE 2020'!J$1,'Dados Mov Financeira'!$B:$B,'DRE 2020'!J$2)</f>
        <v>0</v>
      </c>
      <c r="K62" s="91" t="n">
        <f aca="false">IFERROR(J62/J$5,0)</f>
        <v>0</v>
      </c>
      <c r="M62" s="75" t="n">
        <f aca="false">SUMIFS('Dados Mov Financeira'!$N:$N,'Dados Mov Financeira'!$O:$O,'DRE 2020'!$B62,'Dados Mov Financeira'!$A:$A,'DRE 2020'!M$1,'Dados Mov Financeira'!$B:$B,'DRE 2020'!M$2)</f>
        <v>0</v>
      </c>
      <c r="N62" s="91" t="n">
        <f aca="false">IFERROR(M62/M$5,0)</f>
        <v>0</v>
      </c>
      <c r="P62" s="75" t="n">
        <f aca="false">SUMIFS('Dados Mov Financeira'!$N:$N,'Dados Mov Financeira'!$O:$O,'DRE 2020'!$B62,'Dados Mov Financeira'!$A:$A,'DRE 2020'!P$1,'Dados Mov Financeira'!$B:$B,'DRE 2020'!P$2)</f>
        <v>0</v>
      </c>
      <c r="Q62" s="91" t="n">
        <f aca="false">IFERROR(P62/P$5,0)</f>
        <v>0</v>
      </c>
      <c r="S62" s="75" t="n">
        <f aca="false">SUMIFS('Dados Mov Financeira'!$N:$N,'Dados Mov Financeira'!$O:$O,'DRE 2020'!$B62,'Dados Mov Financeira'!$A:$A,'DRE 2020'!S$1,'Dados Mov Financeira'!$B:$B,'DRE 2020'!S$2)</f>
        <v>0</v>
      </c>
      <c r="T62" s="91" t="n">
        <f aca="false">IFERROR(S62/S$5,0)</f>
        <v>0</v>
      </c>
      <c r="V62" s="75" t="n">
        <f aca="false">SUMIFS('Dados Mov Financeira'!$N:$N,'Dados Mov Financeira'!$O:$O,'DRE 2020'!$B62,'Dados Mov Financeira'!$A:$A,'DRE 2020'!V$1,'Dados Mov Financeira'!$B:$B,'DRE 2020'!V$2)</f>
        <v>0</v>
      </c>
      <c r="W62" s="91" t="n">
        <f aca="false">IFERROR(V62/V$5,0)</f>
        <v>0</v>
      </c>
      <c r="Y62" s="75" t="n">
        <f aca="false">SUMIFS('Dados Mov Financeira'!$N:$N,'Dados Mov Financeira'!$O:$O,'DRE 2020'!$B62,'Dados Mov Financeira'!$A:$A,'DRE 2020'!Y$1,'Dados Mov Financeira'!$B:$B,'DRE 2020'!Y$2)</f>
        <v>0</v>
      </c>
      <c r="Z62" s="91" t="n">
        <f aca="false">IFERROR(Y62/Y$5,0)</f>
        <v>0</v>
      </c>
      <c r="AB62" s="75" t="n">
        <f aca="false">SUMIFS('Dados Mov Financeira'!$N:$N,'Dados Mov Financeira'!$O:$O,'DRE 2020'!$B62,'Dados Mov Financeira'!$A:$A,'DRE 2020'!AB$1,'Dados Mov Financeira'!$B:$B,'DRE 2020'!AB$2)</f>
        <v>0</v>
      </c>
      <c r="AC62" s="91" t="n">
        <f aca="false">IFERROR(AB62/AB$5,0)</f>
        <v>0</v>
      </c>
      <c r="AE62" s="75" t="n">
        <f aca="false">SUMIFS('Dados Mov Financeira'!$N:$N,'Dados Mov Financeira'!$O:$O,'DRE 2020'!$B62,'Dados Mov Financeira'!$A:$A,'DRE 2020'!AE$1,'Dados Mov Financeira'!$B:$B,'DRE 2020'!AE$2)</f>
        <v>0</v>
      </c>
      <c r="AF62" s="91" t="n">
        <f aca="false">IFERROR(AE62/AE$5,0)</f>
        <v>0</v>
      </c>
      <c r="AH62" s="75" t="n">
        <f aca="false">SUMIFS('Dados Mov Financeira'!$N:$N,'Dados Mov Financeira'!$O:$O,'DRE 2020'!$B62,'Dados Mov Financeira'!$A:$A,'DRE 2020'!AH$1,'Dados Mov Financeira'!$B:$B,'DRE 2020'!AH$2)</f>
        <v>0</v>
      </c>
      <c r="AI62" s="91" t="n">
        <f aca="false">IFERROR(AH62/AH$5,0)</f>
        <v>0</v>
      </c>
      <c r="AK62" s="75" t="n">
        <f aca="false">SUMIFS('Dados Mov Financeira'!$N:$N,'Dados Mov Financeira'!$O:$O,'DRE 2020'!$B62,'Dados Mov Financeira'!$A:$A,'DRE 2020'!AK$1,'Dados Mov Financeira'!$B:$B,'DRE 2020'!AK$2)</f>
        <v>0</v>
      </c>
      <c r="AL62" s="91" t="n">
        <f aca="false">IFERROR(AK62/AK$5,0)</f>
        <v>0</v>
      </c>
      <c r="AN62" s="92" t="n">
        <f aca="false">SUM(D62,G62,J62,M62,P62,S62,V62,Y62,AB62,AE62,AH62,AK62)</f>
        <v>0</v>
      </c>
      <c r="AO62" s="91" t="n">
        <f aca="false">IFERROR(AN62/AN$5,0)</f>
        <v>0</v>
      </c>
      <c r="AQ62" s="93" t="n">
        <f aca="false">AN62/$AR$1</f>
        <v>0</v>
      </c>
      <c r="AR62" s="94" t="n">
        <f aca="false">IFERROR(AQ62/AQ$5,0)</f>
        <v>0</v>
      </c>
      <c r="AT62" s="111"/>
    </row>
    <row r="63" customFormat="false" ht="15.75" hidden="true" customHeight="true" outlineLevel="1" collapsed="false">
      <c r="B63" s="89" t="s">
        <v>84</v>
      </c>
      <c r="D63" s="75" t="n">
        <f aca="false">SUMIFS('Dados Mov Financeira'!$N:$N,'Dados Mov Financeira'!$O:$O,'DRE 2020'!$B63,'Dados Mov Financeira'!$A:$A,'DRE 2020'!D$1,'Dados Mov Financeira'!$B:$B,'DRE 2020'!D$2)</f>
        <v>0</v>
      </c>
      <c r="E63" s="91" t="n">
        <f aca="false">IFERROR(D63/D$5,0)</f>
        <v>0</v>
      </c>
      <c r="G63" s="75" t="n">
        <f aca="false">SUMIFS('Dados Mov Financeira'!$N:$N,'Dados Mov Financeira'!$O:$O,'DRE 2020'!$B63,'Dados Mov Financeira'!$A:$A,'DRE 2020'!G$1,'Dados Mov Financeira'!$B:$B,'DRE 2020'!G$2)</f>
        <v>0</v>
      </c>
      <c r="H63" s="91" t="n">
        <f aca="false">IFERROR(G63/G$5,0)</f>
        <v>0</v>
      </c>
      <c r="J63" s="75" t="n">
        <f aca="false">SUMIFS('Dados Mov Financeira'!$N:$N,'Dados Mov Financeira'!$O:$O,'DRE 2020'!$B63,'Dados Mov Financeira'!$A:$A,'DRE 2020'!J$1,'Dados Mov Financeira'!$B:$B,'DRE 2020'!J$2)</f>
        <v>0</v>
      </c>
      <c r="K63" s="91" t="n">
        <f aca="false">IFERROR(J63/J$5,0)</f>
        <v>0</v>
      </c>
      <c r="M63" s="75" t="n">
        <f aca="false">SUMIFS('Dados Mov Financeira'!$N:$N,'Dados Mov Financeira'!$O:$O,'DRE 2020'!$B63,'Dados Mov Financeira'!$A:$A,'DRE 2020'!M$1,'Dados Mov Financeira'!$B:$B,'DRE 2020'!M$2)</f>
        <v>0</v>
      </c>
      <c r="N63" s="91" t="n">
        <f aca="false">IFERROR(M63/M$5,0)</f>
        <v>0</v>
      </c>
      <c r="P63" s="75" t="n">
        <f aca="false">SUMIFS('Dados Mov Financeira'!$N:$N,'Dados Mov Financeira'!$O:$O,'DRE 2020'!$B63,'Dados Mov Financeira'!$A:$A,'DRE 2020'!P$1,'Dados Mov Financeira'!$B:$B,'DRE 2020'!P$2)</f>
        <v>0</v>
      </c>
      <c r="Q63" s="91" t="n">
        <f aca="false">IFERROR(P63/P$5,0)</f>
        <v>0</v>
      </c>
      <c r="S63" s="75" t="n">
        <f aca="false">SUMIFS('Dados Mov Financeira'!$N:$N,'Dados Mov Financeira'!$O:$O,'DRE 2020'!$B63,'Dados Mov Financeira'!$A:$A,'DRE 2020'!S$1,'Dados Mov Financeira'!$B:$B,'DRE 2020'!S$2)</f>
        <v>0</v>
      </c>
      <c r="T63" s="91" t="n">
        <f aca="false">IFERROR(S63/S$5,0)</f>
        <v>0</v>
      </c>
      <c r="V63" s="75" t="n">
        <f aca="false">SUMIFS('Dados Mov Financeira'!$N:$N,'Dados Mov Financeira'!$O:$O,'DRE 2020'!$B63,'Dados Mov Financeira'!$A:$A,'DRE 2020'!V$1,'Dados Mov Financeira'!$B:$B,'DRE 2020'!V$2)</f>
        <v>0</v>
      </c>
      <c r="W63" s="91" t="n">
        <f aca="false">IFERROR(V63/V$5,0)</f>
        <v>0</v>
      </c>
      <c r="Y63" s="75" t="n">
        <f aca="false">SUMIFS('Dados Mov Financeira'!$N:$N,'Dados Mov Financeira'!$O:$O,'DRE 2020'!$B63,'Dados Mov Financeira'!$A:$A,'DRE 2020'!Y$1,'Dados Mov Financeira'!$B:$B,'DRE 2020'!Y$2)</f>
        <v>0</v>
      </c>
      <c r="Z63" s="91" t="n">
        <f aca="false">IFERROR(Y63/Y$5,0)</f>
        <v>0</v>
      </c>
      <c r="AB63" s="75" t="n">
        <f aca="false">SUMIFS('Dados Mov Financeira'!$N:$N,'Dados Mov Financeira'!$O:$O,'DRE 2020'!$B63,'Dados Mov Financeira'!$A:$A,'DRE 2020'!AB$1,'Dados Mov Financeira'!$B:$B,'DRE 2020'!AB$2)</f>
        <v>0</v>
      </c>
      <c r="AC63" s="91" t="n">
        <f aca="false">IFERROR(AB63/AB$5,0)</f>
        <v>0</v>
      </c>
      <c r="AE63" s="75" t="n">
        <f aca="false">SUMIFS('Dados Mov Financeira'!$N:$N,'Dados Mov Financeira'!$O:$O,'DRE 2020'!$B63,'Dados Mov Financeira'!$A:$A,'DRE 2020'!AE$1,'Dados Mov Financeira'!$B:$B,'DRE 2020'!AE$2)</f>
        <v>0</v>
      </c>
      <c r="AF63" s="91" t="n">
        <f aca="false">IFERROR(AE63/AE$5,0)</f>
        <v>0</v>
      </c>
      <c r="AH63" s="75" t="n">
        <f aca="false">SUMIFS('Dados Mov Financeira'!$N:$N,'Dados Mov Financeira'!$O:$O,'DRE 2020'!$B63,'Dados Mov Financeira'!$A:$A,'DRE 2020'!AH$1,'Dados Mov Financeira'!$B:$B,'DRE 2020'!AH$2)</f>
        <v>0</v>
      </c>
      <c r="AI63" s="91" t="n">
        <f aca="false">IFERROR(AH63/AH$5,0)</f>
        <v>0</v>
      </c>
      <c r="AK63" s="75" t="n">
        <f aca="false">SUMIFS('Dados Mov Financeira'!$N:$N,'Dados Mov Financeira'!$O:$O,'DRE 2020'!$B63,'Dados Mov Financeira'!$A:$A,'DRE 2020'!AK$1,'Dados Mov Financeira'!$B:$B,'DRE 2020'!AK$2)</f>
        <v>0</v>
      </c>
      <c r="AL63" s="91" t="n">
        <f aca="false">IFERROR(AK63/AK$5,0)</f>
        <v>0</v>
      </c>
      <c r="AN63" s="92" t="n">
        <f aca="false">SUM(D63,G63,J63,M63,P63,S63,V63,Y63,AB63,AE63,AH63,AK63)</f>
        <v>0</v>
      </c>
      <c r="AO63" s="91" t="n">
        <f aca="false">IFERROR(AN63/AN$5,0)</f>
        <v>0</v>
      </c>
      <c r="AQ63" s="93" t="n">
        <f aca="false">AN63/$AR$1</f>
        <v>0</v>
      </c>
      <c r="AR63" s="94" t="n">
        <f aca="false">IFERROR(AQ63/AQ$5,0)</f>
        <v>0</v>
      </c>
      <c r="AT63" s="111"/>
    </row>
    <row r="64" customFormat="false" ht="15.75" hidden="true" customHeight="true" outlineLevel="1" collapsed="false">
      <c r="B64" s="89" t="s">
        <v>85</v>
      </c>
      <c r="D64" s="75" t="n">
        <f aca="false">SUMIFS('Dados Mov Financeira'!$N:$N,'Dados Mov Financeira'!$O:$O,'DRE 2020'!$B64,'Dados Mov Financeira'!$A:$A,'DRE 2020'!D$1,'Dados Mov Financeira'!$B:$B,'DRE 2020'!D$2)</f>
        <v>0</v>
      </c>
      <c r="E64" s="91" t="n">
        <f aca="false">IFERROR(D64/D$5,0)</f>
        <v>0</v>
      </c>
      <c r="G64" s="75" t="n">
        <f aca="false">SUMIFS('Dados Mov Financeira'!$N:$N,'Dados Mov Financeira'!$O:$O,'DRE 2020'!$B64,'Dados Mov Financeira'!$A:$A,'DRE 2020'!G$1,'Dados Mov Financeira'!$B:$B,'DRE 2020'!G$2)</f>
        <v>0</v>
      </c>
      <c r="H64" s="91" t="n">
        <f aca="false">IFERROR(G64/G$5,0)</f>
        <v>0</v>
      </c>
      <c r="J64" s="75" t="n">
        <f aca="false">SUMIFS('Dados Mov Financeira'!$N:$N,'Dados Mov Financeira'!$O:$O,'DRE 2020'!$B64,'Dados Mov Financeira'!$A:$A,'DRE 2020'!J$1,'Dados Mov Financeira'!$B:$B,'DRE 2020'!J$2)</f>
        <v>0</v>
      </c>
      <c r="K64" s="91" t="n">
        <f aca="false">IFERROR(J64/J$5,0)</f>
        <v>0</v>
      </c>
      <c r="M64" s="75" t="n">
        <f aca="false">SUMIFS('Dados Mov Financeira'!$N:$N,'Dados Mov Financeira'!$O:$O,'DRE 2020'!$B64,'Dados Mov Financeira'!$A:$A,'DRE 2020'!M$1,'Dados Mov Financeira'!$B:$B,'DRE 2020'!M$2)</f>
        <v>0</v>
      </c>
      <c r="N64" s="91" t="n">
        <f aca="false">IFERROR(M64/M$5,0)</f>
        <v>0</v>
      </c>
      <c r="P64" s="75" t="n">
        <f aca="false">SUMIFS('Dados Mov Financeira'!$N:$N,'Dados Mov Financeira'!$O:$O,'DRE 2020'!$B64,'Dados Mov Financeira'!$A:$A,'DRE 2020'!P$1,'Dados Mov Financeira'!$B:$B,'DRE 2020'!P$2)</f>
        <v>0</v>
      </c>
      <c r="Q64" s="91" t="n">
        <f aca="false">IFERROR(P64/P$5,0)</f>
        <v>0</v>
      </c>
      <c r="S64" s="75" t="n">
        <f aca="false">SUMIFS('Dados Mov Financeira'!$N:$N,'Dados Mov Financeira'!$O:$O,'DRE 2020'!$B64,'Dados Mov Financeira'!$A:$A,'DRE 2020'!S$1,'Dados Mov Financeira'!$B:$B,'DRE 2020'!S$2)</f>
        <v>0</v>
      </c>
      <c r="T64" s="91" t="n">
        <f aca="false">IFERROR(S64/S$5,0)</f>
        <v>0</v>
      </c>
      <c r="V64" s="75" t="n">
        <f aca="false">SUMIFS('Dados Mov Financeira'!$N:$N,'Dados Mov Financeira'!$O:$O,'DRE 2020'!$B64,'Dados Mov Financeira'!$A:$A,'DRE 2020'!V$1,'Dados Mov Financeira'!$B:$B,'DRE 2020'!V$2)</f>
        <v>0</v>
      </c>
      <c r="W64" s="91" t="n">
        <f aca="false">IFERROR(V64/V$5,0)</f>
        <v>0</v>
      </c>
      <c r="Y64" s="75" t="n">
        <f aca="false">SUMIFS('Dados Mov Financeira'!$N:$N,'Dados Mov Financeira'!$O:$O,'DRE 2020'!$B64,'Dados Mov Financeira'!$A:$A,'DRE 2020'!Y$1,'Dados Mov Financeira'!$B:$B,'DRE 2020'!Y$2)</f>
        <v>0</v>
      </c>
      <c r="Z64" s="91" t="n">
        <f aca="false">IFERROR(Y64/Y$5,0)</f>
        <v>0</v>
      </c>
      <c r="AB64" s="75" t="n">
        <f aca="false">SUMIFS('Dados Mov Financeira'!$N:$N,'Dados Mov Financeira'!$O:$O,'DRE 2020'!$B64,'Dados Mov Financeira'!$A:$A,'DRE 2020'!AB$1,'Dados Mov Financeira'!$B:$B,'DRE 2020'!AB$2)</f>
        <v>0</v>
      </c>
      <c r="AC64" s="91" t="n">
        <f aca="false">IFERROR(AB64/AB$5,0)</f>
        <v>0</v>
      </c>
      <c r="AE64" s="75" t="n">
        <f aca="false">SUMIFS('Dados Mov Financeira'!$N:$N,'Dados Mov Financeira'!$O:$O,'DRE 2020'!$B64,'Dados Mov Financeira'!$A:$A,'DRE 2020'!AE$1,'Dados Mov Financeira'!$B:$B,'DRE 2020'!AE$2)</f>
        <v>0</v>
      </c>
      <c r="AF64" s="91" t="n">
        <f aca="false">IFERROR(AE64/AE$5,0)</f>
        <v>0</v>
      </c>
      <c r="AH64" s="75" t="n">
        <f aca="false">SUMIFS('Dados Mov Financeira'!$N:$N,'Dados Mov Financeira'!$O:$O,'DRE 2020'!$B64,'Dados Mov Financeira'!$A:$A,'DRE 2020'!AH$1,'Dados Mov Financeira'!$B:$B,'DRE 2020'!AH$2)</f>
        <v>0</v>
      </c>
      <c r="AI64" s="91" t="n">
        <f aca="false">IFERROR(AH64/AH$5,0)</f>
        <v>0</v>
      </c>
      <c r="AK64" s="75" t="n">
        <f aca="false">SUMIFS('Dados Mov Financeira'!$N:$N,'Dados Mov Financeira'!$O:$O,'DRE 2020'!$B64,'Dados Mov Financeira'!$A:$A,'DRE 2020'!AK$1,'Dados Mov Financeira'!$B:$B,'DRE 2020'!AK$2)</f>
        <v>0</v>
      </c>
      <c r="AL64" s="91" t="n">
        <f aca="false">IFERROR(AK64/AK$5,0)</f>
        <v>0</v>
      </c>
      <c r="AN64" s="92" t="n">
        <f aca="false">SUM(D64,G64,J64,M64,P64,S64,V64,Y64,AB64,AE64,AH64,AK64)</f>
        <v>0</v>
      </c>
      <c r="AO64" s="91" t="n">
        <f aca="false">IFERROR(AN64/AN$5,0)</f>
        <v>0</v>
      </c>
      <c r="AQ64" s="93" t="n">
        <f aca="false">AN64/$AR$1</f>
        <v>0</v>
      </c>
      <c r="AR64" s="94" t="n">
        <f aca="false">IFERROR(AQ64/AQ$5,0)</f>
        <v>0</v>
      </c>
      <c r="AT64" s="111"/>
    </row>
    <row r="65" customFormat="false" ht="15.75" hidden="true" customHeight="true" outlineLevel="1" collapsed="false">
      <c r="B65" s="89" t="s">
        <v>86</v>
      </c>
      <c r="D65" s="75" t="n">
        <f aca="false">SUMIFS('Dados Mov Financeira'!$N:$N,'Dados Mov Financeira'!$O:$O,'DRE 2020'!$B65,'Dados Mov Financeira'!$A:$A,'DRE 2020'!D$1,'Dados Mov Financeira'!$B:$B,'DRE 2020'!D$2)</f>
        <v>0</v>
      </c>
      <c r="E65" s="91" t="n">
        <f aca="false">IFERROR(D65/D$5,0)</f>
        <v>0</v>
      </c>
      <c r="G65" s="75" t="n">
        <f aca="false">SUMIFS('Dados Mov Financeira'!$N:$N,'Dados Mov Financeira'!$O:$O,'DRE 2020'!$B65,'Dados Mov Financeira'!$A:$A,'DRE 2020'!G$1,'Dados Mov Financeira'!$B:$B,'DRE 2020'!G$2)</f>
        <v>0</v>
      </c>
      <c r="H65" s="91" t="n">
        <f aca="false">IFERROR(G65/G$5,0)</f>
        <v>0</v>
      </c>
      <c r="J65" s="75" t="n">
        <f aca="false">SUMIFS('Dados Mov Financeira'!$N:$N,'Dados Mov Financeira'!$O:$O,'DRE 2020'!$B65,'Dados Mov Financeira'!$A:$A,'DRE 2020'!J$1,'Dados Mov Financeira'!$B:$B,'DRE 2020'!J$2)</f>
        <v>0</v>
      </c>
      <c r="K65" s="91" t="n">
        <f aca="false">IFERROR(J65/J$5,0)</f>
        <v>0</v>
      </c>
      <c r="M65" s="75" t="n">
        <f aca="false">SUMIFS('Dados Mov Financeira'!$N:$N,'Dados Mov Financeira'!$O:$O,'DRE 2020'!$B65,'Dados Mov Financeira'!$A:$A,'DRE 2020'!M$1,'Dados Mov Financeira'!$B:$B,'DRE 2020'!M$2)</f>
        <v>0</v>
      </c>
      <c r="N65" s="91" t="n">
        <f aca="false">IFERROR(M65/M$5,0)</f>
        <v>0</v>
      </c>
      <c r="P65" s="75" t="n">
        <f aca="false">SUMIFS('Dados Mov Financeira'!$N:$N,'Dados Mov Financeira'!$O:$O,'DRE 2020'!$B65,'Dados Mov Financeira'!$A:$A,'DRE 2020'!P$1,'Dados Mov Financeira'!$B:$B,'DRE 2020'!P$2)</f>
        <v>0</v>
      </c>
      <c r="Q65" s="91" t="n">
        <f aca="false">IFERROR(P65/P$5,0)</f>
        <v>0</v>
      </c>
      <c r="S65" s="75" t="n">
        <f aca="false">SUMIFS('Dados Mov Financeira'!$N:$N,'Dados Mov Financeira'!$O:$O,'DRE 2020'!$B65,'Dados Mov Financeira'!$A:$A,'DRE 2020'!S$1,'Dados Mov Financeira'!$B:$B,'DRE 2020'!S$2)</f>
        <v>0</v>
      </c>
      <c r="T65" s="91" t="n">
        <f aca="false">IFERROR(S65/S$5,0)</f>
        <v>0</v>
      </c>
      <c r="V65" s="75" t="n">
        <f aca="false">SUMIFS('Dados Mov Financeira'!$N:$N,'Dados Mov Financeira'!$O:$O,'DRE 2020'!$B65,'Dados Mov Financeira'!$A:$A,'DRE 2020'!V$1,'Dados Mov Financeira'!$B:$B,'DRE 2020'!V$2)</f>
        <v>0</v>
      </c>
      <c r="W65" s="91" t="n">
        <f aca="false">IFERROR(V65/V$5,0)</f>
        <v>0</v>
      </c>
      <c r="Y65" s="75" t="n">
        <f aca="false">SUMIFS('Dados Mov Financeira'!$N:$N,'Dados Mov Financeira'!$O:$O,'DRE 2020'!$B65,'Dados Mov Financeira'!$A:$A,'DRE 2020'!Y$1,'Dados Mov Financeira'!$B:$B,'DRE 2020'!Y$2)</f>
        <v>0</v>
      </c>
      <c r="Z65" s="91" t="n">
        <f aca="false">IFERROR(Y65/Y$5,0)</f>
        <v>0</v>
      </c>
      <c r="AB65" s="75" t="n">
        <f aca="false">SUMIFS('Dados Mov Financeira'!$N:$N,'Dados Mov Financeira'!$O:$O,'DRE 2020'!$B65,'Dados Mov Financeira'!$A:$A,'DRE 2020'!AB$1,'Dados Mov Financeira'!$B:$B,'DRE 2020'!AB$2)</f>
        <v>0</v>
      </c>
      <c r="AC65" s="91" t="n">
        <f aca="false">IFERROR(AB65/AB$5,0)</f>
        <v>0</v>
      </c>
      <c r="AE65" s="75" t="n">
        <f aca="false">SUMIFS('Dados Mov Financeira'!$N:$N,'Dados Mov Financeira'!$O:$O,'DRE 2020'!$B65,'Dados Mov Financeira'!$A:$A,'DRE 2020'!AE$1,'Dados Mov Financeira'!$B:$B,'DRE 2020'!AE$2)</f>
        <v>0</v>
      </c>
      <c r="AF65" s="91" t="n">
        <f aca="false">IFERROR(AE65/AE$5,0)</f>
        <v>0</v>
      </c>
      <c r="AH65" s="75" t="n">
        <f aca="false">SUMIFS('Dados Mov Financeira'!$N:$N,'Dados Mov Financeira'!$O:$O,'DRE 2020'!$B65,'Dados Mov Financeira'!$A:$A,'DRE 2020'!AH$1,'Dados Mov Financeira'!$B:$B,'DRE 2020'!AH$2)</f>
        <v>0</v>
      </c>
      <c r="AI65" s="91" t="n">
        <f aca="false">IFERROR(AH65/AH$5,0)</f>
        <v>0</v>
      </c>
      <c r="AK65" s="75" t="n">
        <f aca="false">SUMIFS('Dados Mov Financeira'!$N:$N,'Dados Mov Financeira'!$O:$O,'DRE 2020'!$B65,'Dados Mov Financeira'!$A:$A,'DRE 2020'!AK$1,'Dados Mov Financeira'!$B:$B,'DRE 2020'!AK$2)</f>
        <v>0</v>
      </c>
      <c r="AL65" s="91" t="n">
        <f aca="false">IFERROR(AK65/AK$5,0)</f>
        <v>0</v>
      </c>
      <c r="AN65" s="92" t="n">
        <f aca="false">SUM(D65,G65,J65,M65,P65,S65,V65,Y65,AB65,AE65,AH65,AK65)</f>
        <v>0</v>
      </c>
      <c r="AO65" s="91" t="n">
        <f aca="false">IFERROR(AN65/AN$5,0)</f>
        <v>0</v>
      </c>
      <c r="AQ65" s="93" t="n">
        <f aca="false">AN65/$AR$1</f>
        <v>0</v>
      </c>
      <c r="AR65" s="94" t="n">
        <f aca="false">IFERROR(AQ65/AQ$5,0)</f>
        <v>0</v>
      </c>
      <c r="AT65" s="111"/>
    </row>
    <row r="66" customFormat="false" ht="15.75" hidden="true" customHeight="true" outlineLevel="1" collapsed="false">
      <c r="B66" s="89" t="s">
        <v>87</v>
      </c>
      <c r="D66" s="75" t="n">
        <f aca="false">SUMIFS('Dados Mov Financeira'!$N:$N,'Dados Mov Financeira'!$O:$O,'DRE 2020'!$B66,'Dados Mov Financeira'!$A:$A,'DRE 2020'!D$1,'Dados Mov Financeira'!$B:$B,'DRE 2020'!D$2)</f>
        <v>0</v>
      </c>
      <c r="E66" s="91" t="n">
        <f aca="false">IFERROR(D66/D$5,0)</f>
        <v>0</v>
      </c>
      <c r="G66" s="75" t="n">
        <f aca="false">SUMIFS('Dados Mov Financeira'!$N:$N,'Dados Mov Financeira'!$O:$O,'DRE 2020'!$B66,'Dados Mov Financeira'!$A:$A,'DRE 2020'!G$1,'Dados Mov Financeira'!$B:$B,'DRE 2020'!G$2)</f>
        <v>0</v>
      </c>
      <c r="H66" s="91" t="n">
        <f aca="false">IFERROR(G66/G$5,0)</f>
        <v>0</v>
      </c>
      <c r="J66" s="75" t="n">
        <f aca="false">SUMIFS('Dados Mov Financeira'!$N:$N,'Dados Mov Financeira'!$O:$O,'DRE 2020'!$B66,'Dados Mov Financeira'!$A:$A,'DRE 2020'!J$1,'Dados Mov Financeira'!$B:$B,'DRE 2020'!J$2)</f>
        <v>0</v>
      </c>
      <c r="K66" s="91" t="n">
        <f aca="false">IFERROR(J66/J$5,0)</f>
        <v>0</v>
      </c>
      <c r="M66" s="75" t="n">
        <f aca="false">SUMIFS('Dados Mov Financeira'!$N:$N,'Dados Mov Financeira'!$O:$O,'DRE 2020'!$B66,'Dados Mov Financeira'!$A:$A,'DRE 2020'!M$1,'Dados Mov Financeira'!$B:$B,'DRE 2020'!M$2)</f>
        <v>0</v>
      </c>
      <c r="N66" s="91" t="n">
        <f aca="false">IFERROR(M66/M$5,0)</f>
        <v>0</v>
      </c>
      <c r="P66" s="75" t="n">
        <f aca="false">SUMIFS('Dados Mov Financeira'!$N:$N,'Dados Mov Financeira'!$O:$O,'DRE 2020'!$B66,'Dados Mov Financeira'!$A:$A,'DRE 2020'!P$1,'Dados Mov Financeira'!$B:$B,'DRE 2020'!P$2)</f>
        <v>0</v>
      </c>
      <c r="Q66" s="91" t="n">
        <f aca="false">IFERROR(P66/P$5,0)</f>
        <v>0</v>
      </c>
      <c r="S66" s="75" t="n">
        <f aca="false">SUMIFS('Dados Mov Financeira'!$N:$N,'Dados Mov Financeira'!$O:$O,'DRE 2020'!$B66,'Dados Mov Financeira'!$A:$A,'DRE 2020'!S$1,'Dados Mov Financeira'!$B:$B,'DRE 2020'!S$2)</f>
        <v>0</v>
      </c>
      <c r="T66" s="91" t="n">
        <f aca="false">IFERROR(S66/S$5,0)</f>
        <v>0</v>
      </c>
      <c r="V66" s="75" t="n">
        <f aca="false">SUMIFS('Dados Mov Financeira'!$N:$N,'Dados Mov Financeira'!$O:$O,'DRE 2020'!$B66,'Dados Mov Financeira'!$A:$A,'DRE 2020'!V$1,'Dados Mov Financeira'!$B:$B,'DRE 2020'!V$2)</f>
        <v>0</v>
      </c>
      <c r="W66" s="91" t="n">
        <f aca="false">IFERROR(V66/V$5,0)</f>
        <v>0</v>
      </c>
      <c r="Y66" s="75" t="n">
        <f aca="false">SUMIFS('Dados Mov Financeira'!$N:$N,'Dados Mov Financeira'!$O:$O,'DRE 2020'!$B66,'Dados Mov Financeira'!$A:$A,'DRE 2020'!Y$1,'Dados Mov Financeira'!$B:$B,'DRE 2020'!Y$2)</f>
        <v>0</v>
      </c>
      <c r="Z66" s="91" t="n">
        <f aca="false">IFERROR(Y66/Y$5,0)</f>
        <v>0</v>
      </c>
      <c r="AB66" s="75" t="n">
        <f aca="false">SUMIFS('Dados Mov Financeira'!$N:$N,'Dados Mov Financeira'!$O:$O,'DRE 2020'!$B66,'Dados Mov Financeira'!$A:$A,'DRE 2020'!AB$1,'Dados Mov Financeira'!$B:$B,'DRE 2020'!AB$2)</f>
        <v>0</v>
      </c>
      <c r="AC66" s="91" t="n">
        <f aca="false">IFERROR(AB66/AB$5,0)</f>
        <v>0</v>
      </c>
      <c r="AE66" s="75" t="n">
        <f aca="false">SUMIFS('Dados Mov Financeira'!$N:$N,'Dados Mov Financeira'!$O:$O,'DRE 2020'!$B66,'Dados Mov Financeira'!$A:$A,'DRE 2020'!AE$1,'Dados Mov Financeira'!$B:$B,'DRE 2020'!AE$2)</f>
        <v>0</v>
      </c>
      <c r="AF66" s="91" t="n">
        <f aca="false">IFERROR(AE66/AE$5,0)</f>
        <v>0</v>
      </c>
      <c r="AH66" s="75" t="n">
        <f aca="false">SUMIFS('Dados Mov Financeira'!$N:$N,'Dados Mov Financeira'!$O:$O,'DRE 2020'!$B66,'Dados Mov Financeira'!$A:$A,'DRE 2020'!AH$1,'Dados Mov Financeira'!$B:$B,'DRE 2020'!AH$2)</f>
        <v>0</v>
      </c>
      <c r="AI66" s="91" t="n">
        <f aca="false">IFERROR(AH66/AH$5,0)</f>
        <v>0</v>
      </c>
      <c r="AK66" s="75" t="n">
        <f aca="false">SUMIFS('Dados Mov Financeira'!$N:$N,'Dados Mov Financeira'!$O:$O,'DRE 2020'!$B66,'Dados Mov Financeira'!$A:$A,'DRE 2020'!AK$1,'Dados Mov Financeira'!$B:$B,'DRE 2020'!AK$2)</f>
        <v>0</v>
      </c>
      <c r="AL66" s="91" t="n">
        <f aca="false">IFERROR(AK66/AK$5,0)</f>
        <v>0</v>
      </c>
      <c r="AN66" s="92" t="n">
        <f aca="false">SUM(D66,G66,J66,M66,P66,S66,V66,Y66,AB66,AE66,AH66,AK66)</f>
        <v>0</v>
      </c>
      <c r="AO66" s="91" t="n">
        <f aca="false">IFERROR(AN66/AN$5,0)</f>
        <v>0</v>
      </c>
      <c r="AQ66" s="93" t="n">
        <f aca="false">AN66/$AR$1</f>
        <v>0</v>
      </c>
      <c r="AR66" s="94" t="n">
        <f aca="false">IFERROR(AQ66/AQ$5,0)</f>
        <v>0</v>
      </c>
      <c r="AT66" s="111"/>
    </row>
    <row r="67" customFormat="false" ht="15.75" hidden="true" customHeight="true" outlineLevel="1" collapsed="false">
      <c r="B67" s="89" t="s">
        <v>88</v>
      </c>
      <c r="D67" s="75" t="n">
        <f aca="false">SUMIFS('Dados Mov Financeira'!$N:$N,'Dados Mov Financeira'!$O:$O,'DRE 2020'!$B67,'Dados Mov Financeira'!$A:$A,'DRE 2020'!D$1,'Dados Mov Financeira'!$B:$B,'DRE 2020'!D$2)</f>
        <v>0</v>
      </c>
      <c r="E67" s="91" t="n">
        <f aca="false">IFERROR(D67/D$5,0)</f>
        <v>0</v>
      </c>
      <c r="G67" s="75" t="n">
        <f aca="false">SUMIFS('Dados Mov Financeira'!$N:$N,'Dados Mov Financeira'!$O:$O,'DRE 2020'!$B67,'Dados Mov Financeira'!$A:$A,'DRE 2020'!G$1,'Dados Mov Financeira'!$B:$B,'DRE 2020'!G$2)</f>
        <v>0</v>
      </c>
      <c r="H67" s="91" t="n">
        <f aca="false">IFERROR(G67/G$5,0)</f>
        <v>0</v>
      </c>
      <c r="J67" s="75" t="n">
        <f aca="false">SUMIFS('Dados Mov Financeira'!$N:$N,'Dados Mov Financeira'!$O:$O,'DRE 2020'!$B67,'Dados Mov Financeira'!$A:$A,'DRE 2020'!J$1,'Dados Mov Financeira'!$B:$B,'DRE 2020'!J$2)</f>
        <v>0</v>
      </c>
      <c r="K67" s="91" t="n">
        <f aca="false">IFERROR(J67/J$5,0)</f>
        <v>0</v>
      </c>
      <c r="M67" s="75" t="n">
        <f aca="false">SUMIFS('Dados Mov Financeira'!$N:$N,'Dados Mov Financeira'!$O:$O,'DRE 2020'!$B67,'Dados Mov Financeira'!$A:$A,'DRE 2020'!M$1,'Dados Mov Financeira'!$B:$B,'DRE 2020'!M$2)</f>
        <v>0</v>
      </c>
      <c r="N67" s="91" t="n">
        <f aca="false">IFERROR(M67/M$5,0)</f>
        <v>0</v>
      </c>
      <c r="P67" s="75" t="n">
        <f aca="false">SUMIFS('Dados Mov Financeira'!$N:$N,'Dados Mov Financeira'!$O:$O,'DRE 2020'!$B67,'Dados Mov Financeira'!$A:$A,'DRE 2020'!P$1,'Dados Mov Financeira'!$B:$B,'DRE 2020'!P$2)</f>
        <v>0</v>
      </c>
      <c r="Q67" s="91" t="n">
        <f aca="false">IFERROR(P67/P$5,0)</f>
        <v>0</v>
      </c>
      <c r="S67" s="75" t="n">
        <f aca="false">SUMIFS('Dados Mov Financeira'!$N:$N,'Dados Mov Financeira'!$O:$O,'DRE 2020'!$B67,'Dados Mov Financeira'!$A:$A,'DRE 2020'!S$1,'Dados Mov Financeira'!$B:$B,'DRE 2020'!S$2)</f>
        <v>0</v>
      </c>
      <c r="T67" s="91" t="n">
        <f aca="false">IFERROR(S67/S$5,0)</f>
        <v>0</v>
      </c>
      <c r="V67" s="75" t="n">
        <f aca="false">SUMIFS('Dados Mov Financeira'!$N:$N,'Dados Mov Financeira'!$O:$O,'DRE 2020'!$B67,'Dados Mov Financeira'!$A:$A,'DRE 2020'!V$1,'Dados Mov Financeira'!$B:$B,'DRE 2020'!V$2)</f>
        <v>0</v>
      </c>
      <c r="W67" s="91" t="n">
        <f aca="false">IFERROR(V67/V$5,0)</f>
        <v>0</v>
      </c>
      <c r="Y67" s="75" t="n">
        <f aca="false">SUMIFS('Dados Mov Financeira'!$N:$N,'Dados Mov Financeira'!$O:$O,'DRE 2020'!$B67,'Dados Mov Financeira'!$A:$A,'DRE 2020'!Y$1,'Dados Mov Financeira'!$B:$B,'DRE 2020'!Y$2)</f>
        <v>0</v>
      </c>
      <c r="Z67" s="91" t="n">
        <f aca="false">IFERROR(Y67/Y$5,0)</f>
        <v>0</v>
      </c>
      <c r="AB67" s="75" t="n">
        <f aca="false">SUMIFS('Dados Mov Financeira'!$N:$N,'Dados Mov Financeira'!$O:$O,'DRE 2020'!$B67,'Dados Mov Financeira'!$A:$A,'DRE 2020'!AB$1,'Dados Mov Financeira'!$B:$B,'DRE 2020'!AB$2)</f>
        <v>0</v>
      </c>
      <c r="AC67" s="91" t="n">
        <f aca="false">IFERROR(AB67/AB$5,0)</f>
        <v>0</v>
      </c>
      <c r="AE67" s="75" t="n">
        <f aca="false">SUMIFS('Dados Mov Financeira'!$N:$N,'Dados Mov Financeira'!$O:$O,'DRE 2020'!$B67,'Dados Mov Financeira'!$A:$A,'DRE 2020'!AE$1,'Dados Mov Financeira'!$B:$B,'DRE 2020'!AE$2)</f>
        <v>0</v>
      </c>
      <c r="AF67" s="91" t="n">
        <f aca="false">IFERROR(AE67/AE$5,0)</f>
        <v>0</v>
      </c>
      <c r="AH67" s="75" t="n">
        <f aca="false">SUMIFS('Dados Mov Financeira'!$N:$N,'Dados Mov Financeira'!$O:$O,'DRE 2020'!$B67,'Dados Mov Financeira'!$A:$A,'DRE 2020'!AH$1,'Dados Mov Financeira'!$B:$B,'DRE 2020'!AH$2)</f>
        <v>0</v>
      </c>
      <c r="AI67" s="91" t="n">
        <f aca="false">IFERROR(AH67/AH$5,0)</f>
        <v>0</v>
      </c>
      <c r="AK67" s="75" t="n">
        <f aca="false">SUMIFS('Dados Mov Financeira'!$N:$N,'Dados Mov Financeira'!$O:$O,'DRE 2020'!$B67,'Dados Mov Financeira'!$A:$A,'DRE 2020'!AK$1,'Dados Mov Financeira'!$B:$B,'DRE 2020'!AK$2)</f>
        <v>0</v>
      </c>
      <c r="AL67" s="91" t="n">
        <f aca="false">IFERROR(AK67/AK$5,0)</f>
        <v>0</v>
      </c>
      <c r="AN67" s="92" t="n">
        <f aca="false">SUM(D67,G67,J67,M67,P67,S67,V67,Y67,AB67,AE67,AH67,AK67)</f>
        <v>0</v>
      </c>
      <c r="AO67" s="91" t="n">
        <f aca="false">IFERROR(AN67/AN$5,0)</f>
        <v>0</v>
      </c>
      <c r="AQ67" s="93" t="n">
        <f aca="false">AN67/$AR$1</f>
        <v>0</v>
      </c>
      <c r="AR67" s="94" t="n">
        <f aca="false">IFERROR(AQ67/AQ$5,0)</f>
        <v>0</v>
      </c>
      <c r="AT67" s="111"/>
    </row>
    <row r="68" customFormat="false" ht="15.75" hidden="true" customHeight="true" outlineLevel="1" collapsed="false">
      <c r="B68" s="89" t="s">
        <v>89</v>
      </c>
      <c r="D68" s="75" t="n">
        <f aca="false">SUMIFS('Dados Mov Financeira'!$N:$N,'Dados Mov Financeira'!$O:$O,'DRE 2020'!$B68,'Dados Mov Financeira'!$A:$A,'DRE 2020'!D$1,'Dados Mov Financeira'!$B:$B,'DRE 2020'!D$2)</f>
        <v>0</v>
      </c>
      <c r="E68" s="91" t="n">
        <f aca="false">IFERROR(D68/D$5,0)</f>
        <v>0</v>
      </c>
      <c r="G68" s="75" t="n">
        <f aca="false">SUMIFS('Dados Mov Financeira'!$N:$N,'Dados Mov Financeira'!$O:$O,'DRE 2020'!$B68,'Dados Mov Financeira'!$A:$A,'DRE 2020'!G$1,'Dados Mov Financeira'!$B:$B,'DRE 2020'!G$2)</f>
        <v>0</v>
      </c>
      <c r="H68" s="91" t="n">
        <f aca="false">IFERROR(G68/G$5,0)</f>
        <v>0</v>
      </c>
      <c r="J68" s="75" t="n">
        <f aca="false">SUMIFS('Dados Mov Financeira'!$N:$N,'Dados Mov Financeira'!$O:$O,'DRE 2020'!$B68,'Dados Mov Financeira'!$A:$A,'DRE 2020'!J$1,'Dados Mov Financeira'!$B:$B,'DRE 2020'!J$2)</f>
        <v>0</v>
      </c>
      <c r="K68" s="91" t="n">
        <f aca="false">IFERROR(J68/J$5,0)</f>
        <v>0</v>
      </c>
      <c r="M68" s="75" t="n">
        <f aca="false">SUMIFS('Dados Mov Financeira'!$N:$N,'Dados Mov Financeira'!$O:$O,'DRE 2020'!$B68,'Dados Mov Financeira'!$A:$A,'DRE 2020'!M$1,'Dados Mov Financeira'!$B:$B,'DRE 2020'!M$2)</f>
        <v>0</v>
      </c>
      <c r="N68" s="91" t="n">
        <f aca="false">IFERROR(M68/M$5,0)</f>
        <v>0</v>
      </c>
      <c r="P68" s="75" t="n">
        <f aca="false">SUMIFS('Dados Mov Financeira'!$N:$N,'Dados Mov Financeira'!$O:$O,'DRE 2020'!$B68,'Dados Mov Financeira'!$A:$A,'DRE 2020'!P$1,'Dados Mov Financeira'!$B:$B,'DRE 2020'!P$2)</f>
        <v>0</v>
      </c>
      <c r="Q68" s="91" t="n">
        <f aca="false">IFERROR(P68/P$5,0)</f>
        <v>0</v>
      </c>
      <c r="S68" s="75" t="n">
        <f aca="false">SUMIFS('Dados Mov Financeira'!$N:$N,'Dados Mov Financeira'!$O:$O,'DRE 2020'!$B68,'Dados Mov Financeira'!$A:$A,'DRE 2020'!S$1,'Dados Mov Financeira'!$B:$B,'DRE 2020'!S$2)</f>
        <v>0</v>
      </c>
      <c r="T68" s="91" t="n">
        <f aca="false">IFERROR(S68/S$5,0)</f>
        <v>0</v>
      </c>
      <c r="V68" s="75" t="n">
        <f aca="false">SUMIFS('Dados Mov Financeira'!$N:$N,'Dados Mov Financeira'!$O:$O,'DRE 2020'!$B68,'Dados Mov Financeira'!$A:$A,'DRE 2020'!V$1,'Dados Mov Financeira'!$B:$B,'DRE 2020'!V$2)</f>
        <v>0</v>
      </c>
      <c r="W68" s="91" t="n">
        <f aca="false">IFERROR(V68/V$5,0)</f>
        <v>0</v>
      </c>
      <c r="Y68" s="75" t="n">
        <f aca="false">SUMIFS('Dados Mov Financeira'!$N:$N,'Dados Mov Financeira'!$O:$O,'DRE 2020'!$B68,'Dados Mov Financeira'!$A:$A,'DRE 2020'!Y$1,'Dados Mov Financeira'!$B:$B,'DRE 2020'!Y$2)</f>
        <v>0</v>
      </c>
      <c r="Z68" s="91" t="n">
        <f aca="false">IFERROR(Y68/Y$5,0)</f>
        <v>0</v>
      </c>
      <c r="AB68" s="75" t="n">
        <f aca="false">SUMIFS('Dados Mov Financeira'!$N:$N,'Dados Mov Financeira'!$O:$O,'DRE 2020'!$B68,'Dados Mov Financeira'!$A:$A,'DRE 2020'!AB$1,'Dados Mov Financeira'!$B:$B,'DRE 2020'!AB$2)</f>
        <v>0</v>
      </c>
      <c r="AC68" s="91" t="n">
        <f aca="false">IFERROR(AB68/AB$5,0)</f>
        <v>0</v>
      </c>
      <c r="AE68" s="75" t="n">
        <f aca="false">SUMIFS('Dados Mov Financeira'!$N:$N,'Dados Mov Financeira'!$O:$O,'DRE 2020'!$B68,'Dados Mov Financeira'!$A:$A,'DRE 2020'!AE$1,'Dados Mov Financeira'!$B:$B,'DRE 2020'!AE$2)</f>
        <v>0</v>
      </c>
      <c r="AF68" s="91" t="n">
        <f aca="false">IFERROR(AE68/AE$5,0)</f>
        <v>0</v>
      </c>
      <c r="AH68" s="75" t="n">
        <f aca="false">SUMIFS('Dados Mov Financeira'!$N:$N,'Dados Mov Financeira'!$O:$O,'DRE 2020'!$B68,'Dados Mov Financeira'!$A:$A,'DRE 2020'!AH$1,'Dados Mov Financeira'!$B:$B,'DRE 2020'!AH$2)</f>
        <v>0</v>
      </c>
      <c r="AI68" s="91" t="n">
        <f aca="false">IFERROR(AH68/AH$5,0)</f>
        <v>0</v>
      </c>
      <c r="AK68" s="75" t="n">
        <f aca="false">SUMIFS('Dados Mov Financeira'!$N:$N,'Dados Mov Financeira'!$O:$O,'DRE 2020'!$B68,'Dados Mov Financeira'!$A:$A,'DRE 2020'!AK$1,'Dados Mov Financeira'!$B:$B,'DRE 2020'!AK$2)</f>
        <v>0</v>
      </c>
      <c r="AL68" s="91" t="n">
        <f aca="false">IFERROR(AK68/AK$5,0)</f>
        <v>0</v>
      </c>
      <c r="AN68" s="92" t="n">
        <f aca="false">SUM(D68,G68,J68,M68,P68,S68,V68,Y68,AB68,AE68,AH68,AK68)</f>
        <v>0</v>
      </c>
      <c r="AO68" s="91" t="n">
        <f aca="false">IFERROR(AN68/AN$5,0)</f>
        <v>0</v>
      </c>
      <c r="AQ68" s="93" t="n">
        <f aca="false">AN68/$AR$1</f>
        <v>0</v>
      </c>
      <c r="AR68" s="94" t="n">
        <f aca="false">IFERROR(AQ68/AQ$5,0)</f>
        <v>0</v>
      </c>
      <c r="AT68" s="111"/>
    </row>
    <row r="69" customFormat="false" ht="15.75" hidden="true" customHeight="true" outlineLevel="1" collapsed="false">
      <c r="B69" s="89" t="s">
        <v>90</v>
      </c>
      <c r="D69" s="75" t="n">
        <f aca="false">SUMIFS('Dados Mov Financeira'!$N:$N,'Dados Mov Financeira'!$O:$O,'DRE 2020'!$B69,'Dados Mov Financeira'!$A:$A,'DRE 2020'!D$1,'Dados Mov Financeira'!$B:$B,'DRE 2020'!D$2)</f>
        <v>0</v>
      </c>
      <c r="E69" s="91" t="n">
        <f aca="false">IFERROR(D69/D$5,0)</f>
        <v>0</v>
      </c>
      <c r="G69" s="75" t="n">
        <f aca="false">SUMIFS('Dados Mov Financeira'!$N:$N,'Dados Mov Financeira'!$O:$O,'DRE 2020'!$B69,'Dados Mov Financeira'!$A:$A,'DRE 2020'!G$1,'Dados Mov Financeira'!$B:$B,'DRE 2020'!G$2)</f>
        <v>0</v>
      </c>
      <c r="H69" s="91" t="n">
        <f aca="false">IFERROR(G69/G$5,0)</f>
        <v>0</v>
      </c>
      <c r="J69" s="75" t="n">
        <f aca="false">SUMIFS('Dados Mov Financeira'!$N:$N,'Dados Mov Financeira'!$O:$O,'DRE 2020'!$B69,'Dados Mov Financeira'!$A:$A,'DRE 2020'!J$1,'Dados Mov Financeira'!$B:$B,'DRE 2020'!J$2)</f>
        <v>0</v>
      </c>
      <c r="K69" s="91" t="n">
        <f aca="false">IFERROR(J69/J$5,0)</f>
        <v>0</v>
      </c>
      <c r="M69" s="99" t="n">
        <f aca="false">SUMIFS('Dados Mov Financeira'!$N:$N,'Dados Mov Financeira'!$O:$O,'DRE 2020'!$B69,'Dados Mov Financeira'!$A:$A,'DRE 2020'!M$1,'Dados Mov Financeira'!$B:$B,'DRE 2020'!M$2)</f>
        <v>0</v>
      </c>
      <c r="N69" s="91" t="n">
        <f aca="false">IFERROR(M69/M$5,0)</f>
        <v>0</v>
      </c>
      <c r="P69" s="75" t="n">
        <f aca="false">SUMIFS('Dados Mov Financeira'!$N:$N,'Dados Mov Financeira'!$O:$O,'DRE 2020'!$B69,'Dados Mov Financeira'!$A:$A,'DRE 2020'!P$1,'Dados Mov Financeira'!$B:$B,'DRE 2020'!P$2)</f>
        <v>0</v>
      </c>
      <c r="Q69" s="91" t="n">
        <f aca="false">IFERROR(P69/P$5,0)</f>
        <v>0</v>
      </c>
      <c r="S69" s="75" t="n">
        <f aca="false">SUMIFS('Dados Mov Financeira'!$N:$N,'Dados Mov Financeira'!$O:$O,'DRE 2020'!$B69,'Dados Mov Financeira'!$A:$A,'DRE 2020'!S$1,'Dados Mov Financeira'!$B:$B,'DRE 2020'!S$2)</f>
        <v>0</v>
      </c>
      <c r="T69" s="91" t="n">
        <f aca="false">IFERROR(S69/S$5,0)</f>
        <v>0</v>
      </c>
      <c r="V69" s="75" t="n">
        <f aca="false">SUMIFS('Dados Mov Financeira'!$N:$N,'Dados Mov Financeira'!$O:$O,'DRE 2020'!$B69,'Dados Mov Financeira'!$A:$A,'DRE 2020'!V$1,'Dados Mov Financeira'!$B:$B,'DRE 2020'!V$2)</f>
        <v>0</v>
      </c>
      <c r="W69" s="91" t="n">
        <f aca="false">IFERROR(V69/V$5,0)</f>
        <v>0</v>
      </c>
      <c r="Y69" s="75" t="n">
        <f aca="false">SUMIFS('Dados Mov Financeira'!$N:$N,'Dados Mov Financeira'!$O:$O,'DRE 2020'!$B69,'Dados Mov Financeira'!$A:$A,'DRE 2020'!Y$1,'Dados Mov Financeira'!$B:$B,'DRE 2020'!Y$2)</f>
        <v>0</v>
      </c>
      <c r="Z69" s="91" t="n">
        <f aca="false">IFERROR(Y69/Y$5,0)</f>
        <v>0</v>
      </c>
      <c r="AB69" s="75" t="n">
        <f aca="false">SUMIFS('Dados Mov Financeira'!$N:$N,'Dados Mov Financeira'!$O:$O,'DRE 2020'!$B69,'Dados Mov Financeira'!$A:$A,'DRE 2020'!AB$1,'Dados Mov Financeira'!$B:$B,'DRE 2020'!AB$2)</f>
        <v>0</v>
      </c>
      <c r="AC69" s="91" t="n">
        <f aca="false">IFERROR(AB69/AB$5,0)</f>
        <v>0</v>
      </c>
      <c r="AE69" s="75" t="n">
        <f aca="false">SUMIFS('Dados Mov Financeira'!$N:$N,'Dados Mov Financeira'!$O:$O,'DRE 2020'!$B69,'Dados Mov Financeira'!$A:$A,'DRE 2020'!AE$1,'Dados Mov Financeira'!$B:$B,'DRE 2020'!AE$2)</f>
        <v>0</v>
      </c>
      <c r="AF69" s="91" t="n">
        <f aca="false">IFERROR(AE69/AE$5,0)</f>
        <v>0</v>
      </c>
      <c r="AH69" s="75" t="n">
        <f aca="false">SUMIFS('Dados Mov Financeira'!$N:$N,'Dados Mov Financeira'!$O:$O,'DRE 2020'!$B69,'Dados Mov Financeira'!$A:$A,'DRE 2020'!AH$1,'Dados Mov Financeira'!$B:$B,'DRE 2020'!AH$2)</f>
        <v>0</v>
      </c>
      <c r="AI69" s="91" t="n">
        <f aca="false">IFERROR(AH69/AH$5,0)</f>
        <v>0</v>
      </c>
      <c r="AK69" s="75" t="n">
        <f aca="false">SUMIFS('Dados Mov Financeira'!$N:$N,'Dados Mov Financeira'!$O:$O,'DRE 2020'!$B69,'Dados Mov Financeira'!$A:$A,'DRE 2020'!AK$1,'Dados Mov Financeira'!$B:$B,'DRE 2020'!AK$2)</f>
        <v>0</v>
      </c>
      <c r="AL69" s="91" t="n">
        <f aca="false">IFERROR(AK69/AK$5,0)</f>
        <v>0</v>
      </c>
      <c r="AN69" s="92" t="n">
        <f aca="false">SUM(D69,G69,J69,M69,P69,S69,V69,Y69,AB69,AE69,AH69,AK69)</f>
        <v>0</v>
      </c>
      <c r="AO69" s="91" t="n">
        <f aca="false">IFERROR(AN69/AN$5,0)</f>
        <v>0</v>
      </c>
      <c r="AQ69" s="93" t="n">
        <f aca="false">AN69/$AR$1</f>
        <v>0</v>
      </c>
      <c r="AR69" s="94" t="n">
        <f aca="false">IFERROR(AQ69/AQ$5,0)</f>
        <v>0</v>
      </c>
      <c r="AT69" s="111"/>
    </row>
    <row r="70" customFormat="false" ht="15.75" hidden="true" customHeight="true" outlineLevel="1" collapsed="false">
      <c r="B70" s="89" t="s">
        <v>91</v>
      </c>
      <c r="D70" s="75" t="n">
        <f aca="false">SUMIFS('Dados Mov Financeira'!$N:$N,'Dados Mov Financeira'!$O:$O,'DRE 2020'!$B70,'Dados Mov Financeira'!$A:$A,'DRE 2020'!D$1,'Dados Mov Financeira'!$B:$B,'DRE 2020'!D$2)</f>
        <v>0</v>
      </c>
      <c r="E70" s="91" t="n">
        <f aca="false">IFERROR(D70/D$5,0)</f>
        <v>0</v>
      </c>
      <c r="G70" s="75" t="n">
        <f aca="false">SUMIFS('Dados Mov Financeira'!$N:$N,'Dados Mov Financeira'!$O:$O,'DRE 2020'!$B70,'Dados Mov Financeira'!$A:$A,'DRE 2020'!G$1,'Dados Mov Financeira'!$B:$B,'DRE 2020'!G$2)</f>
        <v>0</v>
      </c>
      <c r="H70" s="91" t="n">
        <f aca="false">IFERROR(G70/G$5,0)</f>
        <v>0</v>
      </c>
      <c r="J70" s="75" t="n">
        <f aca="false">SUMIFS('Dados Mov Financeira'!$N:$N,'Dados Mov Financeira'!$O:$O,'DRE 2020'!$B70,'Dados Mov Financeira'!$A:$A,'DRE 2020'!J$1,'Dados Mov Financeira'!$B:$B,'DRE 2020'!J$2)</f>
        <v>0</v>
      </c>
      <c r="K70" s="91" t="n">
        <f aca="false">IFERROR(J70/J$5,0)</f>
        <v>0</v>
      </c>
      <c r="M70" s="75" t="n">
        <f aca="false">SUMIFS('Dados Mov Financeira'!$N:$N,'Dados Mov Financeira'!$O:$O,'DRE 2020'!$B70,'Dados Mov Financeira'!$A:$A,'DRE 2020'!M$1,'Dados Mov Financeira'!$B:$B,'DRE 2020'!M$2)</f>
        <v>0</v>
      </c>
      <c r="N70" s="91" t="n">
        <f aca="false">IFERROR(M70/M$5,0)</f>
        <v>0</v>
      </c>
      <c r="P70" s="75" t="n">
        <f aca="false">SUMIFS('Dados Mov Financeira'!$N:$N,'Dados Mov Financeira'!$O:$O,'DRE 2020'!$B70,'Dados Mov Financeira'!$A:$A,'DRE 2020'!P$1,'Dados Mov Financeira'!$B:$B,'DRE 2020'!P$2)</f>
        <v>0</v>
      </c>
      <c r="Q70" s="91" t="n">
        <f aca="false">IFERROR(P70/P$5,0)</f>
        <v>0</v>
      </c>
      <c r="S70" s="75" t="n">
        <f aca="false">SUMIFS('Dados Mov Financeira'!$N:$N,'Dados Mov Financeira'!$O:$O,'DRE 2020'!$B70,'Dados Mov Financeira'!$A:$A,'DRE 2020'!S$1,'Dados Mov Financeira'!$B:$B,'DRE 2020'!S$2)</f>
        <v>0</v>
      </c>
      <c r="T70" s="91" t="n">
        <f aca="false">IFERROR(S70/S$5,0)</f>
        <v>0</v>
      </c>
      <c r="V70" s="75" t="n">
        <f aca="false">SUMIFS('Dados Mov Financeira'!$N:$N,'Dados Mov Financeira'!$O:$O,'DRE 2020'!$B70,'Dados Mov Financeira'!$A:$A,'DRE 2020'!V$1,'Dados Mov Financeira'!$B:$B,'DRE 2020'!V$2)</f>
        <v>0</v>
      </c>
      <c r="W70" s="91" t="n">
        <f aca="false">IFERROR(V70/V$5,0)</f>
        <v>0</v>
      </c>
      <c r="Y70" s="75" t="n">
        <f aca="false">SUMIFS('Dados Mov Financeira'!$N:$N,'Dados Mov Financeira'!$O:$O,'DRE 2020'!$B70,'Dados Mov Financeira'!$A:$A,'DRE 2020'!Y$1,'Dados Mov Financeira'!$B:$B,'DRE 2020'!Y$2)</f>
        <v>0</v>
      </c>
      <c r="Z70" s="91" t="n">
        <f aca="false">IFERROR(Y70/Y$5,0)</f>
        <v>0</v>
      </c>
      <c r="AB70" s="75" t="n">
        <f aca="false">SUMIFS('Dados Mov Financeira'!$N:$N,'Dados Mov Financeira'!$O:$O,'DRE 2020'!$B70,'Dados Mov Financeira'!$A:$A,'DRE 2020'!AB$1,'Dados Mov Financeira'!$B:$B,'DRE 2020'!AB$2)</f>
        <v>0</v>
      </c>
      <c r="AC70" s="91" t="n">
        <f aca="false">IFERROR(AB70/AB$5,0)</f>
        <v>0</v>
      </c>
      <c r="AE70" s="75" t="n">
        <f aca="false">SUMIFS('Dados Mov Financeira'!$N:$N,'Dados Mov Financeira'!$O:$O,'DRE 2020'!$B70,'Dados Mov Financeira'!$A:$A,'DRE 2020'!AE$1,'Dados Mov Financeira'!$B:$B,'DRE 2020'!AE$2)</f>
        <v>0</v>
      </c>
      <c r="AF70" s="91" t="n">
        <f aca="false">IFERROR(AE70/AE$5,0)</f>
        <v>0</v>
      </c>
      <c r="AH70" s="75" t="n">
        <f aca="false">SUMIFS('Dados Mov Financeira'!$N:$N,'Dados Mov Financeira'!$O:$O,'DRE 2020'!$B70,'Dados Mov Financeira'!$A:$A,'DRE 2020'!AH$1,'Dados Mov Financeira'!$B:$B,'DRE 2020'!AH$2)</f>
        <v>0</v>
      </c>
      <c r="AI70" s="91" t="n">
        <f aca="false">IFERROR(AH70/AH$5,0)</f>
        <v>0</v>
      </c>
      <c r="AK70" s="75" t="n">
        <f aca="false">SUMIFS('Dados Mov Financeira'!$N:$N,'Dados Mov Financeira'!$O:$O,'DRE 2020'!$B70,'Dados Mov Financeira'!$A:$A,'DRE 2020'!AK$1,'Dados Mov Financeira'!$B:$B,'DRE 2020'!AK$2)</f>
        <v>0</v>
      </c>
      <c r="AL70" s="91" t="n">
        <f aca="false">IFERROR(AK70/AK$5,0)</f>
        <v>0</v>
      </c>
      <c r="AN70" s="92" t="n">
        <f aca="false">SUM(D70,G70,J70,M70,P70,S70,V70,Y70,AB70,AE70,AH70,AK70)</f>
        <v>0</v>
      </c>
      <c r="AO70" s="91" t="n">
        <f aca="false">IFERROR(AN70/AN$5,0)</f>
        <v>0</v>
      </c>
      <c r="AQ70" s="93" t="n">
        <f aca="false">AN70/$AR$1</f>
        <v>0</v>
      </c>
      <c r="AR70" s="94" t="n">
        <f aca="false">IFERROR(AQ70/AQ$5,0)</f>
        <v>0</v>
      </c>
      <c r="AT70" s="111"/>
    </row>
    <row r="71" customFormat="false" ht="15.75" hidden="true" customHeight="true" outlineLevel="1" collapsed="false">
      <c r="B71" s="89" t="s">
        <v>92</v>
      </c>
      <c r="D71" s="75" t="n">
        <f aca="false">SUMIFS('Dados Mov Financeira'!$N:$N,'Dados Mov Financeira'!$O:$O,'DRE 2020'!$B71,'Dados Mov Financeira'!$A:$A,'DRE 2020'!D$1,'Dados Mov Financeira'!$B:$B,'DRE 2020'!D$2)</f>
        <v>0</v>
      </c>
      <c r="E71" s="91" t="n">
        <f aca="false">IFERROR(D71/D$5,0)</f>
        <v>0</v>
      </c>
      <c r="G71" s="75" t="n">
        <f aca="false">SUMIFS('Dados Mov Financeira'!$N:$N,'Dados Mov Financeira'!$O:$O,'DRE 2020'!$B71,'Dados Mov Financeira'!$A:$A,'DRE 2020'!G$1,'Dados Mov Financeira'!$B:$B,'DRE 2020'!G$2)</f>
        <v>0</v>
      </c>
      <c r="H71" s="91" t="n">
        <f aca="false">IFERROR(G71/G$5,0)</f>
        <v>0</v>
      </c>
      <c r="J71" s="75" t="n">
        <f aca="false">SUMIFS('Dados Mov Financeira'!$N:$N,'Dados Mov Financeira'!$O:$O,'DRE 2020'!$B71,'Dados Mov Financeira'!$A:$A,'DRE 2020'!J$1,'Dados Mov Financeira'!$B:$B,'DRE 2020'!J$2)</f>
        <v>0</v>
      </c>
      <c r="K71" s="91" t="n">
        <f aca="false">IFERROR(J71/J$5,0)</f>
        <v>0</v>
      </c>
      <c r="M71" s="75" t="n">
        <f aca="false">SUMIFS('Dados Mov Financeira'!$N:$N,'Dados Mov Financeira'!$O:$O,'DRE 2020'!$B71,'Dados Mov Financeira'!$A:$A,'DRE 2020'!M$1,'Dados Mov Financeira'!$B:$B,'DRE 2020'!M$2)</f>
        <v>0</v>
      </c>
      <c r="N71" s="91" t="n">
        <f aca="false">IFERROR(M71/M$5,0)</f>
        <v>0</v>
      </c>
      <c r="P71" s="99" t="n">
        <f aca="false">SUMIFS('Dados Mov Financeira'!$N:$N,'Dados Mov Financeira'!$O:$O,'DRE 2020'!$B71,'Dados Mov Financeira'!$A:$A,'DRE 2020'!P$1,'Dados Mov Financeira'!$B:$B,'DRE 2020'!P$2)</f>
        <v>0</v>
      </c>
      <c r="Q71" s="91" t="n">
        <f aca="false">IFERROR(P71/P$5,0)</f>
        <v>0</v>
      </c>
      <c r="S71" s="99" t="n">
        <f aca="false">SUMIFS('Dados Mov Financeira'!$N:$N,'Dados Mov Financeira'!$O:$O,'DRE 2020'!$B71,'Dados Mov Financeira'!$A:$A,'DRE 2020'!S$1,'Dados Mov Financeira'!$B:$B,'DRE 2020'!S$2)</f>
        <v>0</v>
      </c>
      <c r="T71" s="91" t="n">
        <f aca="false">IFERROR(S71/S$5,0)</f>
        <v>0</v>
      </c>
      <c r="V71" s="99" t="n">
        <f aca="false">SUMIFS('Dados Mov Financeira'!$N:$N,'Dados Mov Financeira'!$O:$O,'DRE 2020'!$B71,'Dados Mov Financeira'!$A:$A,'DRE 2020'!V$1,'Dados Mov Financeira'!$B:$B,'DRE 2020'!V$2)</f>
        <v>0</v>
      </c>
      <c r="W71" s="91" t="n">
        <f aca="false">IFERROR(V71/V$5,0)</f>
        <v>0</v>
      </c>
      <c r="Y71" s="99" t="n">
        <f aca="false">SUMIFS('Dados Mov Financeira'!$N:$N,'Dados Mov Financeira'!$O:$O,'DRE 2020'!$B71,'Dados Mov Financeira'!$A:$A,'DRE 2020'!Y$1,'Dados Mov Financeira'!$B:$B,'DRE 2020'!Y$2)</f>
        <v>0</v>
      </c>
      <c r="Z71" s="91" t="n">
        <f aca="false">IFERROR(Y71/Y$5,0)</f>
        <v>0</v>
      </c>
      <c r="AB71" s="99" t="n">
        <f aca="false">SUMIFS('Dados Mov Financeira'!$N:$N,'Dados Mov Financeira'!$O:$O,'DRE 2020'!$B71,'Dados Mov Financeira'!$A:$A,'DRE 2020'!AB$1,'Dados Mov Financeira'!$B:$B,'DRE 2020'!AB$2)</f>
        <v>0</v>
      </c>
      <c r="AC71" s="91" t="n">
        <f aca="false">IFERROR(AB71/AB$5,0)</f>
        <v>0</v>
      </c>
      <c r="AE71" s="99" t="n">
        <f aca="false">SUMIFS('Dados Mov Financeira'!$N:$N,'Dados Mov Financeira'!$O:$O,'DRE 2020'!$B71,'Dados Mov Financeira'!$A:$A,'DRE 2020'!AE$1,'Dados Mov Financeira'!$B:$B,'DRE 2020'!AE$2)</f>
        <v>0</v>
      </c>
      <c r="AF71" s="91" t="n">
        <f aca="false">IFERROR(AE71/AE$5,0)</f>
        <v>0</v>
      </c>
      <c r="AH71" s="99" t="n">
        <f aca="false">SUMIFS('Dados Mov Financeira'!$N:$N,'Dados Mov Financeira'!$O:$O,'DRE 2020'!$B71,'Dados Mov Financeira'!$A:$A,'DRE 2020'!AH$1,'Dados Mov Financeira'!$B:$B,'DRE 2020'!AH$2)</f>
        <v>0</v>
      </c>
      <c r="AI71" s="91" t="n">
        <f aca="false">IFERROR(AH71/AH$5,0)</f>
        <v>0</v>
      </c>
      <c r="AK71" s="99" t="n">
        <f aca="false">SUMIFS('Dados Mov Financeira'!$N:$N,'Dados Mov Financeira'!$O:$O,'DRE 2020'!$B71,'Dados Mov Financeira'!$A:$A,'DRE 2020'!AK$1,'Dados Mov Financeira'!$B:$B,'DRE 2020'!AK$2)</f>
        <v>0</v>
      </c>
      <c r="AL71" s="91" t="n">
        <f aca="false">IFERROR(AK71/AK$5,0)</f>
        <v>0</v>
      </c>
      <c r="AN71" s="92" t="n">
        <f aca="false">SUM(D71,G71,J71,M71,P71,S71,V71,Y71,AB71,AE71,AH71,AK71)</f>
        <v>0</v>
      </c>
      <c r="AO71" s="91" t="n">
        <f aca="false">IFERROR(AN71/AN$5,0)</f>
        <v>0</v>
      </c>
      <c r="AQ71" s="93" t="n">
        <f aca="false">AN71/$AR$1</f>
        <v>0</v>
      </c>
      <c r="AR71" s="94" t="n">
        <f aca="false">IFERROR(AQ71/AQ$5,0)</f>
        <v>0</v>
      </c>
      <c r="AT71" s="111"/>
    </row>
    <row r="72" customFormat="false" ht="15.75" hidden="true" customHeight="true" outlineLevel="1" collapsed="false">
      <c r="B72" s="89" t="s">
        <v>93</v>
      </c>
      <c r="D72" s="75" t="n">
        <f aca="false">SUMIFS('Dados Mov Financeira'!$N:$N,'Dados Mov Financeira'!$O:$O,'DRE 2020'!$B72,'Dados Mov Financeira'!$A:$A,'DRE 2020'!D$1,'Dados Mov Financeira'!$B:$B,'DRE 2020'!D$2)</f>
        <v>0</v>
      </c>
      <c r="E72" s="91" t="n">
        <f aca="false">IFERROR(D72/D$5,0)</f>
        <v>0</v>
      </c>
      <c r="G72" s="75" t="n">
        <f aca="false">SUMIFS('Dados Mov Financeira'!$N:$N,'Dados Mov Financeira'!$O:$O,'DRE 2020'!$B72,'Dados Mov Financeira'!$A:$A,'DRE 2020'!G$1,'Dados Mov Financeira'!$B:$B,'DRE 2020'!G$2)</f>
        <v>0</v>
      </c>
      <c r="H72" s="91" t="n">
        <f aca="false">IFERROR(G72/G$5,0)</f>
        <v>0</v>
      </c>
      <c r="J72" s="75" t="n">
        <f aca="false">SUMIFS('Dados Mov Financeira'!$N:$N,'Dados Mov Financeira'!$O:$O,'DRE 2020'!$B72,'Dados Mov Financeira'!$A:$A,'DRE 2020'!J$1,'Dados Mov Financeira'!$B:$B,'DRE 2020'!J$2)</f>
        <v>0</v>
      </c>
      <c r="K72" s="91" t="n">
        <f aca="false">IFERROR(J72/J$5,0)</f>
        <v>0</v>
      </c>
      <c r="M72" s="75" t="n">
        <f aca="false">SUMIFS('Dados Mov Financeira'!$N:$N,'Dados Mov Financeira'!$O:$O,'DRE 2020'!$B72,'Dados Mov Financeira'!$A:$A,'DRE 2020'!M$1,'Dados Mov Financeira'!$B:$B,'DRE 2020'!M$2)</f>
        <v>0</v>
      </c>
      <c r="N72" s="91" t="n">
        <f aca="false">IFERROR(M72/M$5,0)</f>
        <v>0</v>
      </c>
      <c r="P72" s="75" t="n">
        <f aca="false">SUMIFS('Dados Mov Financeira'!$N:$N,'Dados Mov Financeira'!$O:$O,'DRE 2020'!$B72,'Dados Mov Financeira'!$A:$A,'DRE 2020'!P$1,'Dados Mov Financeira'!$B:$B,'DRE 2020'!P$2)</f>
        <v>0</v>
      </c>
      <c r="Q72" s="91" t="n">
        <f aca="false">IFERROR(P72/P$5,0)</f>
        <v>0</v>
      </c>
      <c r="S72" s="75" t="n">
        <f aca="false">SUMIFS('Dados Mov Financeira'!$N:$N,'Dados Mov Financeira'!$O:$O,'DRE 2020'!$B72,'Dados Mov Financeira'!$A:$A,'DRE 2020'!S$1,'Dados Mov Financeira'!$B:$B,'DRE 2020'!S$2)</f>
        <v>0</v>
      </c>
      <c r="T72" s="91" t="n">
        <f aca="false">IFERROR(S72/S$5,0)</f>
        <v>0</v>
      </c>
      <c r="V72" s="75" t="n">
        <f aca="false">SUMIFS('Dados Mov Financeira'!$N:$N,'Dados Mov Financeira'!$O:$O,'DRE 2020'!$B72,'Dados Mov Financeira'!$A:$A,'DRE 2020'!V$1,'Dados Mov Financeira'!$B:$B,'DRE 2020'!V$2)</f>
        <v>0</v>
      </c>
      <c r="W72" s="91" t="n">
        <f aca="false">IFERROR(V72/V$5,0)</f>
        <v>0</v>
      </c>
      <c r="Y72" s="75" t="n">
        <f aca="false">SUMIFS('Dados Mov Financeira'!$N:$N,'Dados Mov Financeira'!$O:$O,'DRE 2020'!$B72,'Dados Mov Financeira'!$A:$A,'DRE 2020'!Y$1,'Dados Mov Financeira'!$B:$B,'DRE 2020'!Y$2)</f>
        <v>0</v>
      </c>
      <c r="Z72" s="91" t="n">
        <f aca="false">IFERROR(Y72/Y$5,0)</f>
        <v>0</v>
      </c>
      <c r="AB72" s="75" t="n">
        <f aca="false">SUMIFS('Dados Mov Financeira'!$N:$N,'Dados Mov Financeira'!$O:$O,'DRE 2020'!$B72,'Dados Mov Financeira'!$A:$A,'DRE 2020'!AB$1,'Dados Mov Financeira'!$B:$B,'DRE 2020'!AB$2)</f>
        <v>0</v>
      </c>
      <c r="AC72" s="91" t="n">
        <f aca="false">IFERROR(AB72/AB$5,0)</f>
        <v>0</v>
      </c>
      <c r="AE72" s="75" t="n">
        <f aca="false">SUMIFS('Dados Mov Financeira'!$N:$N,'Dados Mov Financeira'!$O:$O,'DRE 2020'!$B72,'Dados Mov Financeira'!$A:$A,'DRE 2020'!AE$1,'Dados Mov Financeira'!$B:$B,'DRE 2020'!AE$2)</f>
        <v>0</v>
      </c>
      <c r="AF72" s="91" t="n">
        <f aca="false">IFERROR(AE72/AE$5,0)</f>
        <v>0</v>
      </c>
      <c r="AH72" s="75" t="n">
        <f aca="false">SUMIFS('Dados Mov Financeira'!$N:$N,'Dados Mov Financeira'!$O:$O,'DRE 2020'!$B72,'Dados Mov Financeira'!$A:$A,'DRE 2020'!AH$1,'Dados Mov Financeira'!$B:$B,'DRE 2020'!AH$2)</f>
        <v>0</v>
      </c>
      <c r="AI72" s="91" t="n">
        <f aca="false">IFERROR(AH72/AH$5,0)</f>
        <v>0</v>
      </c>
      <c r="AK72" s="75" t="n">
        <f aca="false">SUMIFS('Dados Mov Financeira'!$N:$N,'Dados Mov Financeira'!$O:$O,'DRE 2020'!$B72,'Dados Mov Financeira'!$A:$A,'DRE 2020'!AK$1,'Dados Mov Financeira'!$B:$B,'DRE 2020'!AK$2)</f>
        <v>0</v>
      </c>
      <c r="AL72" s="91" t="n">
        <f aca="false">IFERROR(AK72/AK$5,0)</f>
        <v>0</v>
      </c>
      <c r="AN72" s="92" t="n">
        <f aca="false">SUM(D72,G72,J72,M72,P72,S72,V72,Y72,AB72,AE72,AH72,AK72)</f>
        <v>0</v>
      </c>
      <c r="AO72" s="91" t="n">
        <f aca="false">IFERROR(AN72/AN$5,0)</f>
        <v>0</v>
      </c>
      <c r="AQ72" s="93" t="n">
        <f aca="false">AN72/$AR$1</f>
        <v>0</v>
      </c>
      <c r="AR72" s="94" t="n">
        <f aca="false">IFERROR(AQ72/AQ$5,0)</f>
        <v>0</v>
      </c>
      <c r="AT72" s="111"/>
    </row>
    <row r="73" customFormat="false" ht="15.75" hidden="true" customHeight="true" outlineLevel="1" collapsed="false">
      <c r="B73" s="89" t="s">
        <v>94</v>
      </c>
      <c r="D73" s="75" t="n">
        <f aca="false">SUMIFS('Dados Mov Financeira'!$N:$N,'Dados Mov Financeira'!$O:$O,'DRE 2020'!$B73,'Dados Mov Financeira'!$A:$A,'DRE 2020'!D$1,'Dados Mov Financeira'!$B:$B,'DRE 2020'!D$2)</f>
        <v>0</v>
      </c>
      <c r="E73" s="91" t="n">
        <f aca="false">IFERROR(D73/D$5,0)</f>
        <v>0</v>
      </c>
      <c r="G73" s="75" t="n">
        <f aca="false">SUMIFS('Dados Mov Financeira'!$N:$N,'Dados Mov Financeira'!$O:$O,'DRE 2020'!$B73,'Dados Mov Financeira'!$A:$A,'DRE 2020'!G$1,'Dados Mov Financeira'!$B:$B,'DRE 2020'!G$2)</f>
        <v>0</v>
      </c>
      <c r="H73" s="91" t="n">
        <f aca="false">IFERROR(G73/G$5,0)</f>
        <v>0</v>
      </c>
      <c r="J73" s="75" t="n">
        <f aca="false">SUMIFS('Dados Mov Financeira'!$N:$N,'Dados Mov Financeira'!$O:$O,'DRE 2020'!$B73,'Dados Mov Financeira'!$A:$A,'DRE 2020'!J$1,'Dados Mov Financeira'!$B:$B,'DRE 2020'!J$2)</f>
        <v>0</v>
      </c>
      <c r="K73" s="91" t="n">
        <f aca="false">IFERROR(J73/J$5,0)</f>
        <v>0</v>
      </c>
      <c r="M73" s="75" t="n">
        <f aca="false">SUMIFS('Dados Mov Financeira'!$N:$N,'Dados Mov Financeira'!$O:$O,'DRE 2020'!$B73,'Dados Mov Financeira'!$A:$A,'DRE 2020'!M$1,'Dados Mov Financeira'!$B:$B,'DRE 2020'!M$2)</f>
        <v>0</v>
      </c>
      <c r="N73" s="91" t="n">
        <f aca="false">IFERROR(M73/M$5,0)</f>
        <v>0</v>
      </c>
      <c r="P73" s="75" t="n">
        <f aca="false">SUMIFS('Dados Mov Financeira'!$N:$N,'Dados Mov Financeira'!$O:$O,'DRE 2020'!$B73,'Dados Mov Financeira'!$A:$A,'DRE 2020'!P$1,'Dados Mov Financeira'!$B:$B,'DRE 2020'!P$2)</f>
        <v>0</v>
      </c>
      <c r="Q73" s="91" t="n">
        <f aca="false">IFERROR(P73/P$5,0)</f>
        <v>0</v>
      </c>
      <c r="S73" s="75" t="n">
        <f aca="false">SUMIFS('Dados Mov Financeira'!$N:$N,'Dados Mov Financeira'!$O:$O,'DRE 2020'!$B73,'Dados Mov Financeira'!$A:$A,'DRE 2020'!S$1,'Dados Mov Financeira'!$B:$B,'DRE 2020'!S$2)</f>
        <v>0</v>
      </c>
      <c r="T73" s="91" t="n">
        <f aca="false">IFERROR(S73/S$5,0)</f>
        <v>0</v>
      </c>
      <c r="V73" s="75" t="n">
        <f aca="false">SUMIFS('Dados Mov Financeira'!$N:$N,'Dados Mov Financeira'!$O:$O,'DRE 2020'!$B73,'Dados Mov Financeira'!$A:$A,'DRE 2020'!V$1,'Dados Mov Financeira'!$B:$B,'DRE 2020'!V$2)</f>
        <v>0</v>
      </c>
      <c r="W73" s="91" t="n">
        <f aca="false">IFERROR(V73/V$5,0)</f>
        <v>0</v>
      </c>
      <c r="Y73" s="75" t="n">
        <f aca="false">SUMIFS('Dados Mov Financeira'!$N:$N,'Dados Mov Financeira'!$O:$O,'DRE 2020'!$B73,'Dados Mov Financeira'!$A:$A,'DRE 2020'!Y$1,'Dados Mov Financeira'!$B:$B,'DRE 2020'!Y$2)</f>
        <v>0</v>
      </c>
      <c r="Z73" s="91" t="n">
        <f aca="false">IFERROR(Y73/Y$5,0)</f>
        <v>0</v>
      </c>
      <c r="AB73" s="75" t="n">
        <f aca="false">SUMIFS('Dados Mov Financeira'!$N:$N,'Dados Mov Financeira'!$O:$O,'DRE 2020'!$B73,'Dados Mov Financeira'!$A:$A,'DRE 2020'!AB$1,'Dados Mov Financeira'!$B:$B,'DRE 2020'!AB$2)</f>
        <v>0</v>
      </c>
      <c r="AC73" s="91" t="n">
        <f aca="false">IFERROR(AB73/AB$5,0)</f>
        <v>0</v>
      </c>
      <c r="AE73" s="75" t="n">
        <f aca="false">SUMIFS('Dados Mov Financeira'!$N:$N,'Dados Mov Financeira'!$O:$O,'DRE 2020'!$B73,'Dados Mov Financeira'!$A:$A,'DRE 2020'!AE$1,'Dados Mov Financeira'!$B:$B,'DRE 2020'!AE$2)</f>
        <v>0</v>
      </c>
      <c r="AF73" s="91" t="n">
        <f aca="false">IFERROR(AE73/AE$5,0)</f>
        <v>0</v>
      </c>
      <c r="AH73" s="75" t="n">
        <f aca="false">SUMIFS('Dados Mov Financeira'!$N:$N,'Dados Mov Financeira'!$O:$O,'DRE 2020'!$B73,'Dados Mov Financeira'!$A:$A,'DRE 2020'!AH$1,'Dados Mov Financeira'!$B:$B,'DRE 2020'!AH$2)</f>
        <v>0</v>
      </c>
      <c r="AI73" s="91" t="n">
        <f aca="false">IFERROR(AH73/AH$5,0)</f>
        <v>0</v>
      </c>
      <c r="AK73" s="75" t="n">
        <f aca="false">SUMIFS('Dados Mov Financeira'!$N:$N,'Dados Mov Financeira'!$O:$O,'DRE 2020'!$B73,'Dados Mov Financeira'!$A:$A,'DRE 2020'!AK$1,'Dados Mov Financeira'!$B:$B,'DRE 2020'!AK$2)</f>
        <v>0</v>
      </c>
      <c r="AL73" s="91" t="n">
        <f aca="false">IFERROR(AK73/AK$5,0)</f>
        <v>0</v>
      </c>
      <c r="AN73" s="92" t="n">
        <f aca="false">SUM(D73,G73,J73,M73,P73,S73,V73,Y73,AB73,AE73,AH73,AK73)</f>
        <v>0</v>
      </c>
      <c r="AO73" s="91" t="n">
        <f aca="false">IFERROR(AN73/AN$5,0)</f>
        <v>0</v>
      </c>
      <c r="AQ73" s="93" t="n">
        <f aca="false">AN73/$AR$1</f>
        <v>0</v>
      </c>
      <c r="AR73" s="94" t="n">
        <f aca="false">IFERROR(AQ73/AQ$5,0)</f>
        <v>0</v>
      </c>
      <c r="AT73" s="111"/>
    </row>
    <row r="74" customFormat="false" ht="15.75" hidden="true" customHeight="true" outlineLevel="1" collapsed="false">
      <c r="B74" s="89" t="s">
        <v>95</v>
      </c>
      <c r="D74" s="75" t="n">
        <f aca="false">SUMIFS('Dados Mov Financeira'!$N:$N,'Dados Mov Financeira'!$O:$O,'DRE 2020'!$B74,'Dados Mov Financeira'!$A:$A,'DRE 2020'!D$1,'Dados Mov Financeira'!$B:$B,'DRE 2020'!D$2)</f>
        <v>0</v>
      </c>
      <c r="E74" s="91" t="n">
        <f aca="false">IFERROR(D74/D$5,0)</f>
        <v>0</v>
      </c>
      <c r="G74" s="75" t="n">
        <f aca="false">SUMIFS('Dados Mov Financeira'!$N:$N,'Dados Mov Financeira'!$O:$O,'DRE 2020'!$B74,'Dados Mov Financeira'!$A:$A,'DRE 2020'!G$1,'Dados Mov Financeira'!$B:$B,'DRE 2020'!G$2)</f>
        <v>0</v>
      </c>
      <c r="H74" s="91" t="n">
        <f aca="false">IFERROR(G74/G$5,0)</f>
        <v>0</v>
      </c>
      <c r="J74" s="75" t="n">
        <f aca="false">SUMIFS('Dados Mov Financeira'!$N:$N,'Dados Mov Financeira'!$O:$O,'DRE 2020'!$B74,'Dados Mov Financeira'!$A:$A,'DRE 2020'!J$1,'Dados Mov Financeira'!$B:$B,'DRE 2020'!J$2)</f>
        <v>0</v>
      </c>
      <c r="K74" s="91" t="n">
        <f aca="false">IFERROR(J74/J$5,0)</f>
        <v>0</v>
      </c>
      <c r="M74" s="75" t="n">
        <f aca="false">SUMIFS('Dados Mov Financeira'!$N:$N,'Dados Mov Financeira'!$O:$O,'DRE 2020'!$B74,'Dados Mov Financeira'!$A:$A,'DRE 2020'!M$1,'Dados Mov Financeira'!$B:$B,'DRE 2020'!M$2)</f>
        <v>0</v>
      </c>
      <c r="N74" s="91" t="n">
        <f aca="false">IFERROR(M74/M$5,0)</f>
        <v>0</v>
      </c>
      <c r="P74" s="75" t="n">
        <f aca="false">SUMIFS('Dados Mov Financeira'!$N:$N,'Dados Mov Financeira'!$O:$O,'DRE 2020'!$B74,'Dados Mov Financeira'!$A:$A,'DRE 2020'!P$1,'Dados Mov Financeira'!$B:$B,'DRE 2020'!P$2)</f>
        <v>0</v>
      </c>
      <c r="Q74" s="91" t="n">
        <f aca="false">IFERROR(P74/P$5,0)</f>
        <v>0</v>
      </c>
      <c r="S74" s="75" t="n">
        <f aca="false">SUMIFS('Dados Mov Financeira'!$N:$N,'Dados Mov Financeira'!$O:$O,'DRE 2020'!$B74,'Dados Mov Financeira'!$A:$A,'DRE 2020'!S$1,'Dados Mov Financeira'!$B:$B,'DRE 2020'!S$2)</f>
        <v>0</v>
      </c>
      <c r="T74" s="91" t="n">
        <f aca="false">IFERROR(S74/S$5,0)</f>
        <v>0</v>
      </c>
      <c r="V74" s="75" t="n">
        <f aca="false">SUMIFS('Dados Mov Financeira'!$N:$N,'Dados Mov Financeira'!$O:$O,'DRE 2020'!$B74,'Dados Mov Financeira'!$A:$A,'DRE 2020'!V$1,'Dados Mov Financeira'!$B:$B,'DRE 2020'!V$2)</f>
        <v>0</v>
      </c>
      <c r="W74" s="91" t="n">
        <f aca="false">IFERROR(V74/V$5,0)</f>
        <v>0</v>
      </c>
      <c r="Y74" s="75" t="n">
        <f aca="false">SUMIFS('Dados Mov Financeira'!$N:$N,'Dados Mov Financeira'!$O:$O,'DRE 2020'!$B74,'Dados Mov Financeira'!$A:$A,'DRE 2020'!Y$1,'Dados Mov Financeira'!$B:$B,'DRE 2020'!Y$2)</f>
        <v>0</v>
      </c>
      <c r="Z74" s="91" t="n">
        <f aca="false">IFERROR(Y74/Y$5,0)</f>
        <v>0</v>
      </c>
      <c r="AB74" s="75" t="n">
        <f aca="false">SUMIFS('Dados Mov Financeira'!$N:$N,'Dados Mov Financeira'!$O:$O,'DRE 2020'!$B74,'Dados Mov Financeira'!$A:$A,'DRE 2020'!AB$1,'Dados Mov Financeira'!$B:$B,'DRE 2020'!AB$2)</f>
        <v>0</v>
      </c>
      <c r="AC74" s="91" t="n">
        <f aca="false">IFERROR(AB74/AB$5,0)</f>
        <v>0</v>
      </c>
      <c r="AE74" s="75" t="n">
        <f aca="false">SUMIFS('Dados Mov Financeira'!$N:$N,'Dados Mov Financeira'!$O:$O,'DRE 2020'!$B74,'Dados Mov Financeira'!$A:$A,'DRE 2020'!AE$1,'Dados Mov Financeira'!$B:$B,'DRE 2020'!AE$2)</f>
        <v>0</v>
      </c>
      <c r="AF74" s="91" t="n">
        <f aca="false">IFERROR(AE74/AE$5,0)</f>
        <v>0</v>
      </c>
      <c r="AH74" s="75" t="n">
        <f aca="false">SUMIFS('Dados Mov Financeira'!$N:$N,'Dados Mov Financeira'!$O:$O,'DRE 2020'!$B74,'Dados Mov Financeira'!$A:$A,'DRE 2020'!AH$1,'Dados Mov Financeira'!$B:$B,'DRE 2020'!AH$2)</f>
        <v>0</v>
      </c>
      <c r="AI74" s="91" t="n">
        <f aca="false">IFERROR(AH74/AH$5,0)</f>
        <v>0</v>
      </c>
      <c r="AK74" s="75" t="n">
        <f aca="false">SUMIFS('Dados Mov Financeira'!$N:$N,'Dados Mov Financeira'!$O:$O,'DRE 2020'!$B74,'Dados Mov Financeira'!$A:$A,'DRE 2020'!AK$1,'Dados Mov Financeira'!$B:$B,'DRE 2020'!AK$2)</f>
        <v>0</v>
      </c>
      <c r="AL74" s="91" t="n">
        <f aca="false">IFERROR(AK74/AK$5,0)</f>
        <v>0</v>
      </c>
      <c r="AN74" s="92" t="n">
        <f aca="false">SUM(D74,G74,J74,M74,P74,S74,V74,Y74,AB74,AE74,AH74,AK74)</f>
        <v>0</v>
      </c>
      <c r="AO74" s="91" t="n">
        <f aca="false">IFERROR(AN74/AN$5,0)</f>
        <v>0</v>
      </c>
      <c r="AQ74" s="93" t="n">
        <f aca="false">AN74/$AR$1</f>
        <v>0</v>
      </c>
      <c r="AR74" s="94" t="n">
        <f aca="false">IFERROR(AQ74/AQ$5,0)</f>
        <v>0</v>
      </c>
      <c r="AT74" s="111"/>
    </row>
    <row r="75" customFormat="false" ht="15.75" hidden="true" customHeight="true" outlineLevel="1" collapsed="false">
      <c r="B75" s="89" t="s">
        <v>96</v>
      </c>
      <c r="D75" s="75" t="n">
        <f aca="false">SUMIFS('Dados Mov Financeira'!$N:$N,'Dados Mov Financeira'!$O:$O,'DRE 2020'!$B75,'Dados Mov Financeira'!$A:$A,'DRE 2020'!D$1,'Dados Mov Financeira'!$B:$B,'DRE 2020'!D$2)</f>
        <v>0</v>
      </c>
      <c r="E75" s="91" t="n">
        <f aca="false">IFERROR(D75/D$5,0)</f>
        <v>0</v>
      </c>
      <c r="G75" s="75" t="n">
        <f aca="false">SUMIFS('Dados Mov Financeira'!$N:$N,'Dados Mov Financeira'!$O:$O,'DRE 2020'!$B75,'Dados Mov Financeira'!$A:$A,'DRE 2020'!G$1,'Dados Mov Financeira'!$B:$B,'DRE 2020'!G$2)</f>
        <v>0</v>
      </c>
      <c r="H75" s="91" t="n">
        <f aca="false">IFERROR(G75/G$5,0)</f>
        <v>0</v>
      </c>
      <c r="J75" s="75" t="n">
        <f aca="false">SUMIFS('Dados Mov Financeira'!$N:$N,'Dados Mov Financeira'!$O:$O,'DRE 2020'!$B75,'Dados Mov Financeira'!$A:$A,'DRE 2020'!J$1,'Dados Mov Financeira'!$B:$B,'DRE 2020'!J$2)</f>
        <v>0</v>
      </c>
      <c r="K75" s="91" t="n">
        <f aca="false">IFERROR(J75/J$5,0)</f>
        <v>0</v>
      </c>
      <c r="M75" s="75" t="n">
        <f aca="false">SUMIFS('Dados Mov Financeira'!$N:$N,'Dados Mov Financeira'!$O:$O,'DRE 2020'!$B75,'Dados Mov Financeira'!$A:$A,'DRE 2020'!M$1,'Dados Mov Financeira'!$B:$B,'DRE 2020'!M$2)</f>
        <v>0</v>
      </c>
      <c r="N75" s="91" t="n">
        <f aca="false">IFERROR(M75/M$5,0)</f>
        <v>0</v>
      </c>
      <c r="P75" s="75" t="n">
        <f aca="false">SUMIFS('Dados Mov Financeira'!$N:$N,'Dados Mov Financeira'!$O:$O,'DRE 2020'!$B75,'Dados Mov Financeira'!$A:$A,'DRE 2020'!P$1,'Dados Mov Financeira'!$B:$B,'DRE 2020'!P$2)</f>
        <v>0</v>
      </c>
      <c r="Q75" s="91" t="n">
        <f aca="false">IFERROR(P75/P$5,0)</f>
        <v>0</v>
      </c>
      <c r="S75" s="75" t="n">
        <f aca="false">SUMIFS('Dados Mov Financeira'!$N:$N,'Dados Mov Financeira'!$O:$O,'DRE 2020'!$B75,'Dados Mov Financeira'!$A:$A,'DRE 2020'!S$1,'Dados Mov Financeira'!$B:$B,'DRE 2020'!S$2)</f>
        <v>0</v>
      </c>
      <c r="T75" s="91" t="n">
        <f aca="false">IFERROR(S75/S$5,0)</f>
        <v>0</v>
      </c>
      <c r="V75" s="75" t="n">
        <f aca="false">SUMIFS('Dados Mov Financeira'!$N:$N,'Dados Mov Financeira'!$O:$O,'DRE 2020'!$B75,'Dados Mov Financeira'!$A:$A,'DRE 2020'!V$1,'Dados Mov Financeira'!$B:$B,'DRE 2020'!V$2)</f>
        <v>0</v>
      </c>
      <c r="W75" s="91" t="n">
        <f aca="false">IFERROR(V75/V$5,0)</f>
        <v>0</v>
      </c>
      <c r="Y75" s="75" t="n">
        <f aca="false">SUMIFS('Dados Mov Financeira'!$N:$N,'Dados Mov Financeira'!$O:$O,'DRE 2020'!$B75,'Dados Mov Financeira'!$A:$A,'DRE 2020'!Y$1,'Dados Mov Financeira'!$B:$B,'DRE 2020'!Y$2)</f>
        <v>0</v>
      </c>
      <c r="Z75" s="91" t="n">
        <f aca="false">IFERROR(Y75/Y$5,0)</f>
        <v>0</v>
      </c>
      <c r="AB75" s="75" t="n">
        <f aca="false">SUMIFS('Dados Mov Financeira'!$N:$N,'Dados Mov Financeira'!$O:$O,'DRE 2020'!$B75,'Dados Mov Financeira'!$A:$A,'DRE 2020'!AB$1,'Dados Mov Financeira'!$B:$B,'DRE 2020'!AB$2)</f>
        <v>0</v>
      </c>
      <c r="AC75" s="91" t="n">
        <f aca="false">IFERROR(AB75/AB$5,0)</f>
        <v>0</v>
      </c>
      <c r="AE75" s="75" t="n">
        <f aca="false">SUMIFS('Dados Mov Financeira'!$N:$N,'Dados Mov Financeira'!$O:$O,'DRE 2020'!$B75,'Dados Mov Financeira'!$A:$A,'DRE 2020'!AE$1,'Dados Mov Financeira'!$B:$B,'DRE 2020'!AE$2)</f>
        <v>0</v>
      </c>
      <c r="AF75" s="91" t="n">
        <f aca="false">IFERROR(AE75/AE$5,0)</f>
        <v>0</v>
      </c>
      <c r="AH75" s="75" t="n">
        <f aca="false">SUMIFS('Dados Mov Financeira'!$N:$N,'Dados Mov Financeira'!$O:$O,'DRE 2020'!$B75,'Dados Mov Financeira'!$A:$A,'DRE 2020'!AH$1,'Dados Mov Financeira'!$B:$B,'DRE 2020'!AH$2)</f>
        <v>0</v>
      </c>
      <c r="AI75" s="91" t="n">
        <f aca="false">IFERROR(AH75/AH$5,0)</f>
        <v>0</v>
      </c>
      <c r="AK75" s="75" t="n">
        <f aca="false">SUMIFS('Dados Mov Financeira'!$N:$N,'Dados Mov Financeira'!$O:$O,'DRE 2020'!$B75,'Dados Mov Financeira'!$A:$A,'DRE 2020'!AK$1,'Dados Mov Financeira'!$B:$B,'DRE 2020'!AK$2)</f>
        <v>0</v>
      </c>
      <c r="AL75" s="91" t="n">
        <f aca="false">IFERROR(AK75/AK$5,0)</f>
        <v>0</v>
      </c>
      <c r="AN75" s="92" t="n">
        <f aca="false">SUM(D75,G75,J75,M75,P75,S75,V75,Y75,AB75,AE75,AH75,AK75)</f>
        <v>0</v>
      </c>
      <c r="AO75" s="91" t="n">
        <f aca="false">IFERROR(AN75/AN$5,0)</f>
        <v>0</v>
      </c>
      <c r="AQ75" s="93" t="n">
        <f aca="false">AN75/$AR$1</f>
        <v>0</v>
      </c>
      <c r="AR75" s="94" t="n">
        <f aca="false">IFERROR(AQ75/AQ$5,0)</f>
        <v>0</v>
      </c>
      <c r="AT75" s="111"/>
    </row>
    <row r="76" customFormat="false" ht="15.75" hidden="true" customHeight="true" outlineLevel="1" collapsed="false">
      <c r="B76" s="89" t="s">
        <v>97</v>
      </c>
      <c r="D76" s="75" t="n">
        <f aca="false">SUMIFS('Dados Mov Financeira'!$N:$N,'Dados Mov Financeira'!$O:$O,'DRE 2020'!$B76,'Dados Mov Financeira'!$A:$A,'DRE 2020'!D$1,'Dados Mov Financeira'!$B:$B,'DRE 2020'!D$2)</f>
        <v>0</v>
      </c>
      <c r="E76" s="91" t="n">
        <f aca="false">IFERROR(D76/D$5,0)</f>
        <v>0</v>
      </c>
      <c r="G76" s="75" t="n">
        <f aca="false">SUMIFS('Dados Mov Financeira'!$N:$N,'Dados Mov Financeira'!$O:$O,'DRE 2020'!$B76,'Dados Mov Financeira'!$A:$A,'DRE 2020'!G$1,'Dados Mov Financeira'!$B:$B,'DRE 2020'!G$2)</f>
        <v>0</v>
      </c>
      <c r="H76" s="91" t="n">
        <f aca="false">IFERROR(G76/G$5,0)</f>
        <v>0</v>
      </c>
      <c r="J76" s="75" t="n">
        <f aca="false">SUMIFS('Dados Mov Financeira'!$N:$N,'Dados Mov Financeira'!$O:$O,'DRE 2020'!$B76,'Dados Mov Financeira'!$A:$A,'DRE 2020'!J$1,'Dados Mov Financeira'!$B:$B,'DRE 2020'!J$2)</f>
        <v>0</v>
      </c>
      <c r="K76" s="91" t="n">
        <f aca="false">IFERROR(J76/J$5,0)</f>
        <v>0</v>
      </c>
      <c r="M76" s="99" t="n">
        <f aca="false">SUMIFS('Dados Mov Financeira'!$N:$N,'Dados Mov Financeira'!$O:$O,'DRE 2020'!$B76,'Dados Mov Financeira'!$A:$A,'DRE 2020'!M$1,'Dados Mov Financeira'!$B:$B,'DRE 2020'!M$2)</f>
        <v>0</v>
      </c>
      <c r="N76" s="91" t="n">
        <f aca="false">IFERROR(M76/M$5,0)</f>
        <v>0</v>
      </c>
      <c r="P76" s="99" t="n">
        <f aca="false">SUMIFS('Dados Mov Financeira'!$N:$N,'Dados Mov Financeira'!$O:$O,'DRE 2020'!$B76,'Dados Mov Financeira'!$A:$A,'DRE 2020'!P$1,'Dados Mov Financeira'!$B:$B,'DRE 2020'!P$2)</f>
        <v>0</v>
      </c>
      <c r="Q76" s="91" t="n">
        <f aca="false">IFERROR(P76/P$5,0)</f>
        <v>0</v>
      </c>
      <c r="S76" s="99" t="n">
        <f aca="false">SUMIFS('Dados Mov Financeira'!$N:$N,'Dados Mov Financeira'!$O:$O,'DRE 2020'!$B76,'Dados Mov Financeira'!$A:$A,'DRE 2020'!S$1,'Dados Mov Financeira'!$B:$B,'DRE 2020'!S$2)</f>
        <v>0</v>
      </c>
      <c r="T76" s="91" t="n">
        <f aca="false">IFERROR(S76/S$5,0)</f>
        <v>0</v>
      </c>
      <c r="V76" s="99" t="n">
        <f aca="false">SUMIFS('Dados Mov Financeira'!$N:$N,'Dados Mov Financeira'!$O:$O,'DRE 2020'!$B76,'Dados Mov Financeira'!$A:$A,'DRE 2020'!V$1,'Dados Mov Financeira'!$B:$B,'DRE 2020'!V$2)</f>
        <v>0</v>
      </c>
      <c r="W76" s="91" t="n">
        <f aca="false">IFERROR(V76/V$5,0)</f>
        <v>0</v>
      </c>
      <c r="Y76" s="99" t="n">
        <f aca="false">SUMIFS('Dados Mov Financeira'!$N:$N,'Dados Mov Financeira'!$O:$O,'DRE 2020'!$B76,'Dados Mov Financeira'!$A:$A,'DRE 2020'!Y$1,'Dados Mov Financeira'!$B:$B,'DRE 2020'!Y$2)</f>
        <v>0</v>
      </c>
      <c r="Z76" s="91" t="n">
        <f aca="false">IFERROR(Y76/Y$5,0)</f>
        <v>0</v>
      </c>
      <c r="AB76" s="99" t="n">
        <f aca="false">SUMIFS('Dados Mov Financeira'!$N:$N,'Dados Mov Financeira'!$O:$O,'DRE 2020'!$B76,'Dados Mov Financeira'!$A:$A,'DRE 2020'!AB$1,'Dados Mov Financeira'!$B:$B,'DRE 2020'!AB$2)</f>
        <v>0</v>
      </c>
      <c r="AC76" s="91" t="n">
        <f aca="false">IFERROR(AB76/AB$5,0)</f>
        <v>0</v>
      </c>
      <c r="AE76" s="99" t="n">
        <f aca="false">SUMIFS('Dados Mov Financeira'!$N:$N,'Dados Mov Financeira'!$O:$O,'DRE 2020'!$B76,'Dados Mov Financeira'!$A:$A,'DRE 2020'!AE$1,'Dados Mov Financeira'!$B:$B,'DRE 2020'!AE$2)</f>
        <v>0</v>
      </c>
      <c r="AF76" s="91" t="n">
        <f aca="false">IFERROR(AE76/AE$5,0)</f>
        <v>0</v>
      </c>
      <c r="AH76" s="99" t="n">
        <f aca="false">SUMIFS('Dados Mov Financeira'!$N:$N,'Dados Mov Financeira'!$O:$O,'DRE 2020'!$B76,'Dados Mov Financeira'!$A:$A,'DRE 2020'!AH$1,'Dados Mov Financeira'!$B:$B,'DRE 2020'!AH$2)</f>
        <v>0</v>
      </c>
      <c r="AI76" s="91" t="n">
        <f aca="false">IFERROR(AH76/AH$5,0)</f>
        <v>0</v>
      </c>
      <c r="AK76" s="99" t="n">
        <f aca="false">SUMIFS('Dados Mov Financeira'!$N:$N,'Dados Mov Financeira'!$O:$O,'DRE 2020'!$B76,'Dados Mov Financeira'!$A:$A,'DRE 2020'!AK$1,'Dados Mov Financeira'!$B:$B,'DRE 2020'!AK$2)</f>
        <v>0</v>
      </c>
      <c r="AL76" s="91" t="n">
        <f aca="false">IFERROR(AK76/AK$5,0)</f>
        <v>0</v>
      </c>
      <c r="AN76" s="92" t="n">
        <f aca="false">SUM(D76,G76,J76,M76,P76,S76,V76,Y76,AB76,AE76,AH76,AK76)</f>
        <v>0</v>
      </c>
      <c r="AO76" s="91" t="n">
        <f aca="false">IFERROR(AN76/AN$5,0)</f>
        <v>0</v>
      </c>
      <c r="AQ76" s="93" t="n">
        <f aca="false">AN76/$AR$1</f>
        <v>0</v>
      </c>
      <c r="AR76" s="94" t="n">
        <f aca="false">IFERROR(AQ76/AQ$5,0)</f>
        <v>0</v>
      </c>
      <c r="AT76" s="111"/>
    </row>
    <row r="77" s="63" customFormat="true" ht="14.25" hidden="false" customHeight="false" outlineLevel="0" collapsed="false">
      <c r="B77" s="106" t="s">
        <v>98</v>
      </c>
      <c r="D77" s="75" t="n">
        <f aca="false">SUM(D78:D94)</f>
        <v>0</v>
      </c>
      <c r="E77" s="88" t="n">
        <f aca="false">IFERROR(D77/D$5,0)</f>
        <v>0</v>
      </c>
      <c r="G77" s="75" t="n">
        <f aca="false">SUM(G78:G94)</f>
        <v>0</v>
      </c>
      <c r="H77" s="88" t="n">
        <f aca="false">IFERROR(G77/G$5,0)</f>
        <v>0</v>
      </c>
      <c r="J77" s="75" t="n">
        <f aca="false">SUM(J78:J94)</f>
        <v>0</v>
      </c>
      <c r="K77" s="88" t="n">
        <f aca="false">IFERROR(J77/J$5,0)</f>
        <v>0</v>
      </c>
      <c r="M77" s="75" t="n">
        <f aca="false">SUM(M78:M94)</f>
        <v>0</v>
      </c>
      <c r="N77" s="88" t="n">
        <f aca="false">IFERROR(M77/M$5,0)</f>
        <v>0</v>
      </c>
      <c r="P77" s="75" t="n">
        <f aca="false">SUM(P78:P94)</f>
        <v>0</v>
      </c>
      <c r="Q77" s="88" t="n">
        <f aca="false">IFERROR(P77/P$5,0)</f>
        <v>0</v>
      </c>
      <c r="S77" s="75" t="n">
        <f aca="false">SUM(S78:S94)</f>
        <v>0</v>
      </c>
      <c r="T77" s="88" t="n">
        <f aca="false">IFERROR(S77/S$5,0)</f>
        <v>0</v>
      </c>
      <c r="V77" s="75" t="n">
        <f aca="false">SUM(V78:V94)</f>
        <v>0</v>
      </c>
      <c r="W77" s="88" t="n">
        <f aca="false">IFERROR(V77/V$5,0)</f>
        <v>0</v>
      </c>
      <c r="Y77" s="75" t="n">
        <f aca="false">SUM(Y78:Y94)</f>
        <v>0</v>
      </c>
      <c r="Z77" s="88" t="n">
        <f aca="false">IFERROR(Y77/Y$5,0)</f>
        <v>0</v>
      </c>
      <c r="AB77" s="75" t="n">
        <f aca="false">SUM(AB78:AB94)</f>
        <v>0</v>
      </c>
      <c r="AC77" s="88" t="n">
        <f aca="false">IFERROR(AB77/AB$5,0)</f>
        <v>0</v>
      </c>
      <c r="AE77" s="75" t="n">
        <f aca="false">SUM(AE78:AE94)</f>
        <v>0</v>
      </c>
      <c r="AF77" s="88" t="n">
        <f aca="false">IFERROR(AE77/AE$5,0)</f>
        <v>0</v>
      </c>
      <c r="AH77" s="75" t="n">
        <f aca="false">SUM(AH78:AH94)</f>
        <v>0</v>
      </c>
      <c r="AI77" s="88" t="n">
        <f aca="false">IFERROR(AH77/AH$5,0)</f>
        <v>0</v>
      </c>
      <c r="AK77" s="75" t="n">
        <f aca="false">SUM(AK78:AK94)</f>
        <v>0</v>
      </c>
      <c r="AL77" s="88" t="n">
        <f aca="false">IFERROR(AK77/AK$5,0)</f>
        <v>0</v>
      </c>
      <c r="AN77" s="75" t="n">
        <f aca="false">SUM(D77,G77,J77,M77,P77,S77,V77,Y77,AB77,AE77,AH77,AK77)</f>
        <v>0</v>
      </c>
      <c r="AO77" s="88" t="n">
        <f aca="false">IFERROR(AN77/AN$5,0)</f>
        <v>0</v>
      </c>
      <c r="AQ77" s="77" t="n">
        <f aca="false">AN77/$AR$1</f>
        <v>0</v>
      </c>
      <c r="AR77" s="76" t="n">
        <f aca="false">IFERROR(AQ77/AQ$5,0)</f>
        <v>0</v>
      </c>
      <c r="AT77" s="112" t="n">
        <v>-0.09</v>
      </c>
    </row>
    <row r="78" customFormat="false" ht="14.25" hidden="true" customHeight="false" outlineLevel="1" collapsed="false">
      <c r="B78" s="89" t="s">
        <v>99</v>
      </c>
      <c r="D78" s="75" t="n">
        <f aca="false">SUMIFS('Dados Mov Financeira'!$N:$N,'Dados Mov Financeira'!$O:$O,'DRE 2020'!$B78,'Dados Mov Financeira'!$A:$A,'DRE 2020'!D$1,'Dados Mov Financeira'!$B:$B,'DRE 2020'!D$2)</f>
        <v>0</v>
      </c>
      <c r="E78" s="91" t="n">
        <f aca="false">IFERROR(D78/D$5,0)</f>
        <v>0</v>
      </c>
      <c r="G78" s="75" t="n">
        <f aca="false">SUMIFS('Dados Mov Financeira'!$N:$N,'Dados Mov Financeira'!$O:$O,'DRE 2020'!$B78,'Dados Mov Financeira'!$A:$A,'DRE 2020'!G$1,'Dados Mov Financeira'!$B:$B,'DRE 2020'!G$2)</f>
        <v>0</v>
      </c>
      <c r="H78" s="91" t="n">
        <f aca="false">IFERROR(G78/G$5,0)</f>
        <v>0</v>
      </c>
      <c r="J78" s="75" t="n">
        <f aca="false">SUMIFS('Dados Mov Financeira'!$N:$N,'Dados Mov Financeira'!$O:$O,'DRE 2020'!$B78,'Dados Mov Financeira'!$A:$A,'DRE 2020'!J$1,'Dados Mov Financeira'!$B:$B,'DRE 2020'!J$2)</f>
        <v>0</v>
      </c>
      <c r="K78" s="91" t="n">
        <f aca="false">IFERROR(J78/J$5,0)</f>
        <v>0</v>
      </c>
      <c r="M78" s="75" t="n">
        <f aca="false">SUMIFS('Dados Mov Financeira'!$N:$N,'Dados Mov Financeira'!$O:$O,'DRE 2020'!$B78,'Dados Mov Financeira'!$A:$A,'DRE 2020'!M$1,'Dados Mov Financeira'!$B:$B,'DRE 2020'!M$2)</f>
        <v>0</v>
      </c>
      <c r="N78" s="91" t="n">
        <f aca="false">IFERROR(M78/M$5,0)</f>
        <v>0</v>
      </c>
      <c r="P78" s="75" t="n">
        <f aca="false">SUMIFS('Dados Mov Financeira'!$N:$N,'Dados Mov Financeira'!$O:$O,'DRE 2020'!$B78,'Dados Mov Financeira'!$A:$A,'DRE 2020'!P$1,'Dados Mov Financeira'!$B:$B,'DRE 2020'!P$2)</f>
        <v>0</v>
      </c>
      <c r="Q78" s="91" t="n">
        <f aca="false">IFERROR(P78/P$5,0)</f>
        <v>0</v>
      </c>
      <c r="S78" s="75" t="n">
        <f aca="false">SUMIFS('Dados Mov Financeira'!$N:$N,'Dados Mov Financeira'!$O:$O,'DRE 2020'!$B78,'Dados Mov Financeira'!$A:$A,'DRE 2020'!S$1,'Dados Mov Financeira'!$B:$B,'DRE 2020'!S$2)</f>
        <v>0</v>
      </c>
      <c r="T78" s="91" t="n">
        <f aca="false">IFERROR(S78/S$5,0)</f>
        <v>0</v>
      </c>
      <c r="V78" s="75" t="n">
        <f aca="false">SUMIFS('Dados Mov Financeira'!$N:$N,'Dados Mov Financeira'!$O:$O,'DRE 2020'!$B78,'Dados Mov Financeira'!$A:$A,'DRE 2020'!V$1,'Dados Mov Financeira'!$B:$B,'DRE 2020'!V$2)</f>
        <v>0</v>
      </c>
      <c r="W78" s="91" t="n">
        <f aca="false">IFERROR(V78/V$5,0)</f>
        <v>0</v>
      </c>
      <c r="Y78" s="75" t="n">
        <f aca="false">SUMIFS('Dados Mov Financeira'!$N:$N,'Dados Mov Financeira'!$O:$O,'DRE 2020'!$B78,'Dados Mov Financeira'!$A:$A,'DRE 2020'!Y$1,'Dados Mov Financeira'!$B:$B,'DRE 2020'!Y$2)</f>
        <v>0</v>
      </c>
      <c r="Z78" s="91" t="n">
        <f aca="false">IFERROR(Y78/Y$5,0)</f>
        <v>0</v>
      </c>
      <c r="AB78" s="75" t="n">
        <f aca="false">SUMIFS('Dados Mov Financeira'!$N:$N,'Dados Mov Financeira'!$O:$O,'DRE 2020'!$B78,'Dados Mov Financeira'!$A:$A,'DRE 2020'!AB$1,'Dados Mov Financeira'!$B:$B,'DRE 2020'!AB$2)</f>
        <v>0</v>
      </c>
      <c r="AC78" s="91" t="n">
        <f aca="false">IFERROR(AB78/AB$5,0)</f>
        <v>0</v>
      </c>
      <c r="AE78" s="75" t="n">
        <f aca="false">SUMIFS('Dados Mov Financeira'!$N:$N,'Dados Mov Financeira'!$O:$O,'DRE 2020'!$B78,'Dados Mov Financeira'!$A:$A,'DRE 2020'!AE$1,'Dados Mov Financeira'!$B:$B,'DRE 2020'!AE$2)</f>
        <v>0</v>
      </c>
      <c r="AF78" s="91" t="n">
        <f aca="false">IFERROR(AE78/AE$5,0)</f>
        <v>0</v>
      </c>
      <c r="AH78" s="75" t="n">
        <f aca="false">SUMIFS('Dados Mov Financeira'!$N:$N,'Dados Mov Financeira'!$O:$O,'DRE 2020'!$B78,'Dados Mov Financeira'!$A:$A,'DRE 2020'!AH$1,'Dados Mov Financeira'!$B:$B,'DRE 2020'!AH$2)</f>
        <v>0</v>
      </c>
      <c r="AI78" s="91" t="n">
        <f aca="false">IFERROR(AH78/AH$5,0)</f>
        <v>0</v>
      </c>
      <c r="AK78" s="75" t="n">
        <f aca="false">SUMIFS('Dados Mov Financeira'!$N:$N,'Dados Mov Financeira'!$O:$O,'DRE 2020'!$B78,'Dados Mov Financeira'!$A:$A,'DRE 2020'!AK$1,'Dados Mov Financeira'!$B:$B,'DRE 2020'!AK$2)</f>
        <v>0</v>
      </c>
      <c r="AL78" s="91" t="n">
        <f aca="false">IFERROR(AK78/AK$5,0)</f>
        <v>0</v>
      </c>
      <c r="AN78" s="92" t="n">
        <f aca="false">SUM(D78,G78,J78,M78,P78,S78,V78,Y78,AB78,AE78,AH78,AK78)</f>
        <v>0</v>
      </c>
      <c r="AO78" s="91" t="n">
        <f aca="false">IFERROR(AN78/AN$5,0)</f>
        <v>0</v>
      </c>
      <c r="AQ78" s="93" t="n">
        <f aca="false">AN78/$AR$1</f>
        <v>0</v>
      </c>
      <c r="AR78" s="94" t="n">
        <f aca="false">IFERROR(AQ78/AQ$5,0)</f>
        <v>0</v>
      </c>
      <c r="AT78" s="110"/>
    </row>
    <row r="79" customFormat="false" ht="14.25" hidden="true" customHeight="false" outlineLevel="1" collapsed="false">
      <c r="B79" s="89" t="s">
        <v>100</v>
      </c>
      <c r="D79" s="75" t="n">
        <f aca="false">SUMIFS('Dados Mov Financeira'!$N:$N,'Dados Mov Financeira'!$O:$O,'DRE 2020'!$B79,'Dados Mov Financeira'!$A:$A,'DRE 2020'!D$1,'Dados Mov Financeira'!$B:$B,'DRE 2020'!D$2)</f>
        <v>0</v>
      </c>
      <c r="E79" s="91" t="n">
        <f aca="false">IFERROR(D79/D$5,0)</f>
        <v>0</v>
      </c>
      <c r="G79" s="75" t="n">
        <f aca="false">SUMIFS('Dados Mov Financeira'!$N:$N,'Dados Mov Financeira'!$O:$O,'DRE 2020'!$B79,'Dados Mov Financeira'!$A:$A,'DRE 2020'!G$1,'Dados Mov Financeira'!$B:$B,'DRE 2020'!G$2)</f>
        <v>0</v>
      </c>
      <c r="H79" s="91" t="n">
        <f aca="false">IFERROR(G79/G$5,0)</f>
        <v>0</v>
      </c>
      <c r="J79" s="75" t="n">
        <f aca="false">SUMIFS('Dados Mov Financeira'!$N:$N,'Dados Mov Financeira'!$O:$O,'DRE 2020'!$B79,'Dados Mov Financeira'!$A:$A,'DRE 2020'!J$1,'Dados Mov Financeira'!$B:$B,'DRE 2020'!J$2)</f>
        <v>0</v>
      </c>
      <c r="K79" s="91" t="n">
        <f aca="false">IFERROR(J79/J$5,0)</f>
        <v>0</v>
      </c>
      <c r="M79" s="75" t="n">
        <f aca="false">SUMIFS('Dados Mov Financeira'!$N:$N,'Dados Mov Financeira'!$O:$O,'DRE 2020'!$B79,'Dados Mov Financeira'!$A:$A,'DRE 2020'!M$1,'Dados Mov Financeira'!$B:$B,'DRE 2020'!M$2)</f>
        <v>0</v>
      </c>
      <c r="N79" s="91" t="n">
        <f aca="false">IFERROR(M79/M$5,0)</f>
        <v>0</v>
      </c>
      <c r="P79" s="75" t="n">
        <f aca="false">SUMIFS('Dados Mov Financeira'!$N:$N,'Dados Mov Financeira'!$O:$O,'DRE 2020'!$B79,'Dados Mov Financeira'!$A:$A,'DRE 2020'!P$1,'Dados Mov Financeira'!$B:$B,'DRE 2020'!P$2)</f>
        <v>0</v>
      </c>
      <c r="Q79" s="91" t="n">
        <f aca="false">IFERROR(P79/P$5,0)</f>
        <v>0</v>
      </c>
      <c r="S79" s="75" t="n">
        <f aca="false">SUMIFS('Dados Mov Financeira'!$N:$N,'Dados Mov Financeira'!$O:$O,'DRE 2020'!$B79,'Dados Mov Financeira'!$A:$A,'DRE 2020'!S$1,'Dados Mov Financeira'!$B:$B,'DRE 2020'!S$2)</f>
        <v>0</v>
      </c>
      <c r="T79" s="91" t="n">
        <f aca="false">IFERROR(S79/S$5,0)</f>
        <v>0</v>
      </c>
      <c r="V79" s="75" t="n">
        <f aca="false">SUMIFS('Dados Mov Financeira'!$N:$N,'Dados Mov Financeira'!$O:$O,'DRE 2020'!$B79,'Dados Mov Financeira'!$A:$A,'DRE 2020'!V$1,'Dados Mov Financeira'!$B:$B,'DRE 2020'!V$2)</f>
        <v>0</v>
      </c>
      <c r="W79" s="91" t="n">
        <f aca="false">IFERROR(V79/V$5,0)</f>
        <v>0</v>
      </c>
      <c r="Y79" s="75" t="n">
        <f aca="false">SUMIFS('Dados Mov Financeira'!$N:$N,'Dados Mov Financeira'!$O:$O,'DRE 2020'!$B79,'Dados Mov Financeira'!$A:$A,'DRE 2020'!Y$1,'Dados Mov Financeira'!$B:$B,'DRE 2020'!Y$2)</f>
        <v>0</v>
      </c>
      <c r="Z79" s="91" t="n">
        <f aca="false">IFERROR(Y79/Y$5,0)</f>
        <v>0</v>
      </c>
      <c r="AB79" s="75" t="n">
        <f aca="false">SUMIFS('Dados Mov Financeira'!$N:$N,'Dados Mov Financeira'!$O:$O,'DRE 2020'!$B79,'Dados Mov Financeira'!$A:$A,'DRE 2020'!AB$1,'Dados Mov Financeira'!$B:$B,'DRE 2020'!AB$2)</f>
        <v>0</v>
      </c>
      <c r="AC79" s="91" t="n">
        <f aca="false">IFERROR(AB79/AB$5,0)</f>
        <v>0</v>
      </c>
      <c r="AE79" s="75" t="n">
        <f aca="false">SUMIFS('Dados Mov Financeira'!$N:$N,'Dados Mov Financeira'!$O:$O,'DRE 2020'!$B79,'Dados Mov Financeira'!$A:$A,'DRE 2020'!AE$1,'Dados Mov Financeira'!$B:$B,'DRE 2020'!AE$2)</f>
        <v>0</v>
      </c>
      <c r="AF79" s="91" t="n">
        <f aca="false">IFERROR(AE79/AE$5,0)</f>
        <v>0</v>
      </c>
      <c r="AH79" s="75" t="n">
        <f aca="false">SUMIFS('Dados Mov Financeira'!$N:$N,'Dados Mov Financeira'!$O:$O,'DRE 2020'!$B79,'Dados Mov Financeira'!$A:$A,'DRE 2020'!AH$1,'Dados Mov Financeira'!$B:$B,'DRE 2020'!AH$2)</f>
        <v>0</v>
      </c>
      <c r="AI79" s="91" t="n">
        <f aca="false">IFERROR(AH79/AH$5,0)</f>
        <v>0</v>
      </c>
      <c r="AK79" s="75" t="n">
        <f aca="false">SUMIFS('Dados Mov Financeira'!$N:$N,'Dados Mov Financeira'!$O:$O,'DRE 2020'!$B79,'Dados Mov Financeira'!$A:$A,'DRE 2020'!AK$1,'Dados Mov Financeira'!$B:$B,'DRE 2020'!AK$2)</f>
        <v>0</v>
      </c>
      <c r="AL79" s="91" t="n">
        <f aca="false">IFERROR(AK79/AK$5,0)</f>
        <v>0</v>
      </c>
      <c r="AN79" s="92" t="n">
        <f aca="false">SUM(D79,G79,J79,M79,P79,S79,V79,Y79,AB79,AE79,AH79,AK79)</f>
        <v>0</v>
      </c>
      <c r="AO79" s="91" t="n">
        <f aca="false">IFERROR(AN79/AN$5,0)</f>
        <v>0</v>
      </c>
      <c r="AQ79" s="93" t="n">
        <f aca="false">AN79/$AR$1</f>
        <v>0</v>
      </c>
      <c r="AR79" s="94" t="n">
        <f aca="false">IFERROR(AQ79/AQ$5,0)</f>
        <v>0</v>
      </c>
      <c r="AT79" s="111"/>
    </row>
    <row r="80" customFormat="false" ht="14.25" hidden="true" customHeight="false" outlineLevel="1" collapsed="false">
      <c r="B80" s="89" t="s">
        <v>101</v>
      </c>
      <c r="D80" s="75" t="n">
        <f aca="false">SUMIFS('Dados Mov Financeira'!$N:$N,'Dados Mov Financeira'!$O:$O,'DRE 2020'!$B80,'Dados Mov Financeira'!$A:$A,'DRE 2020'!D$1,'Dados Mov Financeira'!$B:$B,'DRE 2020'!D$2)</f>
        <v>0</v>
      </c>
      <c r="E80" s="91" t="n">
        <f aca="false">IFERROR(D80/D$5,0)</f>
        <v>0</v>
      </c>
      <c r="G80" s="75" t="n">
        <f aca="false">SUMIFS('Dados Mov Financeira'!$N:$N,'Dados Mov Financeira'!$O:$O,'DRE 2020'!$B80,'Dados Mov Financeira'!$A:$A,'DRE 2020'!G$1,'Dados Mov Financeira'!$B:$B,'DRE 2020'!G$2)</f>
        <v>0</v>
      </c>
      <c r="H80" s="91" t="n">
        <f aca="false">IFERROR(G80/G$5,0)</f>
        <v>0</v>
      </c>
      <c r="J80" s="75" t="n">
        <f aca="false">SUMIFS('Dados Mov Financeira'!$N:$N,'Dados Mov Financeira'!$O:$O,'DRE 2020'!$B80,'Dados Mov Financeira'!$A:$A,'DRE 2020'!J$1,'Dados Mov Financeira'!$B:$B,'DRE 2020'!J$2)</f>
        <v>0</v>
      </c>
      <c r="K80" s="91" t="n">
        <f aca="false">IFERROR(J80/J$5,0)</f>
        <v>0</v>
      </c>
      <c r="M80" s="75" t="n">
        <f aca="false">SUMIFS('Dados Mov Financeira'!$N:$N,'Dados Mov Financeira'!$O:$O,'DRE 2020'!$B80,'Dados Mov Financeira'!$A:$A,'DRE 2020'!M$1,'Dados Mov Financeira'!$B:$B,'DRE 2020'!M$2)</f>
        <v>0</v>
      </c>
      <c r="N80" s="91" t="n">
        <f aca="false">IFERROR(M80/M$5,0)</f>
        <v>0</v>
      </c>
      <c r="P80" s="75" t="n">
        <f aca="false">SUMIFS('Dados Mov Financeira'!$N:$N,'Dados Mov Financeira'!$O:$O,'DRE 2020'!$B80,'Dados Mov Financeira'!$A:$A,'DRE 2020'!P$1,'Dados Mov Financeira'!$B:$B,'DRE 2020'!P$2)</f>
        <v>0</v>
      </c>
      <c r="Q80" s="91" t="n">
        <f aca="false">IFERROR(P80/P$5,0)</f>
        <v>0</v>
      </c>
      <c r="S80" s="75" t="n">
        <f aca="false">SUMIFS('Dados Mov Financeira'!$N:$N,'Dados Mov Financeira'!$O:$O,'DRE 2020'!$B80,'Dados Mov Financeira'!$A:$A,'DRE 2020'!S$1,'Dados Mov Financeira'!$B:$B,'DRE 2020'!S$2)</f>
        <v>0</v>
      </c>
      <c r="T80" s="91" t="n">
        <f aca="false">IFERROR(S80/S$5,0)</f>
        <v>0</v>
      </c>
      <c r="V80" s="75" t="n">
        <f aca="false">SUMIFS('Dados Mov Financeira'!$N:$N,'Dados Mov Financeira'!$O:$O,'DRE 2020'!$B80,'Dados Mov Financeira'!$A:$A,'DRE 2020'!V$1,'Dados Mov Financeira'!$B:$B,'DRE 2020'!V$2)</f>
        <v>0</v>
      </c>
      <c r="W80" s="91" t="n">
        <f aca="false">IFERROR(V80/V$5,0)</f>
        <v>0</v>
      </c>
      <c r="Y80" s="75" t="n">
        <f aca="false">SUMIFS('Dados Mov Financeira'!$N:$N,'Dados Mov Financeira'!$O:$O,'DRE 2020'!$B80,'Dados Mov Financeira'!$A:$A,'DRE 2020'!Y$1,'Dados Mov Financeira'!$B:$B,'DRE 2020'!Y$2)</f>
        <v>0</v>
      </c>
      <c r="Z80" s="91" t="n">
        <f aca="false">IFERROR(Y80/Y$5,0)</f>
        <v>0</v>
      </c>
      <c r="AB80" s="75" t="n">
        <f aca="false">SUMIFS('Dados Mov Financeira'!$N:$N,'Dados Mov Financeira'!$O:$O,'DRE 2020'!$B80,'Dados Mov Financeira'!$A:$A,'DRE 2020'!AB$1,'Dados Mov Financeira'!$B:$B,'DRE 2020'!AB$2)</f>
        <v>0</v>
      </c>
      <c r="AC80" s="91" t="n">
        <f aca="false">IFERROR(AB80/AB$5,0)</f>
        <v>0</v>
      </c>
      <c r="AE80" s="75" t="n">
        <f aca="false">SUMIFS('Dados Mov Financeira'!$N:$N,'Dados Mov Financeira'!$O:$O,'DRE 2020'!$B80,'Dados Mov Financeira'!$A:$A,'DRE 2020'!AE$1,'Dados Mov Financeira'!$B:$B,'DRE 2020'!AE$2)</f>
        <v>0</v>
      </c>
      <c r="AF80" s="91" t="n">
        <f aca="false">IFERROR(AE80/AE$5,0)</f>
        <v>0</v>
      </c>
      <c r="AH80" s="75" t="n">
        <f aca="false">SUMIFS('Dados Mov Financeira'!$N:$N,'Dados Mov Financeira'!$O:$O,'DRE 2020'!$B80,'Dados Mov Financeira'!$A:$A,'DRE 2020'!AH$1,'Dados Mov Financeira'!$B:$B,'DRE 2020'!AH$2)</f>
        <v>0</v>
      </c>
      <c r="AI80" s="91" t="n">
        <f aca="false">IFERROR(AH80/AH$5,0)</f>
        <v>0</v>
      </c>
      <c r="AK80" s="75" t="n">
        <f aca="false">SUMIFS('Dados Mov Financeira'!$N:$N,'Dados Mov Financeira'!$O:$O,'DRE 2020'!$B80,'Dados Mov Financeira'!$A:$A,'DRE 2020'!AK$1,'Dados Mov Financeira'!$B:$B,'DRE 2020'!AK$2)</f>
        <v>0</v>
      </c>
      <c r="AL80" s="91" t="n">
        <f aca="false">IFERROR(AK80/AK$5,0)</f>
        <v>0</v>
      </c>
      <c r="AN80" s="92" t="n">
        <f aca="false">SUM(D80,G80,J80,M80,P80,S80,V80,Y80,AB80,AE80,AH80,AK80)</f>
        <v>0</v>
      </c>
      <c r="AO80" s="91" t="n">
        <f aca="false">IFERROR(AN80/AN$5,0)</f>
        <v>0</v>
      </c>
      <c r="AQ80" s="93" t="n">
        <f aca="false">AN80/$AR$1</f>
        <v>0</v>
      </c>
      <c r="AR80" s="94" t="n">
        <f aca="false">IFERROR(AQ80/AQ$5,0)</f>
        <v>0</v>
      </c>
      <c r="AT80" s="111"/>
    </row>
    <row r="81" customFormat="false" ht="14.25" hidden="true" customHeight="false" outlineLevel="1" collapsed="false">
      <c r="B81" s="89" t="s">
        <v>102</v>
      </c>
      <c r="D81" s="75" t="n">
        <f aca="false">SUMIFS('Dados Mov Financeira'!$N:$N,'Dados Mov Financeira'!$O:$O,'DRE 2020'!$B81,'Dados Mov Financeira'!$A:$A,'DRE 2020'!D$1,'Dados Mov Financeira'!$B:$B,'DRE 2020'!D$2)</f>
        <v>0</v>
      </c>
      <c r="E81" s="91" t="n">
        <f aca="false">IFERROR(D81/D$5,0)</f>
        <v>0</v>
      </c>
      <c r="G81" s="75" t="n">
        <f aca="false">SUMIFS('Dados Mov Financeira'!$N:$N,'Dados Mov Financeira'!$O:$O,'DRE 2020'!$B81,'Dados Mov Financeira'!$A:$A,'DRE 2020'!G$1,'Dados Mov Financeira'!$B:$B,'DRE 2020'!G$2)</f>
        <v>0</v>
      </c>
      <c r="H81" s="91" t="n">
        <f aca="false">IFERROR(G81/G$5,0)</f>
        <v>0</v>
      </c>
      <c r="J81" s="75" t="n">
        <f aca="false">SUMIFS('Dados Mov Financeira'!$N:$N,'Dados Mov Financeira'!$O:$O,'DRE 2020'!$B81,'Dados Mov Financeira'!$A:$A,'DRE 2020'!J$1,'Dados Mov Financeira'!$B:$B,'DRE 2020'!J$2)</f>
        <v>0</v>
      </c>
      <c r="K81" s="91" t="n">
        <f aca="false">IFERROR(J81/J$5,0)</f>
        <v>0</v>
      </c>
      <c r="M81" s="75" t="n">
        <f aca="false">SUMIFS('Dados Mov Financeira'!$N:$N,'Dados Mov Financeira'!$O:$O,'DRE 2020'!$B81,'Dados Mov Financeira'!$A:$A,'DRE 2020'!M$1,'Dados Mov Financeira'!$B:$B,'DRE 2020'!M$2)</f>
        <v>0</v>
      </c>
      <c r="N81" s="91" t="n">
        <f aca="false">IFERROR(M81/M$5,0)</f>
        <v>0</v>
      </c>
      <c r="P81" s="75" t="n">
        <f aca="false">SUMIFS('Dados Mov Financeira'!$N:$N,'Dados Mov Financeira'!$O:$O,'DRE 2020'!$B81,'Dados Mov Financeira'!$A:$A,'DRE 2020'!P$1,'Dados Mov Financeira'!$B:$B,'DRE 2020'!P$2)</f>
        <v>0</v>
      </c>
      <c r="Q81" s="91" t="n">
        <f aca="false">IFERROR(P81/P$5,0)</f>
        <v>0</v>
      </c>
      <c r="S81" s="75" t="n">
        <f aca="false">SUMIFS('Dados Mov Financeira'!$N:$N,'Dados Mov Financeira'!$O:$O,'DRE 2020'!$B81,'Dados Mov Financeira'!$A:$A,'DRE 2020'!S$1,'Dados Mov Financeira'!$B:$B,'DRE 2020'!S$2)</f>
        <v>0</v>
      </c>
      <c r="T81" s="91" t="n">
        <f aca="false">IFERROR(S81/S$5,0)</f>
        <v>0</v>
      </c>
      <c r="V81" s="75" t="n">
        <f aca="false">SUMIFS('Dados Mov Financeira'!$N:$N,'Dados Mov Financeira'!$O:$O,'DRE 2020'!$B81,'Dados Mov Financeira'!$A:$A,'DRE 2020'!V$1,'Dados Mov Financeira'!$B:$B,'DRE 2020'!V$2)</f>
        <v>0</v>
      </c>
      <c r="W81" s="91" t="n">
        <f aca="false">IFERROR(V81/V$5,0)</f>
        <v>0</v>
      </c>
      <c r="Y81" s="75" t="n">
        <f aca="false">SUMIFS('Dados Mov Financeira'!$N:$N,'Dados Mov Financeira'!$O:$O,'DRE 2020'!$B81,'Dados Mov Financeira'!$A:$A,'DRE 2020'!Y$1,'Dados Mov Financeira'!$B:$B,'DRE 2020'!Y$2)</f>
        <v>0</v>
      </c>
      <c r="Z81" s="91" t="n">
        <f aca="false">IFERROR(Y81/Y$5,0)</f>
        <v>0</v>
      </c>
      <c r="AB81" s="75" t="n">
        <f aca="false">SUMIFS('Dados Mov Financeira'!$N:$N,'Dados Mov Financeira'!$O:$O,'DRE 2020'!$B81,'Dados Mov Financeira'!$A:$A,'DRE 2020'!AB$1,'Dados Mov Financeira'!$B:$B,'DRE 2020'!AB$2)</f>
        <v>0</v>
      </c>
      <c r="AC81" s="91" t="n">
        <f aca="false">IFERROR(AB81/AB$5,0)</f>
        <v>0</v>
      </c>
      <c r="AE81" s="75" t="n">
        <f aca="false">SUMIFS('Dados Mov Financeira'!$N:$N,'Dados Mov Financeira'!$O:$O,'DRE 2020'!$B81,'Dados Mov Financeira'!$A:$A,'DRE 2020'!AE$1,'Dados Mov Financeira'!$B:$B,'DRE 2020'!AE$2)</f>
        <v>0</v>
      </c>
      <c r="AF81" s="91" t="n">
        <f aca="false">IFERROR(AE81/AE$5,0)</f>
        <v>0</v>
      </c>
      <c r="AH81" s="75" t="n">
        <f aca="false">SUMIFS('Dados Mov Financeira'!$N:$N,'Dados Mov Financeira'!$O:$O,'DRE 2020'!$B81,'Dados Mov Financeira'!$A:$A,'DRE 2020'!AH$1,'Dados Mov Financeira'!$B:$B,'DRE 2020'!AH$2)</f>
        <v>0</v>
      </c>
      <c r="AI81" s="91" t="n">
        <f aca="false">IFERROR(AH81/AH$5,0)</f>
        <v>0</v>
      </c>
      <c r="AK81" s="75" t="n">
        <f aca="false">SUMIFS('Dados Mov Financeira'!$N:$N,'Dados Mov Financeira'!$O:$O,'DRE 2020'!$B81,'Dados Mov Financeira'!$A:$A,'DRE 2020'!AK$1,'Dados Mov Financeira'!$B:$B,'DRE 2020'!AK$2)</f>
        <v>0</v>
      </c>
      <c r="AL81" s="91" t="n">
        <f aca="false">IFERROR(AK81/AK$5,0)</f>
        <v>0</v>
      </c>
      <c r="AN81" s="92" t="n">
        <f aca="false">SUM(D81,G81,J81,M81,P81,S81,V81,Y81,AB81,AE81,AH81,AK81)</f>
        <v>0</v>
      </c>
      <c r="AO81" s="91" t="n">
        <f aca="false">IFERROR(AN81/AN$5,0)</f>
        <v>0</v>
      </c>
      <c r="AQ81" s="93" t="n">
        <f aca="false">AN81/$AR$1</f>
        <v>0</v>
      </c>
      <c r="AR81" s="94" t="n">
        <f aca="false">IFERROR(AQ81/AQ$5,0)</f>
        <v>0</v>
      </c>
      <c r="AT81" s="111"/>
      <c r="AU81" s="97"/>
    </row>
    <row r="82" customFormat="false" ht="14.25" hidden="true" customHeight="false" outlineLevel="1" collapsed="false">
      <c r="B82" s="89" t="s">
        <v>103</v>
      </c>
      <c r="D82" s="75" t="n">
        <f aca="false">SUMIFS('Dados Mov Financeira'!$N:$N,'Dados Mov Financeira'!$O:$O,'DRE 2020'!$B82,'Dados Mov Financeira'!$A:$A,'DRE 2020'!D$1,'Dados Mov Financeira'!$B:$B,'DRE 2020'!D$2)</f>
        <v>0</v>
      </c>
      <c r="E82" s="91" t="n">
        <f aca="false">IFERROR(D82/D$5,0)</f>
        <v>0</v>
      </c>
      <c r="G82" s="75" t="n">
        <f aca="false">SUMIFS('Dados Mov Financeira'!$N:$N,'Dados Mov Financeira'!$O:$O,'DRE 2020'!$B82,'Dados Mov Financeira'!$A:$A,'DRE 2020'!G$1,'Dados Mov Financeira'!$B:$B,'DRE 2020'!G$2)</f>
        <v>0</v>
      </c>
      <c r="H82" s="91" t="n">
        <f aca="false">IFERROR(G82/G$5,0)</f>
        <v>0</v>
      </c>
      <c r="J82" s="75" t="n">
        <f aca="false">SUMIFS('Dados Mov Financeira'!$N:$N,'Dados Mov Financeira'!$O:$O,'DRE 2020'!$B82,'Dados Mov Financeira'!$A:$A,'DRE 2020'!J$1,'Dados Mov Financeira'!$B:$B,'DRE 2020'!J$2)</f>
        <v>0</v>
      </c>
      <c r="K82" s="91" t="n">
        <f aca="false">IFERROR(J82/J$5,0)</f>
        <v>0</v>
      </c>
      <c r="M82" s="75" t="n">
        <f aca="false">SUMIFS('Dados Mov Financeira'!$N:$N,'Dados Mov Financeira'!$O:$O,'DRE 2020'!$B82,'Dados Mov Financeira'!$A:$A,'DRE 2020'!M$1,'Dados Mov Financeira'!$B:$B,'DRE 2020'!M$2)</f>
        <v>0</v>
      </c>
      <c r="N82" s="91" t="n">
        <f aca="false">IFERROR(M82/M$5,0)</f>
        <v>0</v>
      </c>
      <c r="P82" s="75" t="n">
        <f aca="false">SUMIFS('Dados Mov Financeira'!$N:$N,'Dados Mov Financeira'!$O:$O,'DRE 2020'!$B82,'Dados Mov Financeira'!$A:$A,'DRE 2020'!P$1,'Dados Mov Financeira'!$B:$B,'DRE 2020'!P$2)</f>
        <v>0</v>
      </c>
      <c r="Q82" s="91" t="n">
        <f aca="false">IFERROR(P82/P$5,0)</f>
        <v>0</v>
      </c>
      <c r="S82" s="75" t="n">
        <f aca="false">SUMIFS('Dados Mov Financeira'!$N:$N,'Dados Mov Financeira'!$O:$O,'DRE 2020'!$B82,'Dados Mov Financeira'!$A:$A,'DRE 2020'!S$1,'Dados Mov Financeira'!$B:$B,'DRE 2020'!S$2)</f>
        <v>0</v>
      </c>
      <c r="T82" s="91" t="n">
        <f aca="false">IFERROR(S82/S$5,0)</f>
        <v>0</v>
      </c>
      <c r="V82" s="75" t="n">
        <f aca="false">SUMIFS('Dados Mov Financeira'!$N:$N,'Dados Mov Financeira'!$O:$O,'DRE 2020'!$B82,'Dados Mov Financeira'!$A:$A,'DRE 2020'!V$1,'Dados Mov Financeira'!$B:$B,'DRE 2020'!V$2)</f>
        <v>0</v>
      </c>
      <c r="W82" s="91" t="n">
        <f aca="false">IFERROR(V82/V$5,0)</f>
        <v>0</v>
      </c>
      <c r="Y82" s="75" t="n">
        <f aca="false">SUMIFS('Dados Mov Financeira'!$N:$N,'Dados Mov Financeira'!$O:$O,'DRE 2020'!$B82,'Dados Mov Financeira'!$A:$A,'DRE 2020'!Y$1,'Dados Mov Financeira'!$B:$B,'DRE 2020'!Y$2)</f>
        <v>0</v>
      </c>
      <c r="Z82" s="91" t="n">
        <f aca="false">IFERROR(Y82/Y$5,0)</f>
        <v>0</v>
      </c>
      <c r="AB82" s="75" t="n">
        <f aca="false">SUMIFS('Dados Mov Financeira'!$N:$N,'Dados Mov Financeira'!$O:$O,'DRE 2020'!$B82,'Dados Mov Financeira'!$A:$A,'DRE 2020'!AB$1,'Dados Mov Financeira'!$B:$B,'DRE 2020'!AB$2)</f>
        <v>0</v>
      </c>
      <c r="AC82" s="91" t="n">
        <f aca="false">IFERROR(AB82/AB$5,0)</f>
        <v>0</v>
      </c>
      <c r="AE82" s="75" t="n">
        <f aca="false">SUMIFS('Dados Mov Financeira'!$N:$N,'Dados Mov Financeira'!$O:$O,'DRE 2020'!$B82,'Dados Mov Financeira'!$A:$A,'DRE 2020'!AE$1,'Dados Mov Financeira'!$B:$B,'DRE 2020'!AE$2)</f>
        <v>0</v>
      </c>
      <c r="AF82" s="91" t="n">
        <f aca="false">IFERROR(AE82/AE$5,0)</f>
        <v>0</v>
      </c>
      <c r="AH82" s="75" t="n">
        <f aca="false">SUMIFS('Dados Mov Financeira'!$N:$N,'Dados Mov Financeira'!$O:$O,'DRE 2020'!$B82,'Dados Mov Financeira'!$A:$A,'DRE 2020'!AH$1,'Dados Mov Financeira'!$B:$B,'DRE 2020'!AH$2)</f>
        <v>0</v>
      </c>
      <c r="AI82" s="91" t="n">
        <f aca="false">IFERROR(AH82/AH$5,0)</f>
        <v>0</v>
      </c>
      <c r="AK82" s="75" t="n">
        <f aca="false">SUMIFS('Dados Mov Financeira'!$N:$N,'Dados Mov Financeira'!$O:$O,'DRE 2020'!$B82,'Dados Mov Financeira'!$A:$A,'DRE 2020'!AK$1,'Dados Mov Financeira'!$B:$B,'DRE 2020'!AK$2)</f>
        <v>0</v>
      </c>
      <c r="AL82" s="91" t="n">
        <f aca="false">IFERROR(AK82/AK$5,0)</f>
        <v>0</v>
      </c>
      <c r="AN82" s="92" t="n">
        <f aca="false">SUM(D82,G82,J82,M82,P82,S82,V82,Y82,AB82,AE82,AH82,AK82)</f>
        <v>0</v>
      </c>
      <c r="AO82" s="91" t="n">
        <f aca="false">IFERROR(AN82/AN$5,0)</f>
        <v>0</v>
      </c>
      <c r="AQ82" s="93" t="n">
        <f aca="false">AN82/$AR$1</f>
        <v>0</v>
      </c>
      <c r="AR82" s="94" t="n">
        <f aca="false">IFERROR(AQ82/AQ$5,0)</f>
        <v>0</v>
      </c>
      <c r="AT82" s="111"/>
      <c r="AU82" s="113"/>
    </row>
    <row r="83" customFormat="false" ht="14.25" hidden="true" customHeight="false" outlineLevel="1" collapsed="false">
      <c r="B83" s="89" t="s">
        <v>104</v>
      </c>
      <c r="D83" s="75" t="n">
        <f aca="false">SUMIFS('Dados Mov Financeira'!$N:$N,'Dados Mov Financeira'!$O:$O,'DRE 2020'!$B83,'Dados Mov Financeira'!$A:$A,'DRE 2020'!D$1,'Dados Mov Financeira'!$B:$B,'DRE 2020'!D$2)</f>
        <v>0</v>
      </c>
      <c r="E83" s="91" t="n">
        <f aca="false">IFERROR(D83/D$5,0)</f>
        <v>0</v>
      </c>
      <c r="G83" s="75" t="n">
        <f aca="false">SUMIFS('Dados Mov Financeira'!$N:$N,'Dados Mov Financeira'!$O:$O,'DRE 2020'!$B83,'Dados Mov Financeira'!$A:$A,'DRE 2020'!G$1,'Dados Mov Financeira'!$B:$B,'DRE 2020'!G$2)</f>
        <v>0</v>
      </c>
      <c r="H83" s="91" t="n">
        <f aca="false">IFERROR(G83/G$5,0)</f>
        <v>0</v>
      </c>
      <c r="J83" s="75" t="n">
        <f aca="false">SUMIFS('Dados Mov Financeira'!$N:$N,'Dados Mov Financeira'!$O:$O,'DRE 2020'!$B83,'Dados Mov Financeira'!$A:$A,'DRE 2020'!J$1,'Dados Mov Financeira'!$B:$B,'DRE 2020'!J$2)</f>
        <v>0</v>
      </c>
      <c r="K83" s="91" t="n">
        <f aca="false">IFERROR(J83/J$5,0)</f>
        <v>0</v>
      </c>
      <c r="M83" s="75" t="n">
        <f aca="false">SUMIFS('Dados Mov Financeira'!$N:$N,'Dados Mov Financeira'!$O:$O,'DRE 2020'!$B83,'Dados Mov Financeira'!$A:$A,'DRE 2020'!M$1,'Dados Mov Financeira'!$B:$B,'DRE 2020'!M$2)</f>
        <v>0</v>
      </c>
      <c r="N83" s="91" t="n">
        <f aca="false">IFERROR(M83/M$5,0)</f>
        <v>0</v>
      </c>
      <c r="P83" s="75" t="n">
        <f aca="false">SUMIFS('Dados Mov Financeira'!$N:$N,'Dados Mov Financeira'!$O:$O,'DRE 2020'!$B83,'Dados Mov Financeira'!$A:$A,'DRE 2020'!P$1,'Dados Mov Financeira'!$B:$B,'DRE 2020'!P$2)</f>
        <v>0</v>
      </c>
      <c r="Q83" s="91" t="n">
        <f aca="false">IFERROR(P83/P$5,0)</f>
        <v>0</v>
      </c>
      <c r="S83" s="75" t="n">
        <f aca="false">SUMIFS('Dados Mov Financeira'!$N:$N,'Dados Mov Financeira'!$O:$O,'DRE 2020'!$B83,'Dados Mov Financeira'!$A:$A,'DRE 2020'!S$1,'Dados Mov Financeira'!$B:$B,'DRE 2020'!S$2)</f>
        <v>0</v>
      </c>
      <c r="T83" s="91" t="n">
        <f aca="false">IFERROR(S83/S$5,0)</f>
        <v>0</v>
      </c>
      <c r="V83" s="75" t="n">
        <f aca="false">SUMIFS('Dados Mov Financeira'!$N:$N,'Dados Mov Financeira'!$O:$O,'DRE 2020'!$B83,'Dados Mov Financeira'!$A:$A,'DRE 2020'!V$1,'Dados Mov Financeira'!$B:$B,'DRE 2020'!V$2)</f>
        <v>0</v>
      </c>
      <c r="W83" s="91" t="n">
        <f aca="false">IFERROR(V83/V$5,0)</f>
        <v>0</v>
      </c>
      <c r="Y83" s="75" t="n">
        <f aca="false">SUMIFS('Dados Mov Financeira'!$N:$N,'Dados Mov Financeira'!$O:$O,'DRE 2020'!$B83,'Dados Mov Financeira'!$A:$A,'DRE 2020'!Y$1,'Dados Mov Financeira'!$B:$B,'DRE 2020'!Y$2)</f>
        <v>0</v>
      </c>
      <c r="Z83" s="91" t="n">
        <f aca="false">IFERROR(Y83/Y$5,0)</f>
        <v>0</v>
      </c>
      <c r="AB83" s="75" t="n">
        <f aca="false">SUMIFS('Dados Mov Financeira'!$N:$N,'Dados Mov Financeira'!$O:$O,'DRE 2020'!$B83,'Dados Mov Financeira'!$A:$A,'DRE 2020'!AB$1,'Dados Mov Financeira'!$B:$B,'DRE 2020'!AB$2)</f>
        <v>0</v>
      </c>
      <c r="AC83" s="91" t="n">
        <f aca="false">IFERROR(AB83/AB$5,0)</f>
        <v>0</v>
      </c>
      <c r="AE83" s="75" t="n">
        <f aca="false">SUMIFS('Dados Mov Financeira'!$N:$N,'Dados Mov Financeira'!$O:$O,'DRE 2020'!$B83,'Dados Mov Financeira'!$A:$A,'DRE 2020'!AE$1,'Dados Mov Financeira'!$B:$B,'DRE 2020'!AE$2)</f>
        <v>0</v>
      </c>
      <c r="AF83" s="91" t="n">
        <f aca="false">IFERROR(AE83/AE$5,0)</f>
        <v>0</v>
      </c>
      <c r="AH83" s="75" t="n">
        <f aca="false">SUMIFS('Dados Mov Financeira'!$N:$N,'Dados Mov Financeira'!$O:$O,'DRE 2020'!$B83,'Dados Mov Financeira'!$A:$A,'DRE 2020'!AH$1,'Dados Mov Financeira'!$B:$B,'DRE 2020'!AH$2)</f>
        <v>0</v>
      </c>
      <c r="AI83" s="91" t="n">
        <f aca="false">IFERROR(AH83/AH$5,0)</f>
        <v>0</v>
      </c>
      <c r="AK83" s="75" t="n">
        <f aca="false">SUMIFS('Dados Mov Financeira'!$N:$N,'Dados Mov Financeira'!$O:$O,'DRE 2020'!$B83,'Dados Mov Financeira'!$A:$A,'DRE 2020'!AK$1,'Dados Mov Financeira'!$B:$B,'DRE 2020'!AK$2)</f>
        <v>0</v>
      </c>
      <c r="AL83" s="91" t="n">
        <f aca="false">IFERROR(AK83/AK$5,0)</f>
        <v>0</v>
      </c>
      <c r="AN83" s="92" t="n">
        <f aca="false">SUM(D83,G83,J83,M83,P83,S83,V83,Y83,AB83,AE83,AH83,AK83)</f>
        <v>0</v>
      </c>
      <c r="AO83" s="91" t="n">
        <f aca="false">IFERROR(AN83/AN$5,0)</f>
        <v>0</v>
      </c>
      <c r="AQ83" s="93" t="n">
        <f aca="false">AN83/$AR$1</f>
        <v>0</v>
      </c>
      <c r="AR83" s="94" t="n">
        <f aca="false">IFERROR(AQ83/AQ$5,0)</f>
        <v>0</v>
      </c>
      <c r="AT83" s="111"/>
      <c r="AU83" s="113"/>
    </row>
    <row r="84" customFormat="false" ht="14.25" hidden="true" customHeight="false" outlineLevel="1" collapsed="false">
      <c r="B84" s="89" t="s">
        <v>105</v>
      </c>
      <c r="D84" s="75" t="n">
        <f aca="false">SUMIFS('Dados Mov Financeira'!$N:$N,'Dados Mov Financeira'!$O:$O,'DRE 2020'!$B84,'Dados Mov Financeira'!$A:$A,'DRE 2020'!D$1,'Dados Mov Financeira'!$B:$B,'DRE 2020'!D$2)</f>
        <v>0</v>
      </c>
      <c r="E84" s="91" t="n">
        <f aca="false">IFERROR(D84/D$5,0)</f>
        <v>0</v>
      </c>
      <c r="G84" s="75" t="n">
        <f aca="false">SUMIFS('Dados Mov Financeira'!$N:$N,'Dados Mov Financeira'!$O:$O,'DRE 2020'!$B84,'Dados Mov Financeira'!$A:$A,'DRE 2020'!G$1,'Dados Mov Financeira'!$B:$B,'DRE 2020'!G$2)</f>
        <v>0</v>
      </c>
      <c r="H84" s="91" t="n">
        <f aca="false">IFERROR(G84/G$5,0)</f>
        <v>0</v>
      </c>
      <c r="J84" s="75" t="n">
        <f aca="false">SUMIFS('Dados Mov Financeira'!$N:$N,'Dados Mov Financeira'!$O:$O,'DRE 2020'!$B84,'Dados Mov Financeira'!$A:$A,'DRE 2020'!J$1,'Dados Mov Financeira'!$B:$B,'DRE 2020'!J$2)</f>
        <v>0</v>
      </c>
      <c r="K84" s="91" t="n">
        <f aca="false">IFERROR(J84/J$5,0)</f>
        <v>0</v>
      </c>
      <c r="M84" s="75" t="n">
        <f aca="false">SUMIFS('Dados Mov Financeira'!$N:$N,'Dados Mov Financeira'!$O:$O,'DRE 2020'!$B84,'Dados Mov Financeira'!$A:$A,'DRE 2020'!M$1,'Dados Mov Financeira'!$B:$B,'DRE 2020'!M$2)</f>
        <v>0</v>
      </c>
      <c r="N84" s="91" t="n">
        <f aca="false">IFERROR(M84/M$5,0)</f>
        <v>0</v>
      </c>
      <c r="P84" s="75" t="n">
        <f aca="false">SUMIFS('Dados Mov Financeira'!$N:$N,'Dados Mov Financeira'!$O:$O,'DRE 2020'!$B84,'Dados Mov Financeira'!$A:$A,'DRE 2020'!P$1,'Dados Mov Financeira'!$B:$B,'DRE 2020'!P$2)</f>
        <v>0</v>
      </c>
      <c r="Q84" s="91" t="n">
        <f aca="false">IFERROR(P84/P$5,0)</f>
        <v>0</v>
      </c>
      <c r="S84" s="75" t="n">
        <f aca="false">SUMIFS('Dados Mov Financeira'!$N:$N,'Dados Mov Financeira'!$O:$O,'DRE 2020'!$B84,'Dados Mov Financeira'!$A:$A,'DRE 2020'!S$1,'Dados Mov Financeira'!$B:$B,'DRE 2020'!S$2)</f>
        <v>0</v>
      </c>
      <c r="T84" s="91" t="n">
        <f aca="false">IFERROR(S84/S$5,0)</f>
        <v>0</v>
      </c>
      <c r="V84" s="75" t="n">
        <f aca="false">SUMIFS('Dados Mov Financeira'!$N:$N,'Dados Mov Financeira'!$O:$O,'DRE 2020'!$B84,'Dados Mov Financeira'!$A:$A,'DRE 2020'!V$1,'Dados Mov Financeira'!$B:$B,'DRE 2020'!V$2)</f>
        <v>0</v>
      </c>
      <c r="W84" s="91" t="n">
        <f aca="false">IFERROR(V84/V$5,0)</f>
        <v>0</v>
      </c>
      <c r="Y84" s="75" t="n">
        <f aca="false">SUMIFS('Dados Mov Financeira'!$N:$N,'Dados Mov Financeira'!$O:$O,'DRE 2020'!$B84,'Dados Mov Financeira'!$A:$A,'DRE 2020'!Y$1,'Dados Mov Financeira'!$B:$B,'DRE 2020'!Y$2)</f>
        <v>0</v>
      </c>
      <c r="Z84" s="91" t="n">
        <f aca="false">IFERROR(Y84/Y$5,0)</f>
        <v>0</v>
      </c>
      <c r="AB84" s="75" t="n">
        <f aca="false">SUMIFS('Dados Mov Financeira'!$N:$N,'Dados Mov Financeira'!$O:$O,'DRE 2020'!$B84,'Dados Mov Financeira'!$A:$A,'DRE 2020'!AB$1,'Dados Mov Financeira'!$B:$B,'DRE 2020'!AB$2)</f>
        <v>0</v>
      </c>
      <c r="AC84" s="91" t="n">
        <f aca="false">IFERROR(AB84/AB$5,0)</f>
        <v>0</v>
      </c>
      <c r="AE84" s="75" t="n">
        <f aca="false">SUMIFS('Dados Mov Financeira'!$N:$N,'Dados Mov Financeira'!$O:$O,'DRE 2020'!$B84,'Dados Mov Financeira'!$A:$A,'DRE 2020'!AE$1,'Dados Mov Financeira'!$B:$B,'DRE 2020'!AE$2)</f>
        <v>0</v>
      </c>
      <c r="AF84" s="91" t="n">
        <f aca="false">IFERROR(AE84/AE$5,0)</f>
        <v>0</v>
      </c>
      <c r="AH84" s="75" t="n">
        <f aca="false">SUMIFS('Dados Mov Financeira'!$N:$N,'Dados Mov Financeira'!$O:$O,'DRE 2020'!$B84,'Dados Mov Financeira'!$A:$A,'DRE 2020'!AH$1,'Dados Mov Financeira'!$B:$B,'DRE 2020'!AH$2)</f>
        <v>0</v>
      </c>
      <c r="AI84" s="91" t="n">
        <f aca="false">IFERROR(AH84/AH$5,0)</f>
        <v>0</v>
      </c>
      <c r="AK84" s="75" t="n">
        <f aca="false">SUMIFS('Dados Mov Financeira'!$N:$N,'Dados Mov Financeira'!$O:$O,'DRE 2020'!$B84,'Dados Mov Financeira'!$A:$A,'DRE 2020'!AK$1,'Dados Mov Financeira'!$B:$B,'DRE 2020'!AK$2)</f>
        <v>0</v>
      </c>
      <c r="AL84" s="91" t="n">
        <f aca="false">IFERROR(AK84/AK$5,0)</f>
        <v>0</v>
      </c>
      <c r="AN84" s="92" t="n">
        <f aca="false">SUM(D84,G84,J84,M84,P84,S84,V84,Y84,AB84,AE84,AH84,AK84)</f>
        <v>0</v>
      </c>
      <c r="AO84" s="91" t="n">
        <f aca="false">IFERROR(AN84/AN$5,0)</f>
        <v>0</v>
      </c>
      <c r="AQ84" s="93" t="n">
        <f aca="false">AN84/$AR$1</f>
        <v>0</v>
      </c>
      <c r="AR84" s="94" t="n">
        <f aca="false">IFERROR(AQ84/AQ$5,0)</f>
        <v>0</v>
      </c>
      <c r="AT84" s="111"/>
    </row>
    <row r="85" customFormat="false" ht="14.25" hidden="true" customHeight="false" outlineLevel="1" collapsed="false">
      <c r="B85" s="89" t="s">
        <v>106</v>
      </c>
      <c r="D85" s="75" t="n">
        <f aca="false">SUMIFS('Dados Mov Financeira'!$N:$N,'Dados Mov Financeira'!$O:$O,'DRE 2020'!$B85,'Dados Mov Financeira'!$A:$A,'DRE 2020'!D$1,'Dados Mov Financeira'!$B:$B,'DRE 2020'!D$2)</f>
        <v>0</v>
      </c>
      <c r="E85" s="91" t="n">
        <f aca="false">IFERROR(D85/D$5,0)</f>
        <v>0</v>
      </c>
      <c r="G85" s="75" t="n">
        <f aca="false">SUMIFS('Dados Mov Financeira'!$N:$N,'Dados Mov Financeira'!$O:$O,'DRE 2020'!$B85,'Dados Mov Financeira'!$A:$A,'DRE 2020'!G$1,'Dados Mov Financeira'!$B:$B,'DRE 2020'!G$2)</f>
        <v>0</v>
      </c>
      <c r="H85" s="91" t="n">
        <f aca="false">IFERROR(G85/G$5,0)</f>
        <v>0</v>
      </c>
      <c r="J85" s="75" t="n">
        <f aca="false">SUMIFS('Dados Mov Financeira'!$N:$N,'Dados Mov Financeira'!$O:$O,'DRE 2020'!$B85,'Dados Mov Financeira'!$A:$A,'DRE 2020'!J$1,'Dados Mov Financeira'!$B:$B,'DRE 2020'!J$2)</f>
        <v>0</v>
      </c>
      <c r="K85" s="91" t="n">
        <f aca="false">IFERROR(J85/J$5,0)</f>
        <v>0</v>
      </c>
      <c r="M85" s="75" t="n">
        <f aca="false">SUMIFS('Dados Mov Financeira'!$N:$N,'Dados Mov Financeira'!$O:$O,'DRE 2020'!$B85,'Dados Mov Financeira'!$A:$A,'DRE 2020'!M$1,'Dados Mov Financeira'!$B:$B,'DRE 2020'!M$2)</f>
        <v>0</v>
      </c>
      <c r="N85" s="91" t="n">
        <f aca="false">IFERROR(M85/M$5,0)</f>
        <v>0</v>
      </c>
      <c r="P85" s="75" t="n">
        <f aca="false">SUMIFS('Dados Mov Financeira'!$N:$N,'Dados Mov Financeira'!$O:$O,'DRE 2020'!$B85,'Dados Mov Financeira'!$A:$A,'DRE 2020'!P$1,'Dados Mov Financeira'!$B:$B,'DRE 2020'!P$2)</f>
        <v>0</v>
      </c>
      <c r="Q85" s="91" t="n">
        <f aca="false">IFERROR(P85/P$5,0)</f>
        <v>0</v>
      </c>
      <c r="S85" s="75" t="n">
        <f aca="false">SUMIFS('Dados Mov Financeira'!$N:$N,'Dados Mov Financeira'!$O:$O,'DRE 2020'!$B85,'Dados Mov Financeira'!$A:$A,'DRE 2020'!S$1,'Dados Mov Financeira'!$B:$B,'DRE 2020'!S$2)</f>
        <v>0</v>
      </c>
      <c r="T85" s="91" t="n">
        <f aca="false">IFERROR(S85/S$5,0)</f>
        <v>0</v>
      </c>
      <c r="V85" s="75" t="n">
        <f aca="false">SUMIFS('Dados Mov Financeira'!$N:$N,'Dados Mov Financeira'!$O:$O,'DRE 2020'!$B85,'Dados Mov Financeira'!$A:$A,'DRE 2020'!V$1,'Dados Mov Financeira'!$B:$B,'DRE 2020'!V$2)</f>
        <v>0</v>
      </c>
      <c r="W85" s="91" t="n">
        <f aca="false">IFERROR(V85/V$5,0)</f>
        <v>0</v>
      </c>
      <c r="Y85" s="75" t="n">
        <f aca="false">SUMIFS('Dados Mov Financeira'!$N:$N,'Dados Mov Financeira'!$O:$O,'DRE 2020'!$B85,'Dados Mov Financeira'!$A:$A,'DRE 2020'!Y$1,'Dados Mov Financeira'!$B:$B,'DRE 2020'!Y$2)</f>
        <v>0</v>
      </c>
      <c r="Z85" s="91" t="n">
        <f aca="false">IFERROR(Y85/Y$5,0)</f>
        <v>0</v>
      </c>
      <c r="AB85" s="75" t="n">
        <f aca="false">SUMIFS('Dados Mov Financeira'!$N:$N,'Dados Mov Financeira'!$O:$O,'DRE 2020'!$B85,'Dados Mov Financeira'!$A:$A,'DRE 2020'!AB$1,'Dados Mov Financeira'!$B:$B,'DRE 2020'!AB$2)</f>
        <v>0</v>
      </c>
      <c r="AC85" s="91" t="n">
        <f aca="false">IFERROR(AB85/AB$5,0)</f>
        <v>0</v>
      </c>
      <c r="AE85" s="75" t="n">
        <f aca="false">SUMIFS('Dados Mov Financeira'!$N:$N,'Dados Mov Financeira'!$O:$O,'DRE 2020'!$B85,'Dados Mov Financeira'!$A:$A,'DRE 2020'!AE$1,'Dados Mov Financeira'!$B:$B,'DRE 2020'!AE$2)</f>
        <v>0</v>
      </c>
      <c r="AF85" s="91" t="n">
        <f aca="false">IFERROR(AE85/AE$5,0)</f>
        <v>0</v>
      </c>
      <c r="AH85" s="75" t="n">
        <f aca="false">SUMIFS('Dados Mov Financeira'!$N:$N,'Dados Mov Financeira'!$O:$O,'DRE 2020'!$B85,'Dados Mov Financeira'!$A:$A,'DRE 2020'!AH$1,'Dados Mov Financeira'!$B:$B,'DRE 2020'!AH$2)</f>
        <v>0</v>
      </c>
      <c r="AI85" s="91" t="n">
        <f aca="false">IFERROR(AH85/AH$5,0)</f>
        <v>0</v>
      </c>
      <c r="AK85" s="75" t="n">
        <f aca="false">SUMIFS('Dados Mov Financeira'!$N:$N,'Dados Mov Financeira'!$O:$O,'DRE 2020'!$B85,'Dados Mov Financeira'!$A:$A,'DRE 2020'!AK$1,'Dados Mov Financeira'!$B:$B,'DRE 2020'!AK$2)</f>
        <v>0</v>
      </c>
      <c r="AL85" s="91" t="n">
        <f aca="false">IFERROR(AK85/AK$5,0)</f>
        <v>0</v>
      </c>
      <c r="AN85" s="92" t="n">
        <f aca="false">SUM(D85,G85,J85,M85,P85,S85,V85,Y85,AB85,AE85,AH85,AK85)</f>
        <v>0</v>
      </c>
      <c r="AO85" s="91" t="n">
        <f aca="false">IFERROR(AN85/AN$5,0)</f>
        <v>0</v>
      </c>
      <c r="AQ85" s="93" t="n">
        <f aca="false">AN85/$AR$1</f>
        <v>0</v>
      </c>
      <c r="AR85" s="94" t="n">
        <f aca="false">IFERROR(AQ85/AQ$5,0)</f>
        <v>0</v>
      </c>
      <c r="AT85" s="111"/>
    </row>
    <row r="86" customFormat="false" ht="14.25" hidden="true" customHeight="false" outlineLevel="1" collapsed="false">
      <c r="B86" s="89" t="s">
        <v>107</v>
      </c>
      <c r="D86" s="75" t="n">
        <f aca="false">SUMIFS('Dados Mov Financeira'!$N:$N,'Dados Mov Financeira'!$O:$O,'DRE 2020'!$B86,'Dados Mov Financeira'!$A:$A,'DRE 2020'!D$1,'Dados Mov Financeira'!$B:$B,'DRE 2020'!D$2)</f>
        <v>0</v>
      </c>
      <c r="E86" s="91" t="n">
        <f aca="false">IFERROR(D86/D$5,0)</f>
        <v>0</v>
      </c>
      <c r="G86" s="75" t="n">
        <f aca="false">SUMIFS('Dados Mov Financeira'!$N:$N,'Dados Mov Financeira'!$O:$O,'DRE 2020'!$B86,'Dados Mov Financeira'!$A:$A,'DRE 2020'!G$1,'Dados Mov Financeira'!$B:$B,'DRE 2020'!G$2)</f>
        <v>0</v>
      </c>
      <c r="H86" s="91" t="n">
        <f aca="false">IFERROR(G86/G$5,0)</f>
        <v>0</v>
      </c>
      <c r="J86" s="75" t="n">
        <f aca="false">SUMIFS('Dados Mov Financeira'!$N:$N,'Dados Mov Financeira'!$O:$O,'DRE 2020'!$B86,'Dados Mov Financeira'!$A:$A,'DRE 2020'!J$1,'Dados Mov Financeira'!$B:$B,'DRE 2020'!J$2)</f>
        <v>0</v>
      </c>
      <c r="K86" s="91" t="n">
        <f aca="false">IFERROR(J86/J$5,0)</f>
        <v>0</v>
      </c>
      <c r="M86" s="75" t="n">
        <f aca="false">SUMIFS('Dados Mov Financeira'!$N:$N,'Dados Mov Financeira'!$O:$O,'DRE 2020'!$B86,'Dados Mov Financeira'!$A:$A,'DRE 2020'!M$1,'Dados Mov Financeira'!$B:$B,'DRE 2020'!M$2)</f>
        <v>0</v>
      </c>
      <c r="N86" s="91" t="n">
        <f aca="false">IFERROR(M86/M$5,0)</f>
        <v>0</v>
      </c>
      <c r="P86" s="75" t="n">
        <f aca="false">SUMIFS('Dados Mov Financeira'!$N:$N,'Dados Mov Financeira'!$O:$O,'DRE 2020'!$B86,'Dados Mov Financeira'!$A:$A,'DRE 2020'!P$1,'Dados Mov Financeira'!$B:$B,'DRE 2020'!P$2)</f>
        <v>0</v>
      </c>
      <c r="Q86" s="91" t="n">
        <f aca="false">IFERROR(P86/P$5,0)</f>
        <v>0</v>
      </c>
      <c r="S86" s="75" t="n">
        <f aca="false">SUMIFS('Dados Mov Financeira'!$N:$N,'Dados Mov Financeira'!$O:$O,'DRE 2020'!$B86,'Dados Mov Financeira'!$A:$A,'DRE 2020'!S$1,'Dados Mov Financeira'!$B:$B,'DRE 2020'!S$2)</f>
        <v>0</v>
      </c>
      <c r="T86" s="91" t="n">
        <f aca="false">IFERROR(S86/S$5,0)</f>
        <v>0</v>
      </c>
      <c r="V86" s="75" t="n">
        <f aca="false">SUMIFS('Dados Mov Financeira'!$N:$N,'Dados Mov Financeira'!$O:$O,'DRE 2020'!$B86,'Dados Mov Financeira'!$A:$A,'DRE 2020'!V$1,'Dados Mov Financeira'!$B:$B,'DRE 2020'!V$2)</f>
        <v>0</v>
      </c>
      <c r="W86" s="91" t="n">
        <f aca="false">IFERROR(V86/V$5,0)</f>
        <v>0</v>
      </c>
      <c r="Y86" s="75" t="n">
        <f aca="false">SUMIFS('Dados Mov Financeira'!$N:$N,'Dados Mov Financeira'!$O:$O,'DRE 2020'!$B86,'Dados Mov Financeira'!$A:$A,'DRE 2020'!Y$1,'Dados Mov Financeira'!$B:$B,'DRE 2020'!Y$2)</f>
        <v>0</v>
      </c>
      <c r="Z86" s="91" t="n">
        <f aca="false">IFERROR(Y86/Y$5,0)</f>
        <v>0</v>
      </c>
      <c r="AB86" s="75" t="n">
        <f aca="false">SUMIFS('Dados Mov Financeira'!$N:$N,'Dados Mov Financeira'!$O:$O,'DRE 2020'!$B86,'Dados Mov Financeira'!$A:$A,'DRE 2020'!AB$1,'Dados Mov Financeira'!$B:$B,'DRE 2020'!AB$2)</f>
        <v>0</v>
      </c>
      <c r="AC86" s="91" t="n">
        <f aca="false">IFERROR(AB86/AB$5,0)</f>
        <v>0</v>
      </c>
      <c r="AE86" s="75" t="n">
        <f aca="false">SUMIFS('Dados Mov Financeira'!$N:$N,'Dados Mov Financeira'!$O:$O,'DRE 2020'!$B86,'Dados Mov Financeira'!$A:$A,'DRE 2020'!AE$1,'Dados Mov Financeira'!$B:$B,'DRE 2020'!AE$2)</f>
        <v>0</v>
      </c>
      <c r="AF86" s="91" t="n">
        <f aca="false">IFERROR(AE86/AE$5,0)</f>
        <v>0</v>
      </c>
      <c r="AH86" s="75" t="n">
        <f aca="false">SUMIFS('Dados Mov Financeira'!$N:$N,'Dados Mov Financeira'!$O:$O,'DRE 2020'!$B86,'Dados Mov Financeira'!$A:$A,'DRE 2020'!AH$1,'Dados Mov Financeira'!$B:$B,'DRE 2020'!AH$2)</f>
        <v>0</v>
      </c>
      <c r="AI86" s="91" t="n">
        <f aca="false">IFERROR(AH86/AH$5,0)</f>
        <v>0</v>
      </c>
      <c r="AK86" s="75" t="n">
        <f aca="false">SUMIFS('Dados Mov Financeira'!$N:$N,'Dados Mov Financeira'!$O:$O,'DRE 2020'!$B86,'Dados Mov Financeira'!$A:$A,'DRE 2020'!AK$1,'Dados Mov Financeira'!$B:$B,'DRE 2020'!AK$2)</f>
        <v>0</v>
      </c>
      <c r="AL86" s="91" t="n">
        <f aca="false">IFERROR(AK86/AK$5,0)</f>
        <v>0</v>
      </c>
      <c r="AN86" s="92" t="n">
        <f aca="false">SUM(D86,G86,J86,M86,P86,S86,V86,Y86,AB86,AE86,AH86,AK86)</f>
        <v>0</v>
      </c>
      <c r="AO86" s="91" t="n">
        <f aca="false">IFERROR(AN86/AN$5,0)</f>
        <v>0</v>
      </c>
      <c r="AQ86" s="93" t="n">
        <f aca="false">AN86/$AR$1</f>
        <v>0</v>
      </c>
      <c r="AR86" s="94" t="n">
        <f aca="false">IFERROR(AQ86/AQ$5,0)</f>
        <v>0</v>
      </c>
      <c r="AT86" s="111"/>
    </row>
    <row r="87" customFormat="false" ht="14.25" hidden="true" customHeight="false" outlineLevel="1" collapsed="false">
      <c r="B87" s="89" t="s">
        <v>108</v>
      </c>
      <c r="D87" s="75" t="n">
        <f aca="false">SUMIFS('Dados Mov Financeira'!$N:$N,'Dados Mov Financeira'!$O:$O,'DRE 2020'!$B87,'Dados Mov Financeira'!$A:$A,'DRE 2020'!D$1,'Dados Mov Financeira'!$B:$B,'DRE 2020'!D$2)</f>
        <v>0</v>
      </c>
      <c r="E87" s="91" t="n">
        <f aca="false">IFERROR(D87/D$5,0)</f>
        <v>0</v>
      </c>
      <c r="G87" s="75" t="n">
        <f aca="false">SUMIFS('Dados Mov Financeira'!$N:$N,'Dados Mov Financeira'!$O:$O,'DRE 2020'!$B87,'Dados Mov Financeira'!$A:$A,'DRE 2020'!G$1,'Dados Mov Financeira'!$B:$B,'DRE 2020'!G$2)</f>
        <v>0</v>
      </c>
      <c r="H87" s="91" t="n">
        <f aca="false">IFERROR(G87/G$5,0)</f>
        <v>0</v>
      </c>
      <c r="J87" s="75" t="n">
        <f aca="false">SUMIFS('Dados Mov Financeira'!$N:$N,'Dados Mov Financeira'!$O:$O,'DRE 2020'!$B87,'Dados Mov Financeira'!$A:$A,'DRE 2020'!J$1,'Dados Mov Financeira'!$B:$B,'DRE 2020'!J$2)</f>
        <v>0</v>
      </c>
      <c r="K87" s="91" t="n">
        <f aca="false">IFERROR(J87/J$5,0)</f>
        <v>0</v>
      </c>
      <c r="M87" s="75" t="n">
        <f aca="false">SUMIFS('Dados Mov Financeira'!$N:$N,'Dados Mov Financeira'!$O:$O,'DRE 2020'!$B87,'Dados Mov Financeira'!$A:$A,'DRE 2020'!M$1,'Dados Mov Financeira'!$B:$B,'DRE 2020'!M$2)</f>
        <v>0</v>
      </c>
      <c r="N87" s="91" t="n">
        <f aca="false">IFERROR(M87/M$5,0)</f>
        <v>0</v>
      </c>
      <c r="P87" s="75" t="n">
        <f aca="false">SUMIFS('Dados Mov Financeira'!$N:$N,'Dados Mov Financeira'!$O:$O,'DRE 2020'!$B87,'Dados Mov Financeira'!$A:$A,'DRE 2020'!P$1,'Dados Mov Financeira'!$B:$B,'DRE 2020'!P$2)</f>
        <v>0</v>
      </c>
      <c r="Q87" s="91" t="n">
        <f aca="false">IFERROR(P87/P$5,0)</f>
        <v>0</v>
      </c>
      <c r="S87" s="75" t="n">
        <f aca="false">SUMIFS('Dados Mov Financeira'!$N:$N,'Dados Mov Financeira'!$O:$O,'DRE 2020'!$B87,'Dados Mov Financeira'!$A:$A,'DRE 2020'!S$1,'Dados Mov Financeira'!$B:$B,'DRE 2020'!S$2)</f>
        <v>0</v>
      </c>
      <c r="T87" s="91" t="n">
        <f aca="false">IFERROR(S87/S$5,0)</f>
        <v>0</v>
      </c>
      <c r="V87" s="75" t="n">
        <f aca="false">SUMIFS('Dados Mov Financeira'!$N:$N,'Dados Mov Financeira'!$O:$O,'DRE 2020'!$B87,'Dados Mov Financeira'!$A:$A,'DRE 2020'!V$1,'Dados Mov Financeira'!$B:$B,'DRE 2020'!V$2)</f>
        <v>0</v>
      </c>
      <c r="W87" s="91" t="n">
        <f aca="false">IFERROR(V87/V$5,0)</f>
        <v>0</v>
      </c>
      <c r="Y87" s="75" t="n">
        <f aca="false">SUMIFS('Dados Mov Financeira'!$N:$N,'Dados Mov Financeira'!$O:$O,'DRE 2020'!$B87,'Dados Mov Financeira'!$A:$A,'DRE 2020'!Y$1,'Dados Mov Financeira'!$B:$B,'DRE 2020'!Y$2)</f>
        <v>0</v>
      </c>
      <c r="Z87" s="91" t="n">
        <f aca="false">IFERROR(Y87/Y$5,0)</f>
        <v>0</v>
      </c>
      <c r="AB87" s="75" t="n">
        <f aca="false">SUMIFS('Dados Mov Financeira'!$N:$N,'Dados Mov Financeira'!$O:$O,'DRE 2020'!$B87,'Dados Mov Financeira'!$A:$A,'DRE 2020'!AB$1,'Dados Mov Financeira'!$B:$B,'DRE 2020'!AB$2)</f>
        <v>0</v>
      </c>
      <c r="AC87" s="91" t="n">
        <f aca="false">IFERROR(AB87/AB$5,0)</f>
        <v>0</v>
      </c>
      <c r="AE87" s="75" t="n">
        <f aca="false">SUMIFS('Dados Mov Financeira'!$N:$N,'Dados Mov Financeira'!$O:$O,'DRE 2020'!$B87,'Dados Mov Financeira'!$A:$A,'DRE 2020'!AE$1,'Dados Mov Financeira'!$B:$B,'DRE 2020'!AE$2)</f>
        <v>0</v>
      </c>
      <c r="AF87" s="91" t="n">
        <f aca="false">IFERROR(AE87/AE$5,0)</f>
        <v>0</v>
      </c>
      <c r="AH87" s="75" t="n">
        <f aca="false">SUMIFS('Dados Mov Financeira'!$N:$N,'Dados Mov Financeira'!$O:$O,'DRE 2020'!$B87,'Dados Mov Financeira'!$A:$A,'DRE 2020'!AH$1,'Dados Mov Financeira'!$B:$B,'DRE 2020'!AH$2)</f>
        <v>0</v>
      </c>
      <c r="AI87" s="91" t="n">
        <f aca="false">IFERROR(AH87/AH$5,0)</f>
        <v>0</v>
      </c>
      <c r="AK87" s="75" t="n">
        <f aca="false">SUMIFS('Dados Mov Financeira'!$N:$N,'Dados Mov Financeira'!$O:$O,'DRE 2020'!$B87,'Dados Mov Financeira'!$A:$A,'DRE 2020'!AK$1,'Dados Mov Financeira'!$B:$B,'DRE 2020'!AK$2)</f>
        <v>0</v>
      </c>
      <c r="AL87" s="91" t="n">
        <f aca="false">IFERROR(AK87/AK$5,0)</f>
        <v>0</v>
      </c>
      <c r="AN87" s="92" t="n">
        <f aca="false">SUM(D87,G87,J87,M87,P87,S87,V87,Y87,AB87,AE87,AH87,AK87)</f>
        <v>0</v>
      </c>
      <c r="AO87" s="91" t="n">
        <f aca="false">IFERROR(AN87/AN$5,0)</f>
        <v>0</v>
      </c>
      <c r="AQ87" s="93" t="n">
        <f aca="false">AN87/$AR$1</f>
        <v>0</v>
      </c>
      <c r="AR87" s="94" t="n">
        <f aca="false">IFERROR(AQ87/AQ$5,0)</f>
        <v>0</v>
      </c>
      <c r="AT87" s="111"/>
    </row>
    <row r="88" customFormat="false" ht="14.25" hidden="true" customHeight="false" outlineLevel="1" collapsed="false">
      <c r="B88" s="89" t="s">
        <v>109</v>
      </c>
      <c r="D88" s="75" t="n">
        <f aca="false">SUMIFS('Dados Mov Financeira'!$N:$N,'Dados Mov Financeira'!$O:$O,'DRE 2020'!$B88,'Dados Mov Financeira'!$A:$A,'DRE 2020'!D$1,'Dados Mov Financeira'!$B:$B,'DRE 2020'!D$2)</f>
        <v>0</v>
      </c>
      <c r="E88" s="91" t="n">
        <f aca="false">IFERROR(D88/D$5,0)</f>
        <v>0</v>
      </c>
      <c r="G88" s="75" t="n">
        <f aca="false">SUMIFS('Dados Mov Financeira'!$N:$N,'Dados Mov Financeira'!$O:$O,'DRE 2020'!$B88,'Dados Mov Financeira'!$A:$A,'DRE 2020'!G$1,'Dados Mov Financeira'!$B:$B,'DRE 2020'!G$2)</f>
        <v>0</v>
      </c>
      <c r="H88" s="91" t="n">
        <f aca="false">IFERROR(G88/G$5,0)</f>
        <v>0</v>
      </c>
      <c r="J88" s="75" t="n">
        <f aca="false">SUMIFS('Dados Mov Financeira'!$N:$N,'Dados Mov Financeira'!$O:$O,'DRE 2020'!$B88,'Dados Mov Financeira'!$A:$A,'DRE 2020'!J$1,'Dados Mov Financeira'!$B:$B,'DRE 2020'!J$2)</f>
        <v>0</v>
      </c>
      <c r="K88" s="91" t="n">
        <f aca="false">IFERROR(J88/J$5,0)</f>
        <v>0</v>
      </c>
      <c r="M88" s="75" t="n">
        <f aca="false">SUMIFS('Dados Mov Financeira'!$N:$N,'Dados Mov Financeira'!$O:$O,'DRE 2020'!$B88,'Dados Mov Financeira'!$A:$A,'DRE 2020'!M$1,'Dados Mov Financeira'!$B:$B,'DRE 2020'!M$2)</f>
        <v>0</v>
      </c>
      <c r="N88" s="91" t="n">
        <f aca="false">IFERROR(M88/M$5,0)</f>
        <v>0</v>
      </c>
      <c r="P88" s="75" t="n">
        <f aca="false">SUMIFS('Dados Mov Financeira'!$N:$N,'Dados Mov Financeira'!$O:$O,'DRE 2020'!$B88,'Dados Mov Financeira'!$A:$A,'DRE 2020'!P$1,'Dados Mov Financeira'!$B:$B,'DRE 2020'!P$2)</f>
        <v>0</v>
      </c>
      <c r="Q88" s="91" t="n">
        <f aca="false">IFERROR(P88/P$5,0)</f>
        <v>0</v>
      </c>
      <c r="S88" s="75" t="n">
        <f aca="false">SUMIFS('Dados Mov Financeira'!$N:$N,'Dados Mov Financeira'!$O:$O,'DRE 2020'!$B88,'Dados Mov Financeira'!$A:$A,'DRE 2020'!S$1,'Dados Mov Financeira'!$B:$B,'DRE 2020'!S$2)</f>
        <v>0</v>
      </c>
      <c r="T88" s="91" t="n">
        <f aca="false">IFERROR(S88/S$5,0)</f>
        <v>0</v>
      </c>
      <c r="V88" s="75" t="n">
        <f aca="false">SUMIFS('Dados Mov Financeira'!$N:$N,'Dados Mov Financeira'!$O:$O,'DRE 2020'!$B88,'Dados Mov Financeira'!$A:$A,'DRE 2020'!V$1,'Dados Mov Financeira'!$B:$B,'DRE 2020'!V$2)</f>
        <v>0</v>
      </c>
      <c r="W88" s="91" t="n">
        <f aca="false">IFERROR(V88/V$5,0)</f>
        <v>0</v>
      </c>
      <c r="Y88" s="75" t="n">
        <f aca="false">SUMIFS('Dados Mov Financeira'!$N:$N,'Dados Mov Financeira'!$O:$O,'DRE 2020'!$B88,'Dados Mov Financeira'!$A:$A,'DRE 2020'!Y$1,'Dados Mov Financeira'!$B:$B,'DRE 2020'!Y$2)</f>
        <v>0</v>
      </c>
      <c r="Z88" s="91" t="n">
        <f aca="false">IFERROR(Y88/Y$5,0)</f>
        <v>0</v>
      </c>
      <c r="AB88" s="75" t="n">
        <f aca="false">SUMIFS('Dados Mov Financeira'!$N:$N,'Dados Mov Financeira'!$O:$O,'DRE 2020'!$B88,'Dados Mov Financeira'!$A:$A,'DRE 2020'!AB$1,'Dados Mov Financeira'!$B:$B,'DRE 2020'!AB$2)</f>
        <v>0</v>
      </c>
      <c r="AC88" s="91" t="n">
        <f aca="false">IFERROR(AB88/AB$5,0)</f>
        <v>0</v>
      </c>
      <c r="AE88" s="75" t="n">
        <f aca="false">SUMIFS('Dados Mov Financeira'!$N:$N,'Dados Mov Financeira'!$O:$O,'DRE 2020'!$B88,'Dados Mov Financeira'!$A:$A,'DRE 2020'!AE$1,'Dados Mov Financeira'!$B:$B,'DRE 2020'!AE$2)</f>
        <v>0</v>
      </c>
      <c r="AF88" s="91" t="n">
        <f aca="false">IFERROR(AE88/AE$5,0)</f>
        <v>0</v>
      </c>
      <c r="AH88" s="75" t="n">
        <f aca="false">SUMIFS('Dados Mov Financeira'!$N:$N,'Dados Mov Financeira'!$O:$O,'DRE 2020'!$B88,'Dados Mov Financeira'!$A:$A,'DRE 2020'!AH$1,'Dados Mov Financeira'!$B:$B,'DRE 2020'!AH$2)</f>
        <v>0</v>
      </c>
      <c r="AI88" s="91" t="n">
        <f aca="false">IFERROR(AH88/AH$5,0)</f>
        <v>0</v>
      </c>
      <c r="AK88" s="75" t="n">
        <f aca="false">SUMIFS('Dados Mov Financeira'!$N:$N,'Dados Mov Financeira'!$O:$O,'DRE 2020'!$B88,'Dados Mov Financeira'!$A:$A,'DRE 2020'!AK$1,'Dados Mov Financeira'!$B:$B,'DRE 2020'!AK$2)</f>
        <v>0</v>
      </c>
      <c r="AL88" s="91" t="n">
        <f aca="false">IFERROR(AK88/AK$5,0)</f>
        <v>0</v>
      </c>
      <c r="AN88" s="92" t="n">
        <f aca="false">SUM(D88,G88,J88,M88,P88,S88,V88,Y88,AB88,AE88,AH88,AK88)</f>
        <v>0</v>
      </c>
      <c r="AO88" s="91" t="n">
        <f aca="false">IFERROR(AN88/AN$5,0)</f>
        <v>0</v>
      </c>
      <c r="AQ88" s="93" t="n">
        <f aca="false">AN88/$AR$1</f>
        <v>0</v>
      </c>
      <c r="AR88" s="94" t="n">
        <f aca="false">IFERROR(AQ88/AQ$5,0)</f>
        <v>0</v>
      </c>
      <c r="AT88" s="111"/>
    </row>
    <row r="89" customFormat="false" ht="14.25" hidden="true" customHeight="false" outlineLevel="1" collapsed="false">
      <c r="B89" s="89" t="s">
        <v>110</v>
      </c>
      <c r="D89" s="75" t="n">
        <f aca="false">SUMIFS('Dados Mov Financeira'!$N:$N,'Dados Mov Financeira'!$O:$O,'DRE 2020'!$B89,'Dados Mov Financeira'!$A:$A,'DRE 2020'!D$1,'Dados Mov Financeira'!$B:$B,'DRE 2020'!D$2)</f>
        <v>0</v>
      </c>
      <c r="E89" s="91" t="n">
        <f aca="false">IFERROR(D89/D$5,0)</f>
        <v>0</v>
      </c>
      <c r="G89" s="75" t="n">
        <f aca="false">SUMIFS('Dados Mov Financeira'!$N:$N,'Dados Mov Financeira'!$O:$O,'DRE 2020'!$B89,'Dados Mov Financeira'!$A:$A,'DRE 2020'!G$1,'Dados Mov Financeira'!$B:$B,'DRE 2020'!G$2)</f>
        <v>0</v>
      </c>
      <c r="H89" s="91" t="n">
        <f aca="false">IFERROR(G89/G$5,0)</f>
        <v>0</v>
      </c>
      <c r="J89" s="75" t="n">
        <f aca="false">SUMIFS('Dados Mov Financeira'!$N:$N,'Dados Mov Financeira'!$O:$O,'DRE 2020'!$B89,'Dados Mov Financeira'!$A:$A,'DRE 2020'!J$1,'Dados Mov Financeira'!$B:$B,'DRE 2020'!J$2)</f>
        <v>0</v>
      </c>
      <c r="K89" s="91" t="n">
        <f aca="false">IFERROR(J89/J$5,0)</f>
        <v>0</v>
      </c>
      <c r="M89" s="75" t="n">
        <f aca="false">SUMIFS('Dados Mov Financeira'!$N:$N,'Dados Mov Financeira'!$O:$O,'DRE 2020'!$B89,'Dados Mov Financeira'!$A:$A,'DRE 2020'!M$1,'Dados Mov Financeira'!$B:$B,'DRE 2020'!M$2)</f>
        <v>0</v>
      </c>
      <c r="N89" s="91" t="n">
        <f aca="false">IFERROR(M89/M$5,0)</f>
        <v>0</v>
      </c>
      <c r="P89" s="75" t="n">
        <f aca="false">SUMIFS('Dados Mov Financeira'!$N:$N,'Dados Mov Financeira'!$O:$O,'DRE 2020'!$B89,'Dados Mov Financeira'!$A:$A,'DRE 2020'!P$1,'Dados Mov Financeira'!$B:$B,'DRE 2020'!P$2)</f>
        <v>0</v>
      </c>
      <c r="Q89" s="91" t="n">
        <f aca="false">IFERROR(P89/P$5,0)</f>
        <v>0</v>
      </c>
      <c r="S89" s="75" t="n">
        <f aca="false">SUMIFS('Dados Mov Financeira'!$N:$N,'Dados Mov Financeira'!$O:$O,'DRE 2020'!$B89,'Dados Mov Financeira'!$A:$A,'DRE 2020'!S$1,'Dados Mov Financeira'!$B:$B,'DRE 2020'!S$2)</f>
        <v>0</v>
      </c>
      <c r="T89" s="91" t="n">
        <f aca="false">IFERROR(S89/S$5,0)</f>
        <v>0</v>
      </c>
      <c r="V89" s="75" t="n">
        <f aca="false">SUMIFS('Dados Mov Financeira'!$N:$N,'Dados Mov Financeira'!$O:$O,'DRE 2020'!$B89,'Dados Mov Financeira'!$A:$A,'DRE 2020'!V$1,'Dados Mov Financeira'!$B:$B,'DRE 2020'!V$2)</f>
        <v>0</v>
      </c>
      <c r="W89" s="91" t="n">
        <f aca="false">IFERROR(V89/V$5,0)</f>
        <v>0</v>
      </c>
      <c r="Y89" s="75" t="n">
        <f aca="false">SUMIFS('Dados Mov Financeira'!$N:$N,'Dados Mov Financeira'!$O:$O,'DRE 2020'!$B89,'Dados Mov Financeira'!$A:$A,'DRE 2020'!Y$1,'Dados Mov Financeira'!$B:$B,'DRE 2020'!Y$2)</f>
        <v>0</v>
      </c>
      <c r="Z89" s="91" t="n">
        <f aca="false">IFERROR(Y89/Y$5,0)</f>
        <v>0</v>
      </c>
      <c r="AB89" s="75" t="n">
        <f aca="false">SUMIFS('Dados Mov Financeira'!$N:$N,'Dados Mov Financeira'!$O:$O,'DRE 2020'!$B89,'Dados Mov Financeira'!$A:$A,'DRE 2020'!AB$1,'Dados Mov Financeira'!$B:$B,'DRE 2020'!AB$2)</f>
        <v>0</v>
      </c>
      <c r="AC89" s="91" t="n">
        <f aca="false">IFERROR(AB89/AB$5,0)</f>
        <v>0</v>
      </c>
      <c r="AE89" s="75" t="n">
        <f aca="false">SUMIFS('Dados Mov Financeira'!$N:$N,'Dados Mov Financeira'!$O:$O,'DRE 2020'!$B89,'Dados Mov Financeira'!$A:$A,'DRE 2020'!AE$1,'Dados Mov Financeira'!$B:$B,'DRE 2020'!AE$2)</f>
        <v>0</v>
      </c>
      <c r="AF89" s="91" t="n">
        <f aca="false">IFERROR(AE89/AE$5,0)</f>
        <v>0</v>
      </c>
      <c r="AH89" s="75" t="n">
        <f aca="false">SUMIFS('Dados Mov Financeira'!$N:$N,'Dados Mov Financeira'!$O:$O,'DRE 2020'!$B89,'Dados Mov Financeira'!$A:$A,'DRE 2020'!AH$1,'Dados Mov Financeira'!$B:$B,'DRE 2020'!AH$2)</f>
        <v>0</v>
      </c>
      <c r="AI89" s="91" t="n">
        <f aca="false">IFERROR(AH89/AH$5,0)</f>
        <v>0</v>
      </c>
      <c r="AK89" s="75" t="n">
        <f aca="false">SUMIFS('Dados Mov Financeira'!$N:$N,'Dados Mov Financeira'!$O:$O,'DRE 2020'!$B89,'Dados Mov Financeira'!$A:$A,'DRE 2020'!AK$1,'Dados Mov Financeira'!$B:$B,'DRE 2020'!AK$2)</f>
        <v>0</v>
      </c>
      <c r="AL89" s="91" t="n">
        <f aca="false">IFERROR(AK89/AK$5,0)</f>
        <v>0</v>
      </c>
      <c r="AN89" s="92" t="n">
        <f aca="false">SUM(D89,G89,J89,M89,P89,S89,V89,Y89,AB89,AE89,AH89,AK89)</f>
        <v>0</v>
      </c>
      <c r="AO89" s="91" t="n">
        <f aca="false">IFERROR(AN89/AN$5,0)</f>
        <v>0</v>
      </c>
      <c r="AQ89" s="93" t="n">
        <f aca="false">AN89/$AR$1</f>
        <v>0</v>
      </c>
      <c r="AR89" s="94" t="n">
        <f aca="false">IFERROR(AQ89/AQ$5,0)</f>
        <v>0</v>
      </c>
      <c r="AT89" s="111"/>
    </row>
    <row r="90" customFormat="false" ht="14.25" hidden="true" customHeight="false" outlineLevel="1" collapsed="false">
      <c r="B90" s="89" t="s">
        <v>111</v>
      </c>
      <c r="D90" s="75" t="n">
        <f aca="false">SUMIFS('Dados Mov Financeira'!$N:$N,'Dados Mov Financeira'!$O:$O,'DRE 2020'!$B90,'Dados Mov Financeira'!$A:$A,'DRE 2020'!D$1,'Dados Mov Financeira'!$B:$B,'DRE 2020'!D$2)</f>
        <v>0</v>
      </c>
      <c r="E90" s="91" t="n">
        <f aca="false">IFERROR(D90/D$5,0)</f>
        <v>0</v>
      </c>
      <c r="G90" s="75" t="n">
        <f aca="false">SUMIFS('Dados Mov Financeira'!$N:$N,'Dados Mov Financeira'!$O:$O,'DRE 2020'!$B90,'Dados Mov Financeira'!$A:$A,'DRE 2020'!G$1,'Dados Mov Financeira'!$B:$B,'DRE 2020'!G$2)</f>
        <v>0</v>
      </c>
      <c r="H90" s="91" t="n">
        <f aca="false">IFERROR(G90/G$5,0)</f>
        <v>0</v>
      </c>
      <c r="J90" s="75" t="n">
        <f aca="false">SUMIFS('Dados Mov Financeira'!$N:$N,'Dados Mov Financeira'!$O:$O,'DRE 2020'!$B90,'Dados Mov Financeira'!$A:$A,'DRE 2020'!J$1,'Dados Mov Financeira'!$B:$B,'DRE 2020'!J$2)</f>
        <v>0</v>
      </c>
      <c r="K90" s="91" t="n">
        <f aca="false">IFERROR(J90/J$5,0)</f>
        <v>0</v>
      </c>
      <c r="M90" s="75" t="n">
        <f aca="false">SUMIFS('Dados Mov Financeira'!$N:$N,'Dados Mov Financeira'!$O:$O,'DRE 2020'!$B90,'Dados Mov Financeira'!$A:$A,'DRE 2020'!M$1,'Dados Mov Financeira'!$B:$B,'DRE 2020'!M$2)</f>
        <v>0</v>
      </c>
      <c r="N90" s="91" t="n">
        <f aca="false">IFERROR(M90/M$5,0)</f>
        <v>0</v>
      </c>
      <c r="P90" s="75" t="n">
        <f aca="false">SUMIFS('Dados Mov Financeira'!$N:$N,'Dados Mov Financeira'!$O:$O,'DRE 2020'!$B90,'Dados Mov Financeira'!$A:$A,'DRE 2020'!P$1,'Dados Mov Financeira'!$B:$B,'DRE 2020'!P$2)</f>
        <v>0</v>
      </c>
      <c r="Q90" s="91" t="n">
        <f aca="false">IFERROR(P90/P$5,0)</f>
        <v>0</v>
      </c>
      <c r="S90" s="75" t="n">
        <f aca="false">SUMIFS('Dados Mov Financeira'!$N:$N,'Dados Mov Financeira'!$O:$O,'DRE 2020'!$B90,'Dados Mov Financeira'!$A:$A,'DRE 2020'!S$1,'Dados Mov Financeira'!$B:$B,'DRE 2020'!S$2)</f>
        <v>0</v>
      </c>
      <c r="T90" s="91" t="n">
        <f aca="false">IFERROR(S90/S$5,0)</f>
        <v>0</v>
      </c>
      <c r="V90" s="75" t="n">
        <f aca="false">SUMIFS('Dados Mov Financeira'!$N:$N,'Dados Mov Financeira'!$O:$O,'DRE 2020'!$B90,'Dados Mov Financeira'!$A:$A,'DRE 2020'!V$1,'Dados Mov Financeira'!$B:$B,'DRE 2020'!V$2)</f>
        <v>0</v>
      </c>
      <c r="W90" s="91" t="n">
        <f aca="false">IFERROR(V90/V$5,0)</f>
        <v>0</v>
      </c>
      <c r="Y90" s="75" t="n">
        <f aca="false">SUMIFS('Dados Mov Financeira'!$N:$N,'Dados Mov Financeira'!$O:$O,'DRE 2020'!$B90,'Dados Mov Financeira'!$A:$A,'DRE 2020'!Y$1,'Dados Mov Financeira'!$B:$B,'DRE 2020'!Y$2)</f>
        <v>0</v>
      </c>
      <c r="Z90" s="91" t="n">
        <f aca="false">IFERROR(Y90/Y$5,0)</f>
        <v>0</v>
      </c>
      <c r="AB90" s="75" t="n">
        <f aca="false">SUMIFS('Dados Mov Financeira'!$N:$N,'Dados Mov Financeira'!$O:$O,'DRE 2020'!$B90,'Dados Mov Financeira'!$A:$A,'DRE 2020'!AB$1,'Dados Mov Financeira'!$B:$B,'DRE 2020'!AB$2)</f>
        <v>0</v>
      </c>
      <c r="AC90" s="91" t="n">
        <f aca="false">IFERROR(AB90/AB$5,0)</f>
        <v>0</v>
      </c>
      <c r="AE90" s="75" t="n">
        <f aca="false">SUMIFS('Dados Mov Financeira'!$N:$N,'Dados Mov Financeira'!$O:$O,'DRE 2020'!$B90,'Dados Mov Financeira'!$A:$A,'DRE 2020'!AE$1,'Dados Mov Financeira'!$B:$B,'DRE 2020'!AE$2)</f>
        <v>0</v>
      </c>
      <c r="AF90" s="91" t="n">
        <f aca="false">IFERROR(AE90/AE$5,0)</f>
        <v>0</v>
      </c>
      <c r="AH90" s="75" t="n">
        <f aca="false">SUMIFS('Dados Mov Financeira'!$N:$N,'Dados Mov Financeira'!$O:$O,'DRE 2020'!$B90,'Dados Mov Financeira'!$A:$A,'DRE 2020'!AH$1,'Dados Mov Financeira'!$B:$B,'DRE 2020'!AH$2)</f>
        <v>0</v>
      </c>
      <c r="AI90" s="91" t="n">
        <f aca="false">IFERROR(AH90/AH$5,0)</f>
        <v>0</v>
      </c>
      <c r="AK90" s="75" t="n">
        <f aca="false">SUMIFS('Dados Mov Financeira'!$N:$N,'Dados Mov Financeira'!$O:$O,'DRE 2020'!$B90,'Dados Mov Financeira'!$A:$A,'DRE 2020'!AK$1,'Dados Mov Financeira'!$B:$B,'DRE 2020'!AK$2)</f>
        <v>0</v>
      </c>
      <c r="AL90" s="91" t="n">
        <f aca="false">IFERROR(AK90/AK$5,0)</f>
        <v>0</v>
      </c>
      <c r="AN90" s="92" t="n">
        <f aca="false">SUM(D90,G90,J90,M90,P90,S90,V90,Y90,AB90,AE90,AH90,AK90)</f>
        <v>0</v>
      </c>
      <c r="AO90" s="91" t="n">
        <f aca="false">IFERROR(AN90/AN$5,0)</f>
        <v>0</v>
      </c>
      <c r="AQ90" s="93" t="n">
        <f aca="false">AN90/$AR$1</f>
        <v>0</v>
      </c>
      <c r="AR90" s="94" t="n">
        <f aca="false">IFERROR(AQ90/AQ$5,0)</f>
        <v>0</v>
      </c>
      <c r="AT90" s="111"/>
    </row>
    <row r="91" customFormat="false" ht="14.25" hidden="true" customHeight="false" outlineLevel="1" collapsed="false">
      <c r="B91" s="89" t="s">
        <v>112</v>
      </c>
      <c r="D91" s="75" t="n">
        <f aca="false">SUMIFS('Dados Mov Financeira'!$N:$N,'Dados Mov Financeira'!$O:$O,'DRE 2020'!$B91,'Dados Mov Financeira'!$A:$A,'DRE 2020'!D$1,'Dados Mov Financeira'!$B:$B,'DRE 2020'!D$2)</f>
        <v>0</v>
      </c>
      <c r="E91" s="91" t="n">
        <f aca="false">IFERROR(D91/D$5,0)</f>
        <v>0</v>
      </c>
      <c r="G91" s="75" t="n">
        <f aca="false">SUMIFS('Dados Mov Financeira'!$N:$N,'Dados Mov Financeira'!$O:$O,'DRE 2020'!$B91,'Dados Mov Financeira'!$A:$A,'DRE 2020'!G$1,'Dados Mov Financeira'!$B:$B,'DRE 2020'!G$2)</f>
        <v>0</v>
      </c>
      <c r="H91" s="91" t="n">
        <f aca="false">IFERROR(G91/G$5,0)</f>
        <v>0</v>
      </c>
      <c r="J91" s="75" t="n">
        <f aca="false">SUMIFS('Dados Mov Financeira'!$N:$N,'Dados Mov Financeira'!$O:$O,'DRE 2020'!$B91,'Dados Mov Financeira'!$A:$A,'DRE 2020'!J$1,'Dados Mov Financeira'!$B:$B,'DRE 2020'!J$2)</f>
        <v>0</v>
      </c>
      <c r="K91" s="91" t="n">
        <f aca="false">IFERROR(J91/J$5,0)</f>
        <v>0</v>
      </c>
      <c r="M91" s="75" t="n">
        <f aca="false">SUMIFS('Dados Mov Financeira'!$N:$N,'Dados Mov Financeira'!$O:$O,'DRE 2020'!$B91,'Dados Mov Financeira'!$A:$A,'DRE 2020'!M$1,'Dados Mov Financeira'!$B:$B,'DRE 2020'!M$2)</f>
        <v>0</v>
      </c>
      <c r="N91" s="91" t="n">
        <f aca="false">IFERROR(M91/M$5,0)</f>
        <v>0</v>
      </c>
      <c r="P91" s="75" t="n">
        <f aca="false">SUMIFS('Dados Mov Financeira'!$N:$N,'Dados Mov Financeira'!$O:$O,'DRE 2020'!$B91,'Dados Mov Financeira'!$A:$A,'DRE 2020'!P$1,'Dados Mov Financeira'!$B:$B,'DRE 2020'!P$2)</f>
        <v>0</v>
      </c>
      <c r="Q91" s="91" t="n">
        <f aca="false">IFERROR(P91/P$5,0)</f>
        <v>0</v>
      </c>
      <c r="S91" s="75" t="n">
        <f aca="false">SUMIFS('Dados Mov Financeira'!$N:$N,'Dados Mov Financeira'!$O:$O,'DRE 2020'!$B91,'Dados Mov Financeira'!$A:$A,'DRE 2020'!S$1,'Dados Mov Financeira'!$B:$B,'DRE 2020'!S$2)</f>
        <v>0</v>
      </c>
      <c r="T91" s="91" t="n">
        <f aca="false">IFERROR(S91/S$5,0)</f>
        <v>0</v>
      </c>
      <c r="V91" s="75" t="n">
        <f aca="false">SUMIFS('Dados Mov Financeira'!$N:$N,'Dados Mov Financeira'!$O:$O,'DRE 2020'!$B91,'Dados Mov Financeira'!$A:$A,'DRE 2020'!V$1,'Dados Mov Financeira'!$B:$B,'DRE 2020'!V$2)</f>
        <v>0</v>
      </c>
      <c r="W91" s="91" t="n">
        <f aca="false">IFERROR(V91/V$5,0)</f>
        <v>0</v>
      </c>
      <c r="Y91" s="75" t="n">
        <f aca="false">SUMIFS('Dados Mov Financeira'!$N:$N,'Dados Mov Financeira'!$O:$O,'DRE 2020'!$B91,'Dados Mov Financeira'!$A:$A,'DRE 2020'!Y$1,'Dados Mov Financeira'!$B:$B,'DRE 2020'!Y$2)</f>
        <v>0</v>
      </c>
      <c r="Z91" s="91" t="n">
        <f aca="false">IFERROR(Y91/Y$5,0)</f>
        <v>0</v>
      </c>
      <c r="AB91" s="75" t="n">
        <f aca="false">SUMIFS('Dados Mov Financeira'!$N:$N,'Dados Mov Financeira'!$O:$O,'DRE 2020'!$B91,'Dados Mov Financeira'!$A:$A,'DRE 2020'!AB$1,'Dados Mov Financeira'!$B:$B,'DRE 2020'!AB$2)</f>
        <v>0</v>
      </c>
      <c r="AC91" s="91" t="n">
        <f aca="false">IFERROR(AB91/AB$5,0)</f>
        <v>0</v>
      </c>
      <c r="AE91" s="75" t="n">
        <f aca="false">SUMIFS('Dados Mov Financeira'!$N:$N,'Dados Mov Financeira'!$O:$O,'DRE 2020'!$B91,'Dados Mov Financeira'!$A:$A,'DRE 2020'!AE$1,'Dados Mov Financeira'!$B:$B,'DRE 2020'!AE$2)</f>
        <v>0</v>
      </c>
      <c r="AF91" s="91" t="n">
        <f aca="false">IFERROR(AE91/AE$5,0)</f>
        <v>0</v>
      </c>
      <c r="AH91" s="75" t="n">
        <f aca="false">SUMIFS('Dados Mov Financeira'!$N:$N,'Dados Mov Financeira'!$O:$O,'DRE 2020'!$B91,'Dados Mov Financeira'!$A:$A,'DRE 2020'!AH$1,'Dados Mov Financeira'!$B:$B,'DRE 2020'!AH$2)</f>
        <v>0</v>
      </c>
      <c r="AI91" s="91" t="n">
        <f aca="false">IFERROR(AH91/AH$5,0)</f>
        <v>0</v>
      </c>
      <c r="AK91" s="75" t="n">
        <f aca="false">SUMIFS('Dados Mov Financeira'!$N:$N,'Dados Mov Financeira'!$O:$O,'DRE 2020'!$B91,'Dados Mov Financeira'!$A:$A,'DRE 2020'!AK$1,'Dados Mov Financeira'!$B:$B,'DRE 2020'!AK$2)</f>
        <v>0</v>
      </c>
      <c r="AL91" s="91" t="n">
        <f aca="false">IFERROR(AK91/AK$5,0)</f>
        <v>0</v>
      </c>
      <c r="AN91" s="92" t="n">
        <f aca="false">SUM(D91,G91,J91,M91,P91,S91,V91,Y91,AB91,AE91,AH91,AK91)</f>
        <v>0</v>
      </c>
      <c r="AO91" s="91" t="n">
        <f aca="false">IFERROR(AN91/AN$5,0)</f>
        <v>0</v>
      </c>
      <c r="AQ91" s="93" t="n">
        <f aca="false">AN91/$AR$1</f>
        <v>0</v>
      </c>
      <c r="AR91" s="94" t="n">
        <f aca="false">IFERROR(AQ91/AQ$5,0)</f>
        <v>0</v>
      </c>
      <c r="AT91" s="111"/>
    </row>
    <row r="92" customFormat="false" ht="14.25" hidden="true" customHeight="false" outlineLevel="1" collapsed="false">
      <c r="B92" s="89" t="s">
        <v>113</v>
      </c>
      <c r="D92" s="75" t="n">
        <f aca="false">SUMIFS('Dados Mov Financeira'!$N:$N,'Dados Mov Financeira'!$O:$O,'DRE 2020'!$B92,'Dados Mov Financeira'!$A:$A,'DRE 2020'!D$1,'Dados Mov Financeira'!$B:$B,'DRE 2020'!D$2)</f>
        <v>0</v>
      </c>
      <c r="E92" s="91" t="n">
        <f aca="false">IFERROR(D92/D$5,0)</f>
        <v>0</v>
      </c>
      <c r="G92" s="75" t="n">
        <f aca="false">SUMIFS('Dados Mov Financeira'!$N:$N,'Dados Mov Financeira'!$O:$O,'DRE 2020'!$B92,'Dados Mov Financeira'!$A:$A,'DRE 2020'!G$1,'Dados Mov Financeira'!$B:$B,'DRE 2020'!G$2)</f>
        <v>0</v>
      </c>
      <c r="H92" s="91" t="n">
        <f aca="false">IFERROR(G92/G$5,0)</f>
        <v>0</v>
      </c>
      <c r="J92" s="75" t="n">
        <f aca="false">SUMIFS('Dados Mov Financeira'!$N:$N,'Dados Mov Financeira'!$O:$O,'DRE 2020'!$B92,'Dados Mov Financeira'!$A:$A,'DRE 2020'!J$1,'Dados Mov Financeira'!$B:$B,'DRE 2020'!J$2)</f>
        <v>0</v>
      </c>
      <c r="K92" s="91" t="n">
        <f aca="false">IFERROR(J92/J$5,0)</f>
        <v>0</v>
      </c>
      <c r="M92" s="75" t="n">
        <f aca="false">SUMIFS('Dados Mov Financeira'!$N:$N,'Dados Mov Financeira'!$O:$O,'DRE 2020'!$B92,'Dados Mov Financeira'!$A:$A,'DRE 2020'!M$1,'Dados Mov Financeira'!$B:$B,'DRE 2020'!M$2)</f>
        <v>0</v>
      </c>
      <c r="N92" s="91" t="n">
        <f aca="false">IFERROR(M92/M$5,0)</f>
        <v>0</v>
      </c>
      <c r="P92" s="75" t="n">
        <f aca="false">SUMIFS('Dados Mov Financeira'!$N:$N,'Dados Mov Financeira'!$O:$O,'DRE 2020'!$B92,'Dados Mov Financeira'!$A:$A,'DRE 2020'!P$1,'Dados Mov Financeira'!$B:$B,'DRE 2020'!P$2)</f>
        <v>0</v>
      </c>
      <c r="Q92" s="91" t="n">
        <f aca="false">IFERROR(P92/P$5,0)</f>
        <v>0</v>
      </c>
      <c r="S92" s="75" t="n">
        <f aca="false">SUMIFS('Dados Mov Financeira'!$N:$N,'Dados Mov Financeira'!$O:$O,'DRE 2020'!$B92,'Dados Mov Financeira'!$A:$A,'DRE 2020'!S$1,'Dados Mov Financeira'!$B:$B,'DRE 2020'!S$2)</f>
        <v>0</v>
      </c>
      <c r="T92" s="91" t="n">
        <f aca="false">IFERROR(S92/S$5,0)</f>
        <v>0</v>
      </c>
      <c r="V92" s="75" t="n">
        <f aca="false">SUMIFS('Dados Mov Financeira'!$N:$N,'Dados Mov Financeira'!$O:$O,'DRE 2020'!$B92,'Dados Mov Financeira'!$A:$A,'DRE 2020'!V$1,'Dados Mov Financeira'!$B:$B,'DRE 2020'!V$2)</f>
        <v>0</v>
      </c>
      <c r="W92" s="91" t="n">
        <f aca="false">IFERROR(V92/V$5,0)</f>
        <v>0</v>
      </c>
      <c r="Y92" s="75" t="n">
        <f aca="false">SUMIFS('Dados Mov Financeira'!$N:$N,'Dados Mov Financeira'!$O:$O,'DRE 2020'!$B92,'Dados Mov Financeira'!$A:$A,'DRE 2020'!Y$1,'Dados Mov Financeira'!$B:$B,'DRE 2020'!Y$2)</f>
        <v>0</v>
      </c>
      <c r="Z92" s="91" t="n">
        <f aca="false">IFERROR(Y92/Y$5,0)</f>
        <v>0</v>
      </c>
      <c r="AB92" s="75" t="n">
        <f aca="false">SUMIFS('Dados Mov Financeira'!$N:$N,'Dados Mov Financeira'!$O:$O,'DRE 2020'!$B92,'Dados Mov Financeira'!$A:$A,'DRE 2020'!AB$1,'Dados Mov Financeira'!$B:$B,'DRE 2020'!AB$2)</f>
        <v>0</v>
      </c>
      <c r="AC92" s="91" t="n">
        <f aca="false">IFERROR(AB92/AB$5,0)</f>
        <v>0</v>
      </c>
      <c r="AE92" s="75" t="n">
        <f aca="false">SUMIFS('Dados Mov Financeira'!$N:$N,'Dados Mov Financeira'!$O:$O,'DRE 2020'!$B92,'Dados Mov Financeira'!$A:$A,'DRE 2020'!AE$1,'Dados Mov Financeira'!$B:$B,'DRE 2020'!AE$2)</f>
        <v>0</v>
      </c>
      <c r="AF92" s="91" t="n">
        <f aca="false">IFERROR(AE92/AE$5,0)</f>
        <v>0</v>
      </c>
      <c r="AH92" s="75" t="n">
        <f aca="false">SUMIFS('Dados Mov Financeira'!$N:$N,'Dados Mov Financeira'!$O:$O,'DRE 2020'!$B92,'Dados Mov Financeira'!$A:$A,'DRE 2020'!AH$1,'Dados Mov Financeira'!$B:$B,'DRE 2020'!AH$2)</f>
        <v>0</v>
      </c>
      <c r="AI92" s="91" t="n">
        <f aca="false">IFERROR(AH92/AH$5,0)</f>
        <v>0</v>
      </c>
      <c r="AK92" s="75" t="n">
        <f aca="false">SUMIFS('Dados Mov Financeira'!$N:$N,'Dados Mov Financeira'!$O:$O,'DRE 2020'!$B92,'Dados Mov Financeira'!$A:$A,'DRE 2020'!AK$1,'Dados Mov Financeira'!$B:$B,'DRE 2020'!AK$2)</f>
        <v>0</v>
      </c>
      <c r="AL92" s="91" t="n">
        <f aca="false">IFERROR(AK92/AK$5,0)</f>
        <v>0</v>
      </c>
      <c r="AN92" s="92" t="n">
        <f aca="false">SUM(D92,G92,J92,M92,P92,S92,V92,Y92,AB92,AE92,AH92,AK92)</f>
        <v>0</v>
      </c>
      <c r="AO92" s="91" t="n">
        <f aca="false">IFERROR(AN92/AN$5,0)</f>
        <v>0</v>
      </c>
      <c r="AQ92" s="93" t="n">
        <f aca="false">AN92/$AR$1</f>
        <v>0</v>
      </c>
      <c r="AR92" s="94" t="n">
        <f aca="false">IFERROR(AQ92/AQ$5,0)</f>
        <v>0</v>
      </c>
      <c r="AT92" s="111"/>
    </row>
    <row r="93" customFormat="false" ht="14.25" hidden="true" customHeight="false" outlineLevel="1" collapsed="false">
      <c r="B93" s="89" t="s">
        <v>114</v>
      </c>
      <c r="D93" s="75" t="n">
        <f aca="false">SUMIFS('Dados Mov Financeira'!$N:$N,'Dados Mov Financeira'!$O:$O,'DRE 2020'!$B93,'Dados Mov Financeira'!$A:$A,'DRE 2020'!D$1,'Dados Mov Financeira'!$B:$B,'DRE 2020'!D$2)</f>
        <v>0</v>
      </c>
      <c r="E93" s="91" t="n">
        <f aca="false">IFERROR(D93/D$5,0)</f>
        <v>0</v>
      </c>
      <c r="G93" s="75" t="n">
        <f aca="false">SUMIFS('Dados Mov Financeira'!$N:$N,'Dados Mov Financeira'!$O:$O,'DRE 2020'!$B93,'Dados Mov Financeira'!$A:$A,'DRE 2020'!G$1,'Dados Mov Financeira'!$B:$B,'DRE 2020'!G$2)</f>
        <v>0</v>
      </c>
      <c r="H93" s="91" t="n">
        <f aca="false">IFERROR(G93/G$5,0)</f>
        <v>0</v>
      </c>
      <c r="J93" s="75" t="n">
        <f aca="false">SUMIFS('Dados Mov Financeira'!$N:$N,'Dados Mov Financeira'!$O:$O,'DRE 2020'!$B93,'Dados Mov Financeira'!$A:$A,'DRE 2020'!J$1,'Dados Mov Financeira'!$B:$B,'DRE 2020'!J$2)</f>
        <v>0</v>
      </c>
      <c r="K93" s="91" t="n">
        <f aca="false">IFERROR(J93/J$5,0)</f>
        <v>0</v>
      </c>
      <c r="M93" s="75" t="n">
        <f aca="false">SUMIFS('Dados Mov Financeira'!$N:$N,'Dados Mov Financeira'!$O:$O,'DRE 2020'!$B93,'Dados Mov Financeira'!$A:$A,'DRE 2020'!M$1,'Dados Mov Financeira'!$B:$B,'DRE 2020'!M$2)</f>
        <v>0</v>
      </c>
      <c r="N93" s="91" t="n">
        <f aca="false">IFERROR(M93/M$5,0)</f>
        <v>0</v>
      </c>
      <c r="P93" s="75" t="n">
        <f aca="false">SUMIFS('Dados Mov Financeira'!$N:$N,'Dados Mov Financeira'!$O:$O,'DRE 2020'!$B93,'Dados Mov Financeira'!$A:$A,'DRE 2020'!P$1,'Dados Mov Financeira'!$B:$B,'DRE 2020'!P$2)</f>
        <v>0</v>
      </c>
      <c r="Q93" s="91" t="n">
        <f aca="false">IFERROR(P93/P$5,0)</f>
        <v>0</v>
      </c>
      <c r="S93" s="75" t="n">
        <f aca="false">SUMIFS('Dados Mov Financeira'!$N:$N,'Dados Mov Financeira'!$O:$O,'DRE 2020'!$B93,'Dados Mov Financeira'!$A:$A,'DRE 2020'!S$1,'Dados Mov Financeira'!$B:$B,'DRE 2020'!S$2)</f>
        <v>0</v>
      </c>
      <c r="T93" s="91" t="n">
        <f aca="false">IFERROR(S93/S$5,0)</f>
        <v>0</v>
      </c>
      <c r="V93" s="75" t="n">
        <f aca="false">SUMIFS('Dados Mov Financeira'!$N:$N,'Dados Mov Financeira'!$O:$O,'DRE 2020'!$B93,'Dados Mov Financeira'!$A:$A,'DRE 2020'!V$1,'Dados Mov Financeira'!$B:$B,'DRE 2020'!V$2)</f>
        <v>0</v>
      </c>
      <c r="W93" s="91" t="n">
        <f aca="false">IFERROR(V93/V$5,0)</f>
        <v>0</v>
      </c>
      <c r="Y93" s="75" t="n">
        <f aca="false">SUMIFS('Dados Mov Financeira'!$N:$N,'Dados Mov Financeira'!$O:$O,'DRE 2020'!$B93,'Dados Mov Financeira'!$A:$A,'DRE 2020'!Y$1,'Dados Mov Financeira'!$B:$B,'DRE 2020'!Y$2)</f>
        <v>0</v>
      </c>
      <c r="Z93" s="91" t="n">
        <f aca="false">IFERROR(Y93/Y$5,0)</f>
        <v>0</v>
      </c>
      <c r="AB93" s="75" t="n">
        <f aca="false">SUMIFS('Dados Mov Financeira'!$N:$N,'Dados Mov Financeira'!$O:$O,'DRE 2020'!$B93,'Dados Mov Financeira'!$A:$A,'DRE 2020'!AB$1,'Dados Mov Financeira'!$B:$B,'DRE 2020'!AB$2)</f>
        <v>0</v>
      </c>
      <c r="AC93" s="91" t="n">
        <f aca="false">IFERROR(AB93/AB$5,0)</f>
        <v>0</v>
      </c>
      <c r="AE93" s="75" t="n">
        <f aca="false">SUMIFS('Dados Mov Financeira'!$N:$N,'Dados Mov Financeira'!$O:$O,'DRE 2020'!$B93,'Dados Mov Financeira'!$A:$A,'DRE 2020'!AE$1,'Dados Mov Financeira'!$B:$B,'DRE 2020'!AE$2)</f>
        <v>0</v>
      </c>
      <c r="AF93" s="91" t="n">
        <f aca="false">IFERROR(AE93/AE$5,0)</f>
        <v>0</v>
      </c>
      <c r="AH93" s="75" t="n">
        <f aca="false">SUMIFS('Dados Mov Financeira'!$N:$N,'Dados Mov Financeira'!$O:$O,'DRE 2020'!$B93,'Dados Mov Financeira'!$A:$A,'DRE 2020'!AH$1,'Dados Mov Financeira'!$B:$B,'DRE 2020'!AH$2)</f>
        <v>0</v>
      </c>
      <c r="AI93" s="91" t="n">
        <f aca="false">IFERROR(AH93/AH$5,0)</f>
        <v>0</v>
      </c>
      <c r="AK93" s="75" t="n">
        <f aca="false">SUMIFS('Dados Mov Financeira'!$N:$N,'Dados Mov Financeira'!$O:$O,'DRE 2020'!$B93,'Dados Mov Financeira'!$A:$A,'DRE 2020'!AK$1,'Dados Mov Financeira'!$B:$B,'DRE 2020'!AK$2)</f>
        <v>0</v>
      </c>
      <c r="AL93" s="91" t="n">
        <f aca="false">IFERROR(AK93/AK$5,0)</f>
        <v>0</v>
      </c>
      <c r="AN93" s="92" t="n">
        <f aca="false">SUM(D93,G93,J93,M93,P93,S93,V93,Y93,AB93,AE93,AH93,AK93)</f>
        <v>0</v>
      </c>
      <c r="AO93" s="91" t="n">
        <f aca="false">IFERROR(AN93/AN$5,0)</f>
        <v>0</v>
      </c>
      <c r="AQ93" s="93" t="n">
        <f aca="false">AN93/$AR$1</f>
        <v>0</v>
      </c>
      <c r="AR93" s="94" t="n">
        <f aca="false">IFERROR(AQ93/AQ$5,0)</f>
        <v>0</v>
      </c>
      <c r="AT93" s="111"/>
    </row>
    <row r="94" customFormat="false" ht="14.25" hidden="true" customHeight="false" outlineLevel="1" collapsed="false">
      <c r="B94" s="89" t="s">
        <v>115</v>
      </c>
      <c r="D94" s="75" t="n">
        <f aca="false">SUMIFS('Dados Mov Financeira'!$N:$N,'Dados Mov Financeira'!$O:$O,'DRE 2020'!$B94,'Dados Mov Financeira'!$A:$A,'DRE 2020'!D$1,'Dados Mov Financeira'!$B:$B,'DRE 2020'!D$2)</f>
        <v>0</v>
      </c>
      <c r="E94" s="91" t="n">
        <f aca="false">IFERROR(D94/D$5,0)</f>
        <v>0</v>
      </c>
      <c r="G94" s="75" t="n">
        <f aca="false">SUMIFS('Dados Mov Financeira'!$N:$N,'Dados Mov Financeira'!$O:$O,'DRE 2020'!$B94,'Dados Mov Financeira'!$A:$A,'DRE 2020'!G$1,'Dados Mov Financeira'!$B:$B,'DRE 2020'!G$2)</f>
        <v>0</v>
      </c>
      <c r="H94" s="91" t="n">
        <f aca="false">IFERROR(G94/G$5,0)</f>
        <v>0</v>
      </c>
      <c r="J94" s="75" t="n">
        <f aca="false">SUMIFS('Dados Mov Financeira'!$N:$N,'Dados Mov Financeira'!$O:$O,'DRE 2020'!$B94,'Dados Mov Financeira'!$A:$A,'DRE 2020'!J$1,'Dados Mov Financeira'!$B:$B,'DRE 2020'!J$2)</f>
        <v>0</v>
      </c>
      <c r="K94" s="91" t="n">
        <f aca="false">IFERROR(J94/J$5,0)</f>
        <v>0</v>
      </c>
      <c r="M94" s="99" t="n">
        <f aca="false">SUMIFS('Dados Mov Financeira'!$N:$N,'Dados Mov Financeira'!$O:$O,'DRE 2020'!$B94,'Dados Mov Financeira'!$A:$A,'DRE 2020'!M$1,'Dados Mov Financeira'!$B:$B,'DRE 2020'!M$2)</f>
        <v>0</v>
      </c>
      <c r="N94" s="91" t="n">
        <f aca="false">IFERROR(M94/M$5,0)</f>
        <v>0</v>
      </c>
      <c r="P94" s="75" t="n">
        <f aca="false">SUMIFS('Dados Mov Financeira'!$N:$N,'Dados Mov Financeira'!$O:$O,'DRE 2020'!$B94,'Dados Mov Financeira'!$A:$A,'DRE 2020'!P$1,'Dados Mov Financeira'!$B:$B,'DRE 2020'!P$2)</f>
        <v>0</v>
      </c>
      <c r="Q94" s="91" t="n">
        <f aca="false">IFERROR(P94/P$5,0)</f>
        <v>0</v>
      </c>
      <c r="S94" s="75" t="n">
        <f aca="false">SUMIFS('Dados Mov Financeira'!$N:$N,'Dados Mov Financeira'!$O:$O,'DRE 2020'!$B94,'Dados Mov Financeira'!$A:$A,'DRE 2020'!S$1,'Dados Mov Financeira'!$B:$B,'DRE 2020'!S$2)</f>
        <v>0</v>
      </c>
      <c r="T94" s="91" t="n">
        <f aca="false">IFERROR(S94/S$5,0)</f>
        <v>0</v>
      </c>
      <c r="V94" s="75" t="n">
        <f aca="false">SUMIFS('Dados Mov Financeira'!$N:$N,'Dados Mov Financeira'!$O:$O,'DRE 2020'!$B94,'Dados Mov Financeira'!$A:$A,'DRE 2020'!V$1,'Dados Mov Financeira'!$B:$B,'DRE 2020'!V$2)</f>
        <v>0</v>
      </c>
      <c r="W94" s="91" t="n">
        <f aca="false">IFERROR(V94/V$5,0)</f>
        <v>0</v>
      </c>
      <c r="Y94" s="75" t="n">
        <f aca="false">SUMIFS('Dados Mov Financeira'!$N:$N,'Dados Mov Financeira'!$O:$O,'DRE 2020'!$B94,'Dados Mov Financeira'!$A:$A,'DRE 2020'!Y$1,'Dados Mov Financeira'!$B:$B,'DRE 2020'!Y$2)</f>
        <v>0</v>
      </c>
      <c r="Z94" s="91" t="n">
        <f aca="false">IFERROR(Y94/Y$5,0)</f>
        <v>0</v>
      </c>
      <c r="AB94" s="75" t="n">
        <f aca="false">SUMIFS('Dados Mov Financeira'!$N:$N,'Dados Mov Financeira'!$O:$O,'DRE 2020'!$B94,'Dados Mov Financeira'!$A:$A,'DRE 2020'!AB$1,'Dados Mov Financeira'!$B:$B,'DRE 2020'!AB$2)</f>
        <v>0</v>
      </c>
      <c r="AC94" s="91" t="n">
        <f aca="false">IFERROR(AB94/AB$5,0)</f>
        <v>0</v>
      </c>
      <c r="AE94" s="75" t="n">
        <f aca="false">SUMIFS('Dados Mov Financeira'!$N:$N,'Dados Mov Financeira'!$O:$O,'DRE 2020'!$B94,'Dados Mov Financeira'!$A:$A,'DRE 2020'!AE$1,'Dados Mov Financeira'!$B:$B,'DRE 2020'!AE$2)</f>
        <v>0</v>
      </c>
      <c r="AF94" s="91" t="n">
        <f aca="false">IFERROR(AE94/AE$5,0)</f>
        <v>0</v>
      </c>
      <c r="AH94" s="75" t="n">
        <f aca="false">SUMIFS('Dados Mov Financeira'!$N:$N,'Dados Mov Financeira'!$O:$O,'DRE 2020'!$B94,'Dados Mov Financeira'!$A:$A,'DRE 2020'!AH$1,'Dados Mov Financeira'!$B:$B,'DRE 2020'!AH$2)</f>
        <v>0</v>
      </c>
      <c r="AI94" s="91" t="n">
        <f aca="false">IFERROR(AH94/AH$5,0)</f>
        <v>0</v>
      </c>
      <c r="AK94" s="75" t="n">
        <f aca="false">SUMIFS('Dados Mov Financeira'!$N:$N,'Dados Mov Financeira'!$O:$O,'DRE 2020'!$B94,'Dados Mov Financeira'!$A:$A,'DRE 2020'!AK$1,'Dados Mov Financeira'!$B:$B,'DRE 2020'!AK$2)</f>
        <v>0</v>
      </c>
      <c r="AL94" s="91" t="n">
        <f aca="false">IFERROR(AK94/AK$5,0)</f>
        <v>0</v>
      </c>
      <c r="AN94" s="92" t="n">
        <f aca="false">SUM(D94,G94,J94,M94,P94,S94,V94,Y94,AB94,AE94,AH94,AK94)</f>
        <v>0</v>
      </c>
      <c r="AO94" s="91" t="n">
        <f aca="false">IFERROR(AN94/AN$5,0)</f>
        <v>0</v>
      </c>
      <c r="AQ94" s="93" t="n">
        <f aca="false">AN94/$AR$1</f>
        <v>0</v>
      </c>
      <c r="AR94" s="94" t="n">
        <f aca="false">IFERROR(AQ94/AQ$5,0)</f>
        <v>0</v>
      </c>
      <c r="AT94" s="112"/>
    </row>
    <row r="95" s="63" customFormat="true" ht="14.25" hidden="false" customHeight="false" outlineLevel="0" collapsed="false">
      <c r="B95" s="106" t="s">
        <v>116</v>
      </c>
      <c r="C95" s="100"/>
      <c r="D95" s="75" t="n">
        <f aca="false">SUM(D96:D99)</f>
        <v>0</v>
      </c>
      <c r="E95" s="88" t="n">
        <f aca="false">IFERROR(D95/D$5,0)</f>
        <v>0</v>
      </c>
      <c r="F95" s="100"/>
      <c r="G95" s="75" t="n">
        <f aca="false">SUM(G96:G99)</f>
        <v>0</v>
      </c>
      <c r="H95" s="88" t="n">
        <f aca="false">IFERROR(G95/G$5,0)</f>
        <v>0</v>
      </c>
      <c r="I95" s="100"/>
      <c r="J95" s="75" t="n">
        <f aca="false">SUM(J96:J99)</f>
        <v>0</v>
      </c>
      <c r="K95" s="88" t="n">
        <f aca="false">IFERROR(J95/J$5,0)</f>
        <v>0</v>
      </c>
      <c r="L95" s="100"/>
      <c r="M95" s="75" t="n">
        <f aca="false">SUM(M96:M99)</f>
        <v>0</v>
      </c>
      <c r="N95" s="88" t="n">
        <f aca="false">IFERROR(M95/M$5,0)</f>
        <v>0</v>
      </c>
      <c r="O95" s="100"/>
      <c r="P95" s="75" t="n">
        <f aca="false">SUM(P96:P99)</f>
        <v>0</v>
      </c>
      <c r="Q95" s="88" t="n">
        <f aca="false">IFERROR(P95/P$5,0)</f>
        <v>0</v>
      </c>
      <c r="R95" s="100"/>
      <c r="S95" s="75" t="n">
        <f aca="false">SUM(S96:S99)</f>
        <v>0</v>
      </c>
      <c r="T95" s="88" t="n">
        <f aca="false">IFERROR(S95/S$5,0)</f>
        <v>0</v>
      </c>
      <c r="U95" s="100"/>
      <c r="V95" s="75" t="n">
        <f aca="false">SUM(V96:V99)</f>
        <v>0</v>
      </c>
      <c r="W95" s="88" t="n">
        <f aca="false">IFERROR(V95/V$5,0)</f>
        <v>0</v>
      </c>
      <c r="X95" s="100"/>
      <c r="Y95" s="75" t="n">
        <f aca="false">SUM(Y96:Y99)</f>
        <v>0</v>
      </c>
      <c r="Z95" s="88" t="n">
        <f aca="false">IFERROR(Y95/Y$5,0)</f>
        <v>0</v>
      </c>
      <c r="AA95" s="100"/>
      <c r="AB95" s="75" t="n">
        <f aca="false">SUM(AB96:AB99)</f>
        <v>0</v>
      </c>
      <c r="AC95" s="88" t="n">
        <f aca="false">IFERROR(AB95/AB$5,0)</f>
        <v>0</v>
      </c>
      <c r="AD95" s="100"/>
      <c r="AE95" s="75" t="n">
        <f aca="false">SUM(AE96:AE99)</f>
        <v>0</v>
      </c>
      <c r="AF95" s="88" t="n">
        <f aca="false">IFERROR(AE95/AE$5,0)</f>
        <v>0</v>
      </c>
      <c r="AG95" s="100"/>
      <c r="AH95" s="75" t="n">
        <f aca="false">SUM(AH96:AH99)</f>
        <v>0</v>
      </c>
      <c r="AI95" s="88" t="n">
        <f aca="false">IFERROR(AH95/AH$5,0)</f>
        <v>0</v>
      </c>
      <c r="AJ95" s="100"/>
      <c r="AK95" s="75" t="n">
        <f aca="false">SUM(AK96:AK99)</f>
        <v>0</v>
      </c>
      <c r="AL95" s="88" t="n">
        <f aca="false">IFERROR(AK95/AK$5,0)</f>
        <v>0</v>
      </c>
      <c r="AM95" s="100"/>
      <c r="AN95" s="75" t="n">
        <f aca="false">SUM(D95,G95,J95,M95,P95,S95,V95,Y95,AB95,AE95,AH95,AK95)</f>
        <v>0</v>
      </c>
      <c r="AO95" s="88" t="n">
        <f aca="false">IFERROR(AN95/AN$5,0)</f>
        <v>0</v>
      </c>
      <c r="AP95" s="100"/>
      <c r="AQ95" s="77" t="n">
        <f aca="false">AN95/$AR$1</f>
        <v>0</v>
      </c>
      <c r="AR95" s="76" t="n">
        <f aca="false">IFERROR(AQ95/AQ$5,0)</f>
        <v>0</v>
      </c>
      <c r="AS95" s="100"/>
      <c r="AT95" s="78" t="n">
        <v>-0.01</v>
      </c>
    </row>
    <row r="96" customFormat="false" ht="14.25" hidden="true" customHeight="false" outlineLevel="1" collapsed="false">
      <c r="B96" s="89" t="s">
        <v>117</v>
      </c>
      <c r="C96" s="96"/>
      <c r="D96" s="75" t="n">
        <f aca="false">SUMIFS('Dados Mov Financeira'!$N:$N,'Dados Mov Financeira'!$O:$O,'DRE 2020'!$B96,'Dados Mov Financeira'!$A:$A,'DRE 2020'!D$1,'Dados Mov Financeira'!$B:$B,'DRE 2020'!D$2)</f>
        <v>0</v>
      </c>
      <c r="E96" s="91" t="n">
        <f aca="false">IFERROR(D96/D$5,0)</f>
        <v>0</v>
      </c>
      <c r="F96" s="96"/>
      <c r="G96" s="75" t="n">
        <f aca="false">SUMIFS('Dados Mov Financeira'!$N:$N,'Dados Mov Financeira'!$O:$O,'DRE 2020'!$B96,'Dados Mov Financeira'!$A:$A,'DRE 2020'!G$1,'Dados Mov Financeira'!$B:$B,'DRE 2020'!G$2)</f>
        <v>0</v>
      </c>
      <c r="H96" s="91" t="n">
        <f aca="false">IFERROR(G96/G$5,0)</f>
        <v>0</v>
      </c>
      <c r="I96" s="96"/>
      <c r="J96" s="75" t="n">
        <f aca="false">SUMIFS('Dados Mov Financeira'!$N:$N,'Dados Mov Financeira'!$O:$O,'DRE 2020'!$B96,'Dados Mov Financeira'!$A:$A,'DRE 2020'!J$1,'Dados Mov Financeira'!$B:$B,'DRE 2020'!J$2)</f>
        <v>0</v>
      </c>
      <c r="K96" s="91" t="n">
        <f aca="false">IFERROR(J96/J$5,0)</f>
        <v>0</v>
      </c>
      <c r="L96" s="96"/>
      <c r="M96" s="75" t="n">
        <f aca="false">SUMIFS('Dados Mov Financeira'!$N:$N,'Dados Mov Financeira'!$O:$O,'DRE 2020'!$B96,'Dados Mov Financeira'!$A:$A,'DRE 2020'!M$1,'Dados Mov Financeira'!$B:$B,'DRE 2020'!M$2)</f>
        <v>0</v>
      </c>
      <c r="N96" s="91" t="n">
        <f aca="false">IFERROR(M96/M$5,0)</f>
        <v>0</v>
      </c>
      <c r="O96" s="96"/>
      <c r="P96" s="75" t="n">
        <f aca="false">SUMIFS('Dados Mov Financeira'!$N:$N,'Dados Mov Financeira'!$O:$O,'DRE 2020'!$B96,'Dados Mov Financeira'!$A:$A,'DRE 2020'!P$1,'Dados Mov Financeira'!$B:$B,'DRE 2020'!P$2)</f>
        <v>0</v>
      </c>
      <c r="Q96" s="91" t="n">
        <f aca="false">IFERROR(P96/P$5,0)</f>
        <v>0</v>
      </c>
      <c r="R96" s="96"/>
      <c r="S96" s="75" t="n">
        <f aca="false">SUMIFS('Dados Mov Financeira'!$N:$N,'Dados Mov Financeira'!$O:$O,'DRE 2020'!$B96,'Dados Mov Financeira'!$A:$A,'DRE 2020'!S$1,'Dados Mov Financeira'!$B:$B,'DRE 2020'!S$2)</f>
        <v>0</v>
      </c>
      <c r="T96" s="91" t="n">
        <f aca="false">IFERROR(S96/S$5,0)</f>
        <v>0</v>
      </c>
      <c r="U96" s="96"/>
      <c r="V96" s="75" t="n">
        <f aca="false">SUMIFS('Dados Mov Financeira'!$N:$N,'Dados Mov Financeira'!$O:$O,'DRE 2020'!$B96,'Dados Mov Financeira'!$A:$A,'DRE 2020'!V$1,'Dados Mov Financeira'!$B:$B,'DRE 2020'!V$2)</f>
        <v>0</v>
      </c>
      <c r="W96" s="91" t="n">
        <f aca="false">IFERROR(V96/V$5,0)</f>
        <v>0</v>
      </c>
      <c r="X96" s="96"/>
      <c r="Y96" s="75" t="n">
        <f aca="false">SUMIFS('Dados Mov Financeira'!$N:$N,'Dados Mov Financeira'!$O:$O,'DRE 2020'!$B96,'Dados Mov Financeira'!$A:$A,'DRE 2020'!Y$1,'Dados Mov Financeira'!$B:$B,'DRE 2020'!Y$2)</f>
        <v>0</v>
      </c>
      <c r="Z96" s="91" t="n">
        <f aca="false">IFERROR(Y96/Y$5,0)</f>
        <v>0</v>
      </c>
      <c r="AA96" s="96"/>
      <c r="AB96" s="75" t="n">
        <f aca="false">SUMIFS('Dados Mov Financeira'!$N:$N,'Dados Mov Financeira'!$O:$O,'DRE 2020'!$B96,'Dados Mov Financeira'!$A:$A,'DRE 2020'!AB$1,'Dados Mov Financeira'!$B:$B,'DRE 2020'!AB$2)</f>
        <v>0</v>
      </c>
      <c r="AC96" s="91" t="n">
        <f aca="false">IFERROR(AB96/AB$5,0)</f>
        <v>0</v>
      </c>
      <c r="AD96" s="96"/>
      <c r="AE96" s="75" t="n">
        <f aca="false">SUMIFS('Dados Mov Financeira'!$N:$N,'Dados Mov Financeira'!$O:$O,'DRE 2020'!$B96,'Dados Mov Financeira'!$A:$A,'DRE 2020'!AE$1,'Dados Mov Financeira'!$B:$B,'DRE 2020'!AE$2)</f>
        <v>0</v>
      </c>
      <c r="AF96" s="91" t="n">
        <f aca="false">IFERROR(AE96/AE$5,0)</f>
        <v>0</v>
      </c>
      <c r="AG96" s="96"/>
      <c r="AH96" s="75" t="n">
        <f aca="false">SUMIFS('Dados Mov Financeira'!$N:$N,'Dados Mov Financeira'!$O:$O,'DRE 2020'!$B96,'Dados Mov Financeira'!$A:$A,'DRE 2020'!AH$1,'Dados Mov Financeira'!$B:$B,'DRE 2020'!AH$2)</f>
        <v>0</v>
      </c>
      <c r="AI96" s="91" t="n">
        <f aca="false">IFERROR(AH96/AH$5,0)</f>
        <v>0</v>
      </c>
      <c r="AJ96" s="96"/>
      <c r="AK96" s="75" t="n">
        <f aca="false">SUMIFS('Dados Mov Financeira'!$N:$N,'Dados Mov Financeira'!$O:$O,'DRE 2020'!$B96,'Dados Mov Financeira'!$A:$A,'DRE 2020'!AK$1,'Dados Mov Financeira'!$B:$B,'DRE 2020'!AK$2)</f>
        <v>0</v>
      </c>
      <c r="AL96" s="91" t="n">
        <f aca="false">IFERROR(AK96/AK$5,0)</f>
        <v>0</v>
      </c>
      <c r="AM96" s="96"/>
      <c r="AN96" s="92" t="n">
        <f aca="false">SUM(D96,G96,J96,M96,P96,S96,V96,Y96,AB96,AE96,AH96,AK96)</f>
        <v>0</v>
      </c>
      <c r="AO96" s="91" t="n">
        <f aca="false">IFERROR(AN96/AN$5,0)</f>
        <v>0</v>
      </c>
      <c r="AP96" s="96"/>
      <c r="AQ96" s="93" t="n">
        <f aca="false">AN96/$AR$1</f>
        <v>0</v>
      </c>
      <c r="AR96" s="94" t="n">
        <f aca="false">IFERROR(AQ96/AQ$5,0)</f>
        <v>0</v>
      </c>
      <c r="AS96" s="96"/>
      <c r="AT96" s="110"/>
    </row>
    <row r="97" customFormat="false" ht="14.25" hidden="true" customHeight="false" outlineLevel="1" collapsed="false">
      <c r="B97" s="89" t="s">
        <v>118</v>
      </c>
      <c r="C97" s="96"/>
      <c r="D97" s="75" t="n">
        <f aca="false">SUMIFS('Dados Mov Financeira'!$N:$N,'Dados Mov Financeira'!$O:$O,'DRE 2020'!$B97,'Dados Mov Financeira'!$A:$A,'DRE 2020'!D$1,'Dados Mov Financeira'!$B:$B,'DRE 2020'!D$2)</f>
        <v>0</v>
      </c>
      <c r="E97" s="91" t="n">
        <f aca="false">IFERROR(D97/D$5,0)</f>
        <v>0</v>
      </c>
      <c r="F97" s="96"/>
      <c r="G97" s="75" t="n">
        <f aca="false">SUMIFS('Dados Mov Financeira'!$N:$N,'Dados Mov Financeira'!$O:$O,'DRE 2020'!$B97,'Dados Mov Financeira'!$A:$A,'DRE 2020'!G$1,'Dados Mov Financeira'!$B:$B,'DRE 2020'!G$2)</f>
        <v>0</v>
      </c>
      <c r="H97" s="91" t="n">
        <f aca="false">IFERROR(G97/G$5,0)</f>
        <v>0</v>
      </c>
      <c r="I97" s="96"/>
      <c r="J97" s="75" t="n">
        <f aca="false">SUMIFS('Dados Mov Financeira'!$N:$N,'Dados Mov Financeira'!$O:$O,'DRE 2020'!$B97,'Dados Mov Financeira'!$A:$A,'DRE 2020'!J$1,'Dados Mov Financeira'!$B:$B,'DRE 2020'!J$2)</f>
        <v>0</v>
      </c>
      <c r="K97" s="91" t="n">
        <f aca="false">IFERROR(J97/J$5,0)</f>
        <v>0</v>
      </c>
      <c r="L97" s="96"/>
      <c r="M97" s="75" t="n">
        <f aca="false">SUMIFS('Dados Mov Financeira'!$N:$N,'Dados Mov Financeira'!$O:$O,'DRE 2020'!$B97,'Dados Mov Financeira'!$A:$A,'DRE 2020'!M$1,'Dados Mov Financeira'!$B:$B,'DRE 2020'!M$2)</f>
        <v>0</v>
      </c>
      <c r="N97" s="91" t="n">
        <f aca="false">IFERROR(M97/M$5,0)</f>
        <v>0</v>
      </c>
      <c r="O97" s="96"/>
      <c r="P97" s="75" t="n">
        <f aca="false">SUMIFS('Dados Mov Financeira'!$N:$N,'Dados Mov Financeira'!$O:$O,'DRE 2020'!$B97,'Dados Mov Financeira'!$A:$A,'DRE 2020'!P$1,'Dados Mov Financeira'!$B:$B,'DRE 2020'!P$2)</f>
        <v>0</v>
      </c>
      <c r="Q97" s="91" t="n">
        <f aca="false">IFERROR(P97/P$5,0)</f>
        <v>0</v>
      </c>
      <c r="R97" s="96"/>
      <c r="S97" s="75" t="n">
        <f aca="false">SUMIFS('Dados Mov Financeira'!$N:$N,'Dados Mov Financeira'!$O:$O,'DRE 2020'!$B97,'Dados Mov Financeira'!$A:$A,'DRE 2020'!S$1,'Dados Mov Financeira'!$B:$B,'DRE 2020'!S$2)</f>
        <v>0</v>
      </c>
      <c r="T97" s="91" t="n">
        <f aca="false">IFERROR(S97/S$5,0)</f>
        <v>0</v>
      </c>
      <c r="U97" s="96"/>
      <c r="V97" s="75" t="n">
        <f aca="false">SUMIFS('Dados Mov Financeira'!$N:$N,'Dados Mov Financeira'!$O:$O,'DRE 2020'!$B97,'Dados Mov Financeira'!$A:$A,'DRE 2020'!V$1,'Dados Mov Financeira'!$B:$B,'DRE 2020'!V$2)</f>
        <v>0</v>
      </c>
      <c r="W97" s="91" t="n">
        <f aca="false">IFERROR(V97/V$5,0)</f>
        <v>0</v>
      </c>
      <c r="X97" s="96"/>
      <c r="Y97" s="75" t="n">
        <f aca="false">SUMIFS('Dados Mov Financeira'!$N:$N,'Dados Mov Financeira'!$O:$O,'DRE 2020'!$B97,'Dados Mov Financeira'!$A:$A,'DRE 2020'!Y$1,'Dados Mov Financeira'!$B:$B,'DRE 2020'!Y$2)</f>
        <v>0</v>
      </c>
      <c r="Z97" s="91" t="n">
        <f aca="false">IFERROR(Y97/Y$5,0)</f>
        <v>0</v>
      </c>
      <c r="AA97" s="96"/>
      <c r="AB97" s="75" t="n">
        <f aca="false">SUMIFS('Dados Mov Financeira'!$N:$N,'Dados Mov Financeira'!$O:$O,'DRE 2020'!$B97,'Dados Mov Financeira'!$A:$A,'DRE 2020'!AB$1,'Dados Mov Financeira'!$B:$B,'DRE 2020'!AB$2)</f>
        <v>0</v>
      </c>
      <c r="AC97" s="91" t="n">
        <f aca="false">IFERROR(AB97/AB$5,0)</f>
        <v>0</v>
      </c>
      <c r="AD97" s="96"/>
      <c r="AE97" s="75" t="n">
        <f aca="false">SUMIFS('Dados Mov Financeira'!$N:$N,'Dados Mov Financeira'!$O:$O,'DRE 2020'!$B97,'Dados Mov Financeira'!$A:$A,'DRE 2020'!AE$1,'Dados Mov Financeira'!$B:$B,'DRE 2020'!AE$2)</f>
        <v>0</v>
      </c>
      <c r="AF97" s="91" t="n">
        <f aca="false">IFERROR(AE97/AE$5,0)</f>
        <v>0</v>
      </c>
      <c r="AG97" s="96"/>
      <c r="AH97" s="75" t="n">
        <f aca="false">SUMIFS('Dados Mov Financeira'!$N:$N,'Dados Mov Financeira'!$O:$O,'DRE 2020'!$B97,'Dados Mov Financeira'!$A:$A,'DRE 2020'!AH$1,'Dados Mov Financeira'!$B:$B,'DRE 2020'!AH$2)</f>
        <v>0</v>
      </c>
      <c r="AI97" s="91" t="n">
        <f aca="false">IFERROR(AH97/AH$5,0)</f>
        <v>0</v>
      </c>
      <c r="AJ97" s="96"/>
      <c r="AK97" s="75" t="n">
        <f aca="false">SUMIFS('Dados Mov Financeira'!$N:$N,'Dados Mov Financeira'!$O:$O,'DRE 2020'!$B97,'Dados Mov Financeira'!$A:$A,'DRE 2020'!AK$1,'Dados Mov Financeira'!$B:$B,'DRE 2020'!AK$2)</f>
        <v>0</v>
      </c>
      <c r="AL97" s="91" t="n">
        <f aca="false">IFERROR(AK97/AK$5,0)</f>
        <v>0</v>
      </c>
      <c r="AM97" s="96"/>
      <c r="AN97" s="92" t="n">
        <f aca="false">SUM(D97,G97,J97,M97,P97,S97,V97,Y97,AB97,AE97,AH97,AK97)</f>
        <v>0</v>
      </c>
      <c r="AO97" s="91" t="n">
        <f aca="false">IFERROR(AN97/AN$5,0)</f>
        <v>0</v>
      </c>
      <c r="AP97" s="96"/>
      <c r="AQ97" s="93" t="n">
        <f aca="false">AN97/$AR$1</f>
        <v>0</v>
      </c>
      <c r="AR97" s="94" t="n">
        <f aca="false">IFERROR(AQ97/AQ$5,0)</f>
        <v>0</v>
      </c>
      <c r="AS97" s="96"/>
      <c r="AT97" s="111"/>
    </row>
    <row r="98" customFormat="false" ht="14.25" hidden="true" customHeight="false" outlineLevel="1" collapsed="false">
      <c r="B98" s="89" t="s">
        <v>119</v>
      </c>
      <c r="C98" s="96"/>
      <c r="D98" s="75" t="n">
        <f aca="false">SUMIFS('Dados Mov Financeira'!$N:$N,'Dados Mov Financeira'!$O:$O,'DRE 2020'!$B98,'Dados Mov Financeira'!$A:$A,'DRE 2020'!D$1,'Dados Mov Financeira'!$B:$B,'DRE 2020'!D$2)</f>
        <v>0</v>
      </c>
      <c r="E98" s="91" t="n">
        <f aca="false">IFERROR(D98/D$5,0)</f>
        <v>0</v>
      </c>
      <c r="F98" s="96"/>
      <c r="G98" s="75" t="n">
        <f aca="false">SUMIFS('Dados Mov Financeira'!$N:$N,'Dados Mov Financeira'!$O:$O,'DRE 2020'!$B98,'Dados Mov Financeira'!$A:$A,'DRE 2020'!G$1,'Dados Mov Financeira'!$B:$B,'DRE 2020'!G$2)</f>
        <v>0</v>
      </c>
      <c r="H98" s="91" t="n">
        <f aca="false">IFERROR(G98/G$5,0)</f>
        <v>0</v>
      </c>
      <c r="I98" s="96"/>
      <c r="J98" s="75" t="n">
        <f aca="false">SUMIFS('Dados Mov Financeira'!$N:$N,'Dados Mov Financeira'!$O:$O,'DRE 2020'!$B98,'Dados Mov Financeira'!$A:$A,'DRE 2020'!J$1,'Dados Mov Financeira'!$B:$B,'DRE 2020'!J$2)</f>
        <v>0</v>
      </c>
      <c r="K98" s="91" t="n">
        <f aca="false">IFERROR(J98/J$5,0)</f>
        <v>0</v>
      </c>
      <c r="L98" s="96"/>
      <c r="M98" s="75" t="n">
        <f aca="false">SUMIFS('Dados Mov Financeira'!$N:$N,'Dados Mov Financeira'!$O:$O,'DRE 2020'!$B98,'Dados Mov Financeira'!$A:$A,'DRE 2020'!M$1,'Dados Mov Financeira'!$B:$B,'DRE 2020'!M$2)</f>
        <v>0</v>
      </c>
      <c r="N98" s="91" t="n">
        <f aca="false">IFERROR(M98/M$5,0)</f>
        <v>0</v>
      </c>
      <c r="O98" s="96"/>
      <c r="P98" s="75" t="n">
        <f aca="false">SUMIFS('Dados Mov Financeira'!$N:$N,'Dados Mov Financeira'!$O:$O,'DRE 2020'!$B98,'Dados Mov Financeira'!$A:$A,'DRE 2020'!P$1,'Dados Mov Financeira'!$B:$B,'DRE 2020'!P$2)</f>
        <v>0</v>
      </c>
      <c r="Q98" s="91" t="n">
        <f aca="false">IFERROR(P98/P$5,0)</f>
        <v>0</v>
      </c>
      <c r="R98" s="96"/>
      <c r="S98" s="75" t="n">
        <f aca="false">SUMIFS('Dados Mov Financeira'!$N:$N,'Dados Mov Financeira'!$O:$O,'DRE 2020'!$B98,'Dados Mov Financeira'!$A:$A,'DRE 2020'!S$1,'Dados Mov Financeira'!$B:$B,'DRE 2020'!S$2)</f>
        <v>0</v>
      </c>
      <c r="T98" s="91" t="n">
        <f aca="false">IFERROR(S98/S$5,0)</f>
        <v>0</v>
      </c>
      <c r="U98" s="96"/>
      <c r="V98" s="75" t="n">
        <f aca="false">SUMIFS('Dados Mov Financeira'!$N:$N,'Dados Mov Financeira'!$O:$O,'DRE 2020'!$B98,'Dados Mov Financeira'!$A:$A,'DRE 2020'!V$1,'Dados Mov Financeira'!$B:$B,'DRE 2020'!V$2)</f>
        <v>0</v>
      </c>
      <c r="W98" s="91" t="n">
        <f aca="false">IFERROR(V98/V$5,0)</f>
        <v>0</v>
      </c>
      <c r="X98" s="96"/>
      <c r="Y98" s="75" t="n">
        <f aca="false">SUMIFS('Dados Mov Financeira'!$N:$N,'Dados Mov Financeira'!$O:$O,'DRE 2020'!$B98,'Dados Mov Financeira'!$A:$A,'DRE 2020'!Y$1,'Dados Mov Financeira'!$B:$B,'DRE 2020'!Y$2)</f>
        <v>0</v>
      </c>
      <c r="Z98" s="91" t="n">
        <f aca="false">IFERROR(Y98/Y$5,0)</f>
        <v>0</v>
      </c>
      <c r="AA98" s="96"/>
      <c r="AB98" s="75" t="n">
        <f aca="false">SUMIFS('Dados Mov Financeira'!$N:$N,'Dados Mov Financeira'!$O:$O,'DRE 2020'!$B98,'Dados Mov Financeira'!$A:$A,'DRE 2020'!AB$1,'Dados Mov Financeira'!$B:$B,'DRE 2020'!AB$2)</f>
        <v>0</v>
      </c>
      <c r="AC98" s="91" t="n">
        <f aca="false">IFERROR(AB98/AB$5,0)</f>
        <v>0</v>
      </c>
      <c r="AD98" s="96"/>
      <c r="AE98" s="75" t="n">
        <f aca="false">SUMIFS('Dados Mov Financeira'!$N:$N,'Dados Mov Financeira'!$O:$O,'DRE 2020'!$B98,'Dados Mov Financeira'!$A:$A,'DRE 2020'!AE$1,'Dados Mov Financeira'!$B:$B,'DRE 2020'!AE$2)</f>
        <v>0</v>
      </c>
      <c r="AF98" s="91" t="n">
        <f aca="false">IFERROR(AE98/AE$5,0)</f>
        <v>0</v>
      </c>
      <c r="AG98" s="96"/>
      <c r="AH98" s="75" t="n">
        <f aca="false">SUMIFS('Dados Mov Financeira'!$N:$N,'Dados Mov Financeira'!$O:$O,'DRE 2020'!$B98,'Dados Mov Financeira'!$A:$A,'DRE 2020'!AH$1,'Dados Mov Financeira'!$B:$B,'DRE 2020'!AH$2)</f>
        <v>0</v>
      </c>
      <c r="AI98" s="91" t="n">
        <f aca="false">IFERROR(AH98/AH$5,0)</f>
        <v>0</v>
      </c>
      <c r="AJ98" s="96"/>
      <c r="AK98" s="75" t="n">
        <f aca="false">SUMIFS('Dados Mov Financeira'!$N:$N,'Dados Mov Financeira'!$O:$O,'DRE 2020'!$B98,'Dados Mov Financeira'!$A:$A,'DRE 2020'!AK$1,'Dados Mov Financeira'!$B:$B,'DRE 2020'!AK$2)</f>
        <v>0</v>
      </c>
      <c r="AL98" s="91" t="n">
        <f aca="false">IFERROR(AK98/AK$5,0)</f>
        <v>0</v>
      </c>
      <c r="AM98" s="96"/>
      <c r="AN98" s="92" t="n">
        <f aca="false">SUM(D98,G98,J98,M98,P98,S98,V98,Y98,AB98,AE98,AH98,AK98)</f>
        <v>0</v>
      </c>
      <c r="AO98" s="91" t="n">
        <f aca="false">IFERROR(AN98/AN$5,0)</f>
        <v>0</v>
      </c>
      <c r="AP98" s="96"/>
      <c r="AQ98" s="93" t="n">
        <f aca="false">AN98/$AR$1</f>
        <v>0</v>
      </c>
      <c r="AR98" s="94" t="n">
        <f aca="false">IFERROR(AQ98/AQ$5,0)</f>
        <v>0</v>
      </c>
      <c r="AS98" s="96"/>
      <c r="AT98" s="111"/>
    </row>
    <row r="99" customFormat="false" ht="14.25" hidden="true" customHeight="false" outlineLevel="1" collapsed="false">
      <c r="B99" s="89" t="s">
        <v>120</v>
      </c>
      <c r="C99" s="96"/>
      <c r="D99" s="75" t="n">
        <f aca="false">SUMIFS('Dados Mov Financeira'!$N:$N,'Dados Mov Financeira'!$O:$O,'DRE 2020'!$B99,'Dados Mov Financeira'!$A:$A,'DRE 2020'!D$1,'Dados Mov Financeira'!$B:$B,'DRE 2020'!D$2)</f>
        <v>0</v>
      </c>
      <c r="E99" s="91" t="n">
        <f aca="false">IFERROR(D99/D$5,0)</f>
        <v>0</v>
      </c>
      <c r="F99" s="96"/>
      <c r="G99" s="75" t="n">
        <f aca="false">SUMIFS('Dados Mov Financeira'!$N:$N,'Dados Mov Financeira'!$O:$O,'DRE 2020'!$B99,'Dados Mov Financeira'!$A:$A,'DRE 2020'!G$1,'Dados Mov Financeira'!$B:$B,'DRE 2020'!G$2)</f>
        <v>0</v>
      </c>
      <c r="H99" s="91" t="n">
        <f aca="false">IFERROR(G99/G$5,0)</f>
        <v>0</v>
      </c>
      <c r="I99" s="96"/>
      <c r="J99" s="75" t="n">
        <f aca="false">SUMIFS('Dados Mov Financeira'!$N:$N,'Dados Mov Financeira'!$O:$O,'DRE 2020'!$B99,'Dados Mov Financeira'!$A:$A,'DRE 2020'!J$1,'Dados Mov Financeira'!$B:$B,'DRE 2020'!J$2)</f>
        <v>0</v>
      </c>
      <c r="K99" s="91" t="n">
        <f aca="false">IFERROR(J99/J$5,0)</f>
        <v>0</v>
      </c>
      <c r="L99" s="96"/>
      <c r="M99" s="75" t="n">
        <f aca="false">SUMIFS('Dados Mov Financeira'!$N:$N,'Dados Mov Financeira'!$O:$O,'DRE 2020'!$B99,'Dados Mov Financeira'!$A:$A,'DRE 2020'!M$1,'Dados Mov Financeira'!$B:$B,'DRE 2020'!M$2)</f>
        <v>0</v>
      </c>
      <c r="N99" s="91" t="n">
        <f aca="false">IFERROR(M99/M$5,0)</f>
        <v>0</v>
      </c>
      <c r="O99" s="96"/>
      <c r="P99" s="75" t="n">
        <f aca="false">SUMIFS('Dados Mov Financeira'!$N:$N,'Dados Mov Financeira'!$O:$O,'DRE 2020'!$B99,'Dados Mov Financeira'!$A:$A,'DRE 2020'!P$1,'Dados Mov Financeira'!$B:$B,'DRE 2020'!P$2)</f>
        <v>0</v>
      </c>
      <c r="Q99" s="91" t="n">
        <f aca="false">IFERROR(P99/P$5,0)</f>
        <v>0</v>
      </c>
      <c r="R99" s="96"/>
      <c r="S99" s="75" t="n">
        <f aca="false">SUMIFS('Dados Mov Financeira'!$N:$N,'Dados Mov Financeira'!$O:$O,'DRE 2020'!$B99,'Dados Mov Financeira'!$A:$A,'DRE 2020'!S$1,'Dados Mov Financeira'!$B:$B,'DRE 2020'!S$2)</f>
        <v>0</v>
      </c>
      <c r="T99" s="91" t="n">
        <f aca="false">IFERROR(S99/S$5,0)</f>
        <v>0</v>
      </c>
      <c r="U99" s="96"/>
      <c r="V99" s="75" t="n">
        <f aca="false">SUMIFS('Dados Mov Financeira'!$N:$N,'Dados Mov Financeira'!$O:$O,'DRE 2020'!$B99,'Dados Mov Financeira'!$A:$A,'DRE 2020'!V$1,'Dados Mov Financeira'!$B:$B,'DRE 2020'!V$2)</f>
        <v>0</v>
      </c>
      <c r="W99" s="91" t="n">
        <f aca="false">IFERROR(V99/V$5,0)</f>
        <v>0</v>
      </c>
      <c r="X99" s="96"/>
      <c r="Y99" s="75" t="n">
        <f aca="false">SUMIFS('Dados Mov Financeira'!$N:$N,'Dados Mov Financeira'!$O:$O,'DRE 2020'!$B99,'Dados Mov Financeira'!$A:$A,'DRE 2020'!Y$1,'Dados Mov Financeira'!$B:$B,'DRE 2020'!Y$2)</f>
        <v>0</v>
      </c>
      <c r="Z99" s="91" t="n">
        <f aca="false">IFERROR(Y99/Y$5,0)</f>
        <v>0</v>
      </c>
      <c r="AA99" s="96"/>
      <c r="AB99" s="75" t="n">
        <f aca="false">SUMIFS('Dados Mov Financeira'!$N:$N,'Dados Mov Financeira'!$O:$O,'DRE 2020'!$B99,'Dados Mov Financeira'!$A:$A,'DRE 2020'!AB$1,'Dados Mov Financeira'!$B:$B,'DRE 2020'!AB$2)</f>
        <v>0</v>
      </c>
      <c r="AC99" s="91" t="n">
        <f aca="false">IFERROR(AB99/AB$5,0)</f>
        <v>0</v>
      </c>
      <c r="AD99" s="96"/>
      <c r="AE99" s="75" t="n">
        <f aca="false">SUMIFS('Dados Mov Financeira'!$N:$N,'Dados Mov Financeira'!$O:$O,'DRE 2020'!$B99,'Dados Mov Financeira'!$A:$A,'DRE 2020'!AE$1,'Dados Mov Financeira'!$B:$B,'DRE 2020'!AE$2)</f>
        <v>0</v>
      </c>
      <c r="AF99" s="91" t="n">
        <f aca="false">IFERROR(AE99/AE$5,0)</f>
        <v>0</v>
      </c>
      <c r="AG99" s="96"/>
      <c r="AH99" s="75" t="n">
        <f aca="false">SUMIFS('Dados Mov Financeira'!$N:$N,'Dados Mov Financeira'!$O:$O,'DRE 2020'!$B99,'Dados Mov Financeira'!$A:$A,'DRE 2020'!AH$1,'Dados Mov Financeira'!$B:$B,'DRE 2020'!AH$2)</f>
        <v>0</v>
      </c>
      <c r="AI99" s="91" t="n">
        <f aca="false">IFERROR(AH99/AH$5,0)</f>
        <v>0</v>
      </c>
      <c r="AJ99" s="96"/>
      <c r="AK99" s="75" t="n">
        <f aca="false">SUMIFS('Dados Mov Financeira'!$N:$N,'Dados Mov Financeira'!$O:$O,'DRE 2020'!$B99,'Dados Mov Financeira'!$A:$A,'DRE 2020'!AK$1,'Dados Mov Financeira'!$B:$B,'DRE 2020'!AK$2)</f>
        <v>0</v>
      </c>
      <c r="AL99" s="91" t="n">
        <f aca="false">IFERROR(AK99/AK$5,0)</f>
        <v>0</v>
      </c>
      <c r="AM99" s="96"/>
      <c r="AN99" s="92" t="n">
        <f aca="false">SUM(D99,G99,J99,M99,P99,S99,V99,Y99,AB99,AE99,AH99,AK99)</f>
        <v>0</v>
      </c>
      <c r="AO99" s="91" t="n">
        <f aca="false">IFERROR(AN99/AN$5,0)</f>
        <v>0</v>
      </c>
      <c r="AP99" s="96"/>
      <c r="AQ99" s="93" t="n">
        <f aca="false">AN99/$AR$1</f>
        <v>0</v>
      </c>
      <c r="AR99" s="94" t="n">
        <f aca="false">IFERROR(AQ99/AQ$5,0)</f>
        <v>0</v>
      </c>
      <c r="AS99" s="96"/>
      <c r="AT99" s="112"/>
    </row>
    <row r="100" s="63" customFormat="true" ht="14.25" hidden="false" customHeight="false" outlineLevel="0" collapsed="false">
      <c r="B100" s="106" t="s">
        <v>121</v>
      </c>
      <c r="D100" s="75" t="n">
        <f aca="false">SUM(D101:D108)</f>
        <v>0</v>
      </c>
      <c r="E100" s="88" t="n">
        <f aca="false">IFERROR(D100/D$5,0)</f>
        <v>0</v>
      </c>
      <c r="G100" s="75" t="n">
        <f aca="false">SUM(G101:G108)</f>
        <v>0</v>
      </c>
      <c r="H100" s="88" t="n">
        <f aca="false">IFERROR(G100/G$5,0)</f>
        <v>0</v>
      </c>
      <c r="J100" s="75" t="n">
        <f aca="false">SUM(J101:J108)</f>
        <v>0</v>
      </c>
      <c r="K100" s="88" t="n">
        <f aca="false">IFERROR(J100/J$5,0)</f>
        <v>0</v>
      </c>
      <c r="M100" s="75" t="n">
        <f aca="false">SUM(M101:M108)</f>
        <v>0</v>
      </c>
      <c r="N100" s="88" t="n">
        <f aca="false">IFERROR(M100/M$5,0)</f>
        <v>0</v>
      </c>
      <c r="P100" s="75" t="n">
        <f aca="false">SUM(P101:P108)</f>
        <v>0</v>
      </c>
      <c r="Q100" s="88" t="n">
        <f aca="false">IFERROR(P100/P$5,0)</f>
        <v>0</v>
      </c>
      <c r="S100" s="75" t="n">
        <f aca="false">SUM(S101:S108)</f>
        <v>0</v>
      </c>
      <c r="T100" s="88" t="n">
        <f aca="false">IFERROR(S100/S$5,0)</f>
        <v>0</v>
      </c>
      <c r="V100" s="75" t="n">
        <f aca="false">SUM(V101:V108)</f>
        <v>0</v>
      </c>
      <c r="W100" s="88" t="n">
        <f aca="false">IFERROR(V100/V$5,0)</f>
        <v>0</v>
      </c>
      <c r="Y100" s="75" t="n">
        <f aca="false">SUM(Y101:Y108)</f>
        <v>0</v>
      </c>
      <c r="Z100" s="88" t="n">
        <f aca="false">IFERROR(Y100/Y$5,0)</f>
        <v>0</v>
      </c>
      <c r="AB100" s="75" t="n">
        <f aca="false">SUM(AB101:AB108)</f>
        <v>0</v>
      </c>
      <c r="AC100" s="88" t="n">
        <f aca="false">IFERROR(AB100/AB$5,0)</f>
        <v>0</v>
      </c>
      <c r="AE100" s="75" t="n">
        <f aca="false">SUM(AE101:AE108)</f>
        <v>0</v>
      </c>
      <c r="AF100" s="88" t="n">
        <f aca="false">IFERROR(AE100/AE$5,0)</f>
        <v>0</v>
      </c>
      <c r="AH100" s="75" t="n">
        <f aca="false">SUM(AH101:AH108)</f>
        <v>0</v>
      </c>
      <c r="AI100" s="88" t="n">
        <f aca="false">IFERROR(AH100/AH$5,0)</f>
        <v>0</v>
      </c>
      <c r="AK100" s="75" t="n">
        <f aca="false">SUM(AK101:AK108)</f>
        <v>0</v>
      </c>
      <c r="AL100" s="88" t="n">
        <f aca="false">IFERROR(AK100/AK$5,0)</f>
        <v>0</v>
      </c>
      <c r="AN100" s="75" t="n">
        <f aca="false">SUM(D100,G100,J100,M100,P100,S100,V100,Y100,AB100,AE100,AH100,AK100)</f>
        <v>0</v>
      </c>
      <c r="AO100" s="88" t="n">
        <f aca="false">IFERROR(AN100/AN$5,0)</f>
        <v>0</v>
      </c>
      <c r="AQ100" s="77" t="n">
        <f aca="false">AN100/$AR$1</f>
        <v>0</v>
      </c>
      <c r="AR100" s="76" t="n">
        <f aca="false">IFERROR(AQ100/AQ$5,0)</f>
        <v>0</v>
      </c>
      <c r="AT100" s="78" t="n">
        <v>-0.1008</v>
      </c>
    </row>
    <row r="101" customFormat="false" ht="14.25" hidden="true" customHeight="false" outlineLevel="1" collapsed="false">
      <c r="B101" s="89" t="s">
        <v>122</v>
      </c>
      <c r="D101" s="75" t="n">
        <f aca="false">SUMIFS('Dados Mov Financeira'!$N:$N,'Dados Mov Financeira'!$O:$O,'DRE 2020'!$B101,'Dados Mov Financeira'!$A:$A,'DRE 2020'!D$1,'Dados Mov Financeira'!$B:$B,'DRE 2020'!D$2)</f>
        <v>0</v>
      </c>
      <c r="E101" s="91" t="n">
        <f aca="false">IFERROR(D101/D$5,0)</f>
        <v>0</v>
      </c>
      <c r="G101" s="75" t="n">
        <f aca="false">SUMIFS('Dados Mov Financeira'!$N:$N,'Dados Mov Financeira'!$O:$O,'DRE 2020'!$B101,'Dados Mov Financeira'!$A:$A,'DRE 2020'!G$1,'Dados Mov Financeira'!$B:$B,'DRE 2020'!G$2)</f>
        <v>0</v>
      </c>
      <c r="H101" s="91" t="n">
        <f aca="false">IFERROR(G101/G$5,0)</f>
        <v>0</v>
      </c>
      <c r="J101" s="75" t="n">
        <f aca="false">SUMIFS('Dados Mov Financeira'!$N:$N,'Dados Mov Financeira'!$O:$O,'DRE 2020'!$B101,'Dados Mov Financeira'!$A:$A,'DRE 2020'!J$1,'Dados Mov Financeira'!$B:$B,'DRE 2020'!J$2)</f>
        <v>0</v>
      </c>
      <c r="K101" s="91" t="n">
        <f aca="false">IFERROR(J101/J$5,0)</f>
        <v>0</v>
      </c>
      <c r="M101" s="75" t="n">
        <f aca="false">SUMIFS('Dados Mov Financeira'!$N:$N,'Dados Mov Financeira'!$O:$O,'DRE 2020'!$B101,'Dados Mov Financeira'!$A:$A,'DRE 2020'!M$1,'Dados Mov Financeira'!$B:$B,'DRE 2020'!M$2)</f>
        <v>0</v>
      </c>
      <c r="N101" s="91" t="n">
        <f aca="false">IFERROR(M101/M$5,0)</f>
        <v>0</v>
      </c>
      <c r="P101" s="75" t="n">
        <f aca="false">SUMIFS('Dados Mov Financeira'!$N:$N,'Dados Mov Financeira'!$O:$O,'DRE 2020'!$B101,'Dados Mov Financeira'!$A:$A,'DRE 2020'!P$1,'Dados Mov Financeira'!$B:$B,'DRE 2020'!P$2)</f>
        <v>0</v>
      </c>
      <c r="Q101" s="91" t="n">
        <f aca="false">IFERROR(P101/P$5,0)</f>
        <v>0</v>
      </c>
      <c r="S101" s="75" t="n">
        <f aca="false">SUMIFS('Dados Mov Financeira'!$N:$N,'Dados Mov Financeira'!$O:$O,'DRE 2020'!$B101,'Dados Mov Financeira'!$A:$A,'DRE 2020'!S$1,'Dados Mov Financeira'!$B:$B,'DRE 2020'!S$2)</f>
        <v>0</v>
      </c>
      <c r="T101" s="91" t="n">
        <f aca="false">IFERROR(S101/S$5,0)</f>
        <v>0</v>
      </c>
      <c r="V101" s="75" t="n">
        <f aca="false">SUMIFS('Dados Mov Financeira'!$N:$N,'Dados Mov Financeira'!$O:$O,'DRE 2020'!$B101,'Dados Mov Financeira'!$A:$A,'DRE 2020'!V$1,'Dados Mov Financeira'!$B:$B,'DRE 2020'!V$2)</f>
        <v>0</v>
      </c>
      <c r="W101" s="91" t="n">
        <f aca="false">IFERROR(V101/V$5,0)</f>
        <v>0</v>
      </c>
      <c r="Y101" s="75" t="n">
        <f aca="false">SUMIFS('Dados Mov Financeira'!$N:$N,'Dados Mov Financeira'!$O:$O,'DRE 2020'!$B101,'Dados Mov Financeira'!$A:$A,'DRE 2020'!Y$1,'Dados Mov Financeira'!$B:$B,'DRE 2020'!Y$2)</f>
        <v>0</v>
      </c>
      <c r="Z101" s="91" t="n">
        <f aca="false">IFERROR(Y101/Y$5,0)</f>
        <v>0</v>
      </c>
      <c r="AB101" s="75" t="n">
        <f aca="false">SUMIFS('Dados Mov Financeira'!$N:$N,'Dados Mov Financeira'!$O:$O,'DRE 2020'!$B101,'Dados Mov Financeira'!$A:$A,'DRE 2020'!AB$1,'Dados Mov Financeira'!$B:$B,'DRE 2020'!AB$2)</f>
        <v>0</v>
      </c>
      <c r="AC101" s="91" t="n">
        <f aca="false">IFERROR(AB101/AB$5,0)</f>
        <v>0</v>
      </c>
      <c r="AE101" s="75" t="n">
        <f aca="false">SUMIFS('Dados Mov Financeira'!$N:$N,'Dados Mov Financeira'!$O:$O,'DRE 2020'!$B101,'Dados Mov Financeira'!$A:$A,'DRE 2020'!AE$1,'Dados Mov Financeira'!$B:$B,'DRE 2020'!AE$2)</f>
        <v>0</v>
      </c>
      <c r="AF101" s="91" t="n">
        <f aca="false">IFERROR(AE101/AE$5,0)</f>
        <v>0</v>
      </c>
      <c r="AH101" s="75" t="n">
        <f aca="false">SUMIFS('Dados Mov Financeira'!$N:$N,'Dados Mov Financeira'!$O:$O,'DRE 2020'!$B101,'Dados Mov Financeira'!$A:$A,'DRE 2020'!AH$1,'Dados Mov Financeira'!$B:$B,'DRE 2020'!AH$2)</f>
        <v>0</v>
      </c>
      <c r="AI101" s="91" t="n">
        <f aca="false">IFERROR(AH101/AH$5,0)</f>
        <v>0</v>
      </c>
      <c r="AK101" s="75" t="n">
        <f aca="false">SUMIFS('Dados Mov Financeira'!$N:$N,'Dados Mov Financeira'!$O:$O,'DRE 2020'!$B101,'Dados Mov Financeira'!$A:$A,'DRE 2020'!AK$1,'Dados Mov Financeira'!$B:$B,'DRE 2020'!AK$2)</f>
        <v>0</v>
      </c>
      <c r="AL101" s="91" t="n">
        <f aca="false">IFERROR(AK101/AK$5,0)</f>
        <v>0</v>
      </c>
      <c r="AN101" s="92" t="n">
        <f aca="false">SUM(D101,G101,J101,M101,P101,S101,V101,Y101,AB101,AE101,AH101,AK101)</f>
        <v>0</v>
      </c>
      <c r="AO101" s="91" t="n">
        <f aca="false">IFERROR(AN101/AN$5,0)</f>
        <v>0</v>
      </c>
      <c r="AQ101" s="93" t="n">
        <f aca="false">AN101/$AR$1</f>
        <v>0</v>
      </c>
      <c r="AR101" s="94" t="n">
        <f aca="false">IFERROR(AQ101/AQ$5,0)</f>
        <v>0</v>
      </c>
      <c r="AT101" s="114"/>
    </row>
    <row r="102" customFormat="false" ht="14.25" hidden="true" customHeight="false" outlineLevel="1" collapsed="false">
      <c r="B102" s="89" t="s">
        <v>123</v>
      </c>
      <c r="D102" s="75" t="n">
        <f aca="false">SUMIFS('Dados Mov Financeira'!$N:$N,'Dados Mov Financeira'!$O:$O,'DRE 2020'!$B102,'Dados Mov Financeira'!$A:$A,'DRE 2020'!D$1,'Dados Mov Financeira'!$B:$B,'DRE 2020'!D$2)</f>
        <v>0</v>
      </c>
      <c r="E102" s="91" t="n">
        <f aca="false">IFERROR(D102/D$5,0)</f>
        <v>0</v>
      </c>
      <c r="G102" s="75" t="n">
        <f aca="false">SUMIFS('Dados Mov Financeira'!$N:$N,'Dados Mov Financeira'!$O:$O,'DRE 2020'!$B102,'Dados Mov Financeira'!$A:$A,'DRE 2020'!G$1,'Dados Mov Financeira'!$B:$B,'DRE 2020'!G$2)</f>
        <v>0</v>
      </c>
      <c r="H102" s="91" t="n">
        <f aca="false">IFERROR(G102/G$5,0)</f>
        <v>0</v>
      </c>
      <c r="J102" s="75" t="n">
        <f aca="false">SUMIFS('Dados Mov Financeira'!$N:$N,'Dados Mov Financeira'!$O:$O,'DRE 2020'!$B102,'Dados Mov Financeira'!$A:$A,'DRE 2020'!J$1,'Dados Mov Financeira'!$B:$B,'DRE 2020'!J$2)</f>
        <v>0</v>
      </c>
      <c r="K102" s="91" t="n">
        <f aca="false">IFERROR(J102/J$5,0)</f>
        <v>0</v>
      </c>
      <c r="M102" s="75" t="n">
        <f aca="false">SUMIFS('Dados Mov Financeira'!$N:$N,'Dados Mov Financeira'!$O:$O,'DRE 2020'!$B102,'Dados Mov Financeira'!$A:$A,'DRE 2020'!M$1,'Dados Mov Financeira'!$B:$B,'DRE 2020'!M$2)</f>
        <v>0</v>
      </c>
      <c r="N102" s="91" t="n">
        <f aca="false">IFERROR(M102/M$5,0)</f>
        <v>0</v>
      </c>
      <c r="P102" s="75" t="n">
        <f aca="false">SUMIFS('Dados Mov Financeira'!$N:$N,'Dados Mov Financeira'!$O:$O,'DRE 2020'!$B102,'Dados Mov Financeira'!$A:$A,'DRE 2020'!P$1,'Dados Mov Financeira'!$B:$B,'DRE 2020'!P$2)</f>
        <v>0</v>
      </c>
      <c r="Q102" s="91" t="n">
        <f aca="false">IFERROR(P102/P$5,0)</f>
        <v>0</v>
      </c>
      <c r="S102" s="75" t="n">
        <f aca="false">SUMIFS('Dados Mov Financeira'!$N:$N,'Dados Mov Financeira'!$O:$O,'DRE 2020'!$B102,'Dados Mov Financeira'!$A:$A,'DRE 2020'!S$1,'Dados Mov Financeira'!$B:$B,'DRE 2020'!S$2)</f>
        <v>0</v>
      </c>
      <c r="T102" s="91" t="n">
        <f aca="false">IFERROR(S102/S$5,0)</f>
        <v>0</v>
      </c>
      <c r="V102" s="75" t="n">
        <f aca="false">SUMIFS('Dados Mov Financeira'!$N:$N,'Dados Mov Financeira'!$O:$O,'DRE 2020'!$B102,'Dados Mov Financeira'!$A:$A,'DRE 2020'!V$1,'Dados Mov Financeira'!$B:$B,'DRE 2020'!V$2)</f>
        <v>0</v>
      </c>
      <c r="W102" s="91" t="n">
        <f aca="false">IFERROR(V102/V$5,0)</f>
        <v>0</v>
      </c>
      <c r="Y102" s="75" t="n">
        <f aca="false">SUMIFS('Dados Mov Financeira'!$N:$N,'Dados Mov Financeira'!$O:$O,'DRE 2020'!$B102,'Dados Mov Financeira'!$A:$A,'DRE 2020'!Y$1,'Dados Mov Financeira'!$B:$B,'DRE 2020'!Y$2)</f>
        <v>0</v>
      </c>
      <c r="Z102" s="91" t="n">
        <f aca="false">IFERROR(Y102/Y$5,0)</f>
        <v>0</v>
      </c>
      <c r="AB102" s="75" t="n">
        <f aca="false">SUMIFS('Dados Mov Financeira'!$N:$N,'Dados Mov Financeira'!$O:$O,'DRE 2020'!$B102,'Dados Mov Financeira'!$A:$A,'DRE 2020'!AB$1,'Dados Mov Financeira'!$B:$B,'DRE 2020'!AB$2)</f>
        <v>0</v>
      </c>
      <c r="AC102" s="91" t="n">
        <f aca="false">IFERROR(AB102/AB$5,0)</f>
        <v>0</v>
      </c>
      <c r="AE102" s="75" t="n">
        <f aca="false">SUMIFS('Dados Mov Financeira'!$N:$N,'Dados Mov Financeira'!$O:$O,'DRE 2020'!$B102,'Dados Mov Financeira'!$A:$A,'DRE 2020'!AE$1,'Dados Mov Financeira'!$B:$B,'DRE 2020'!AE$2)</f>
        <v>0</v>
      </c>
      <c r="AF102" s="91" t="n">
        <f aca="false">IFERROR(AE102/AE$5,0)</f>
        <v>0</v>
      </c>
      <c r="AH102" s="75" t="n">
        <f aca="false">SUMIFS('Dados Mov Financeira'!$N:$N,'Dados Mov Financeira'!$O:$O,'DRE 2020'!$B102,'Dados Mov Financeira'!$A:$A,'DRE 2020'!AH$1,'Dados Mov Financeira'!$B:$B,'DRE 2020'!AH$2)</f>
        <v>0</v>
      </c>
      <c r="AI102" s="91" t="n">
        <f aca="false">IFERROR(AH102/AH$5,0)</f>
        <v>0</v>
      </c>
      <c r="AK102" s="75" t="n">
        <f aca="false">SUMIFS('Dados Mov Financeira'!$N:$N,'Dados Mov Financeira'!$O:$O,'DRE 2020'!$B102,'Dados Mov Financeira'!$A:$A,'DRE 2020'!AK$1,'Dados Mov Financeira'!$B:$B,'DRE 2020'!AK$2)</f>
        <v>0</v>
      </c>
      <c r="AL102" s="91" t="n">
        <f aca="false">IFERROR(AK102/AK$5,0)</f>
        <v>0</v>
      </c>
      <c r="AN102" s="92" t="n">
        <f aca="false">SUM(D102,G102,J102,M102,P102,S102,V102,Y102,AB102,AE102,AH102,AK102)</f>
        <v>0</v>
      </c>
      <c r="AO102" s="91" t="n">
        <f aca="false">IFERROR(AN102/AN$5,0)</f>
        <v>0</v>
      </c>
      <c r="AQ102" s="93" t="n">
        <f aca="false">AN102/$AR$1</f>
        <v>0</v>
      </c>
      <c r="AR102" s="94" t="n">
        <f aca="false">IFERROR(AQ102/AQ$5,0)</f>
        <v>0</v>
      </c>
      <c r="AT102" s="115"/>
    </row>
    <row r="103" customFormat="false" ht="14.25" hidden="true" customHeight="false" outlineLevel="1" collapsed="false">
      <c r="B103" s="89" t="s">
        <v>124</v>
      </c>
      <c r="D103" s="75" t="n">
        <f aca="false">SUMIFS('Dados Mov Financeira'!$N:$N,'Dados Mov Financeira'!$O:$O,'DRE 2020'!$B103,'Dados Mov Financeira'!$A:$A,'DRE 2020'!D$1,'Dados Mov Financeira'!$B:$B,'DRE 2020'!D$2)</f>
        <v>0</v>
      </c>
      <c r="E103" s="91" t="n">
        <f aca="false">IFERROR(D103/D$5,0)</f>
        <v>0</v>
      </c>
      <c r="G103" s="75" t="n">
        <f aca="false">SUMIFS('Dados Mov Financeira'!$N:$N,'Dados Mov Financeira'!$O:$O,'DRE 2020'!$B103,'Dados Mov Financeira'!$A:$A,'DRE 2020'!G$1,'Dados Mov Financeira'!$B:$B,'DRE 2020'!G$2)</f>
        <v>0</v>
      </c>
      <c r="H103" s="91" t="n">
        <f aca="false">IFERROR(G103/G$5,0)</f>
        <v>0</v>
      </c>
      <c r="J103" s="75" t="n">
        <f aca="false">SUMIFS('Dados Mov Financeira'!$N:$N,'Dados Mov Financeira'!$O:$O,'DRE 2020'!$B103,'Dados Mov Financeira'!$A:$A,'DRE 2020'!J$1,'Dados Mov Financeira'!$B:$B,'DRE 2020'!J$2)</f>
        <v>0</v>
      </c>
      <c r="K103" s="91" t="n">
        <f aca="false">IFERROR(J103/J$5,0)</f>
        <v>0</v>
      </c>
      <c r="M103" s="75" t="n">
        <f aca="false">SUMIFS('Dados Mov Financeira'!$N:$N,'Dados Mov Financeira'!$O:$O,'DRE 2020'!$B103,'Dados Mov Financeira'!$A:$A,'DRE 2020'!M$1,'Dados Mov Financeira'!$B:$B,'DRE 2020'!M$2)</f>
        <v>0</v>
      </c>
      <c r="N103" s="91" t="n">
        <f aca="false">IFERROR(M103/M$5,0)</f>
        <v>0</v>
      </c>
      <c r="P103" s="75" t="n">
        <f aca="false">SUMIFS('Dados Mov Financeira'!$N:$N,'Dados Mov Financeira'!$O:$O,'DRE 2020'!$B103,'Dados Mov Financeira'!$A:$A,'DRE 2020'!P$1,'Dados Mov Financeira'!$B:$B,'DRE 2020'!P$2)</f>
        <v>0</v>
      </c>
      <c r="Q103" s="91" t="n">
        <f aca="false">IFERROR(P103/P$5,0)</f>
        <v>0</v>
      </c>
      <c r="S103" s="75" t="n">
        <f aca="false">SUMIFS('Dados Mov Financeira'!$N:$N,'Dados Mov Financeira'!$O:$O,'DRE 2020'!$B103,'Dados Mov Financeira'!$A:$A,'DRE 2020'!S$1,'Dados Mov Financeira'!$B:$B,'DRE 2020'!S$2)</f>
        <v>0</v>
      </c>
      <c r="T103" s="91" t="n">
        <f aca="false">IFERROR(S103/S$5,0)</f>
        <v>0</v>
      </c>
      <c r="V103" s="75" t="n">
        <f aca="false">SUMIFS('Dados Mov Financeira'!$N:$N,'Dados Mov Financeira'!$O:$O,'DRE 2020'!$B103,'Dados Mov Financeira'!$A:$A,'DRE 2020'!V$1,'Dados Mov Financeira'!$B:$B,'DRE 2020'!V$2)</f>
        <v>0</v>
      </c>
      <c r="W103" s="91" t="n">
        <f aca="false">IFERROR(V103/V$5,0)</f>
        <v>0</v>
      </c>
      <c r="Y103" s="75" t="n">
        <f aca="false">SUMIFS('Dados Mov Financeira'!$N:$N,'Dados Mov Financeira'!$O:$O,'DRE 2020'!$B103,'Dados Mov Financeira'!$A:$A,'DRE 2020'!Y$1,'Dados Mov Financeira'!$B:$B,'DRE 2020'!Y$2)</f>
        <v>0</v>
      </c>
      <c r="Z103" s="91" t="n">
        <f aca="false">IFERROR(Y103/Y$5,0)</f>
        <v>0</v>
      </c>
      <c r="AB103" s="75" t="n">
        <f aca="false">SUMIFS('Dados Mov Financeira'!$N:$N,'Dados Mov Financeira'!$O:$O,'DRE 2020'!$B103,'Dados Mov Financeira'!$A:$A,'DRE 2020'!AB$1,'Dados Mov Financeira'!$B:$B,'DRE 2020'!AB$2)</f>
        <v>0</v>
      </c>
      <c r="AC103" s="91" t="n">
        <f aca="false">IFERROR(AB103/AB$5,0)</f>
        <v>0</v>
      </c>
      <c r="AE103" s="75" t="n">
        <f aca="false">SUMIFS('Dados Mov Financeira'!$N:$N,'Dados Mov Financeira'!$O:$O,'DRE 2020'!$B103,'Dados Mov Financeira'!$A:$A,'DRE 2020'!AE$1,'Dados Mov Financeira'!$B:$B,'DRE 2020'!AE$2)</f>
        <v>0</v>
      </c>
      <c r="AF103" s="91" t="n">
        <f aca="false">IFERROR(AE103/AE$5,0)</f>
        <v>0</v>
      </c>
      <c r="AH103" s="75" t="n">
        <f aca="false">SUMIFS('Dados Mov Financeira'!$N:$N,'Dados Mov Financeira'!$O:$O,'DRE 2020'!$B103,'Dados Mov Financeira'!$A:$A,'DRE 2020'!AH$1,'Dados Mov Financeira'!$B:$B,'DRE 2020'!AH$2)</f>
        <v>0</v>
      </c>
      <c r="AI103" s="91" t="n">
        <f aca="false">IFERROR(AH103/AH$5,0)</f>
        <v>0</v>
      </c>
      <c r="AK103" s="75" t="n">
        <f aca="false">SUMIFS('Dados Mov Financeira'!$N:$N,'Dados Mov Financeira'!$O:$O,'DRE 2020'!$B103,'Dados Mov Financeira'!$A:$A,'DRE 2020'!AK$1,'Dados Mov Financeira'!$B:$B,'DRE 2020'!AK$2)</f>
        <v>0</v>
      </c>
      <c r="AL103" s="91" t="n">
        <f aca="false">IFERROR(AK103/AK$5,0)</f>
        <v>0</v>
      </c>
      <c r="AN103" s="92" t="n">
        <f aca="false">SUM(D103,G103,J103,M103,P103,S103,V103,Y103,AB103,AE103,AH103,AK103)</f>
        <v>0</v>
      </c>
      <c r="AO103" s="91" t="n">
        <f aca="false">IFERROR(AN103/AN$5,0)</f>
        <v>0</v>
      </c>
      <c r="AQ103" s="93" t="n">
        <f aca="false">AN103/$AR$1</f>
        <v>0</v>
      </c>
      <c r="AR103" s="94" t="n">
        <f aca="false">IFERROR(AQ103/AQ$5,0)</f>
        <v>0</v>
      </c>
      <c r="AT103" s="115"/>
    </row>
    <row r="104" customFormat="false" ht="14.25" hidden="true" customHeight="false" outlineLevel="1" collapsed="false">
      <c r="B104" s="89" t="s">
        <v>125</v>
      </c>
      <c r="D104" s="75" t="n">
        <f aca="false">SUMIFS('Dados Mov Financeira'!$N:$N,'Dados Mov Financeira'!$O:$O,'DRE 2020'!$B104,'Dados Mov Financeira'!$A:$A,'DRE 2020'!D$1,'Dados Mov Financeira'!$B:$B,'DRE 2020'!D$2)</f>
        <v>0</v>
      </c>
      <c r="E104" s="91" t="n">
        <f aca="false">IFERROR(D104/D$5,0)</f>
        <v>0</v>
      </c>
      <c r="G104" s="75" t="n">
        <f aca="false">SUMIFS('Dados Mov Financeira'!$N:$N,'Dados Mov Financeira'!$O:$O,'DRE 2020'!$B104,'Dados Mov Financeira'!$A:$A,'DRE 2020'!G$1,'Dados Mov Financeira'!$B:$B,'DRE 2020'!G$2)</f>
        <v>0</v>
      </c>
      <c r="H104" s="91" t="n">
        <f aca="false">IFERROR(G104/G$5,0)</f>
        <v>0</v>
      </c>
      <c r="J104" s="75" t="n">
        <f aca="false">SUMIFS('Dados Mov Financeira'!$N:$N,'Dados Mov Financeira'!$O:$O,'DRE 2020'!$B104,'Dados Mov Financeira'!$A:$A,'DRE 2020'!J$1,'Dados Mov Financeira'!$B:$B,'DRE 2020'!J$2)</f>
        <v>0</v>
      </c>
      <c r="K104" s="91" t="n">
        <f aca="false">IFERROR(J104/J$5,0)</f>
        <v>0</v>
      </c>
      <c r="M104" s="75" t="n">
        <f aca="false">SUMIFS('Dados Mov Financeira'!$N:$N,'Dados Mov Financeira'!$O:$O,'DRE 2020'!$B104,'Dados Mov Financeira'!$A:$A,'DRE 2020'!M$1,'Dados Mov Financeira'!$B:$B,'DRE 2020'!M$2)</f>
        <v>0</v>
      </c>
      <c r="N104" s="91" t="n">
        <f aca="false">IFERROR(M104/M$5,0)</f>
        <v>0</v>
      </c>
      <c r="P104" s="75" t="n">
        <f aca="false">SUMIFS('Dados Mov Financeira'!$N:$N,'Dados Mov Financeira'!$O:$O,'DRE 2020'!$B104,'Dados Mov Financeira'!$A:$A,'DRE 2020'!P$1,'Dados Mov Financeira'!$B:$B,'DRE 2020'!P$2)</f>
        <v>0</v>
      </c>
      <c r="Q104" s="91" t="n">
        <f aca="false">IFERROR(P104/P$5,0)</f>
        <v>0</v>
      </c>
      <c r="S104" s="75" t="n">
        <f aca="false">SUMIFS('Dados Mov Financeira'!$N:$N,'Dados Mov Financeira'!$O:$O,'DRE 2020'!$B104,'Dados Mov Financeira'!$A:$A,'DRE 2020'!S$1,'Dados Mov Financeira'!$B:$B,'DRE 2020'!S$2)</f>
        <v>0</v>
      </c>
      <c r="T104" s="91" t="n">
        <f aca="false">IFERROR(S104/S$5,0)</f>
        <v>0</v>
      </c>
      <c r="V104" s="75" t="n">
        <f aca="false">SUMIFS('Dados Mov Financeira'!$N:$N,'Dados Mov Financeira'!$O:$O,'DRE 2020'!$B104,'Dados Mov Financeira'!$A:$A,'DRE 2020'!V$1,'Dados Mov Financeira'!$B:$B,'DRE 2020'!V$2)</f>
        <v>0</v>
      </c>
      <c r="W104" s="91" t="n">
        <f aca="false">IFERROR(V104/V$5,0)</f>
        <v>0</v>
      </c>
      <c r="Y104" s="75" t="n">
        <f aca="false">SUMIFS('Dados Mov Financeira'!$N:$N,'Dados Mov Financeira'!$O:$O,'DRE 2020'!$B104,'Dados Mov Financeira'!$A:$A,'DRE 2020'!Y$1,'Dados Mov Financeira'!$B:$B,'DRE 2020'!Y$2)</f>
        <v>0</v>
      </c>
      <c r="Z104" s="91" t="n">
        <f aca="false">IFERROR(Y104/Y$5,0)</f>
        <v>0</v>
      </c>
      <c r="AB104" s="75" t="n">
        <f aca="false">SUMIFS('Dados Mov Financeira'!$N:$N,'Dados Mov Financeira'!$O:$O,'DRE 2020'!$B104,'Dados Mov Financeira'!$A:$A,'DRE 2020'!AB$1,'Dados Mov Financeira'!$B:$B,'DRE 2020'!AB$2)</f>
        <v>0</v>
      </c>
      <c r="AC104" s="91" t="n">
        <f aca="false">IFERROR(AB104/AB$5,0)</f>
        <v>0</v>
      </c>
      <c r="AE104" s="75" t="n">
        <f aca="false">SUMIFS('Dados Mov Financeira'!$N:$N,'Dados Mov Financeira'!$O:$O,'DRE 2020'!$B104,'Dados Mov Financeira'!$A:$A,'DRE 2020'!AE$1,'Dados Mov Financeira'!$B:$B,'DRE 2020'!AE$2)</f>
        <v>0</v>
      </c>
      <c r="AF104" s="91" t="n">
        <f aca="false">IFERROR(AE104/AE$5,0)</f>
        <v>0</v>
      </c>
      <c r="AH104" s="75" t="n">
        <f aca="false">SUMIFS('Dados Mov Financeira'!$N:$N,'Dados Mov Financeira'!$O:$O,'DRE 2020'!$B104,'Dados Mov Financeira'!$A:$A,'DRE 2020'!AH$1,'Dados Mov Financeira'!$B:$B,'DRE 2020'!AH$2)</f>
        <v>0</v>
      </c>
      <c r="AI104" s="91" t="n">
        <f aca="false">IFERROR(AH104/AH$5,0)</f>
        <v>0</v>
      </c>
      <c r="AK104" s="75" t="n">
        <f aca="false">SUMIFS('Dados Mov Financeira'!$N:$N,'Dados Mov Financeira'!$O:$O,'DRE 2020'!$B104,'Dados Mov Financeira'!$A:$A,'DRE 2020'!AK$1,'Dados Mov Financeira'!$B:$B,'DRE 2020'!AK$2)</f>
        <v>0</v>
      </c>
      <c r="AL104" s="91" t="n">
        <f aca="false">IFERROR(AK104/AK$5,0)</f>
        <v>0</v>
      </c>
      <c r="AN104" s="92" t="n">
        <f aca="false">SUM(D104,G104,J104,M104,P104,S104,V104,Y104,AB104,AE104,AH104,AK104)</f>
        <v>0</v>
      </c>
      <c r="AO104" s="91" t="n">
        <f aca="false">IFERROR(AN104/AN$5,0)</f>
        <v>0</v>
      </c>
      <c r="AQ104" s="93" t="n">
        <f aca="false">AN104/$AR$1</f>
        <v>0</v>
      </c>
      <c r="AR104" s="94" t="n">
        <f aca="false">IFERROR(AQ104/AQ$5,0)</f>
        <v>0</v>
      </c>
      <c r="AT104" s="115"/>
    </row>
    <row r="105" customFormat="false" ht="14.25" hidden="true" customHeight="false" outlineLevel="1" collapsed="false">
      <c r="B105" s="89" t="s">
        <v>126</v>
      </c>
      <c r="D105" s="75" t="n">
        <f aca="false">SUMIFS('Dados Mov Financeira'!$N:$N,'Dados Mov Financeira'!$O:$O,'DRE 2020'!$B105,'Dados Mov Financeira'!$A:$A,'DRE 2020'!D$1,'Dados Mov Financeira'!$B:$B,'DRE 2020'!D$2)</f>
        <v>0</v>
      </c>
      <c r="E105" s="91" t="n">
        <f aca="false">IFERROR(D105/D$5,0)</f>
        <v>0</v>
      </c>
      <c r="G105" s="75" t="n">
        <f aca="false">SUMIFS('Dados Mov Financeira'!$N:$N,'Dados Mov Financeira'!$O:$O,'DRE 2020'!$B105,'Dados Mov Financeira'!$A:$A,'DRE 2020'!G$1,'Dados Mov Financeira'!$B:$B,'DRE 2020'!G$2)</f>
        <v>0</v>
      </c>
      <c r="H105" s="91" t="n">
        <f aca="false">IFERROR(G105/G$5,0)</f>
        <v>0</v>
      </c>
      <c r="J105" s="75" t="n">
        <f aca="false">SUMIFS('Dados Mov Financeira'!$N:$N,'Dados Mov Financeira'!$O:$O,'DRE 2020'!$B105,'Dados Mov Financeira'!$A:$A,'DRE 2020'!J$1,'Dados Mov Financeira'!$B:$B,'DRE 2020'!J$2)</f>
        <v>0</v>
      </c>
      <c r="K105" s="91" t="n">
        <f aca="false">IFERROR(J105/J$5,0)</f>
        <v>0</v>
      </c>
      <c r="M105" s="75" t="n">
        <f aca="false">SUMIFS('Dados Mov Financeira'!$N:$N,'Dados Mov Financeira'!$O:$O,'DRE 2020'!$B105,'Dados Mov Financeira'!$A:$A,'DRE 2020'!M$1,'Dados Mov Financeira'!$B:$B,'DRE 2020'!M$2)</f>
        <v>0</v>
      </c>
      <c r="N105" s="91" t="n">
        <f aca="false">IFERROR(M105/M$5,0)</f>
        <v>0</v>
      </c>
      <c r="P105" s="75" t="n">
        <f aca="false">SUMIFS('Dados Mov Financeira'!$N:$N,'Dados Mov Financeira'!$O:$O,'DRE 2020'!$B105,'Dados Mov Financeira'!$A:$A,'DRE 2020'!P$1,'Dados Mov Financeira'!$B:$B,'DRE 2020'!P$2)</f>
        <v>0</v>
      </c>
      <c r="Q105" s="91" t="n">
        <f aca="false">IFERROR(P105/P$5,0)</f>
        <v>0</v>
      </c>
      <c r="S105" s="75" t="n">
        <f aca="false">SUMIFS('Dados Mov Financeira'!$N:$N,'Dados Mov Financeira'!$O:$O,'DRE 2020'!$B105,'Dados Mov Financeira'!$A:$A,'DRE 2020'!S$1,'Dados Mov Financeira'!$B:$B,'DRE 2020'!S$2)</f>
        <v>0</v>
      </c>
      <c r="T105" s="91" t="n">
        <f aca="false">IFERROR(S105/S$5,0)</f>
        <v>0</v>
      </c>
      <c r="V105" s="75" t="n">
        <f aca="false">SUMIFS('Dados Mov Financeira'!$N:$N,'Dados Mov Financeira'!$O:$O,'DRE 2020'!$B105,'Dados Mov Financeira'!$A:$A,'DRE 2020'!V$1,'Dados Mov Financeira'!$B:$B,'DRE 2020'!V$2)</f>
        <v>0</v>
      </c>
      <c r="W105" s="91" t="n">
        <f aca="false">IFERROR(V105/V$5,0)</f>
        <v>0</v>
      </c>
      <c r="Y105" s="75" t="n">
        <f aca="false">SUMIFS('Dados Mov Financeira'!$N:$N,'Dados Mov Financeira'!$O:$O,'DRE 2020'!$B105,'Dados Mov Financeira'!$A:$A,'DRE 2020'!Y$1,'Dados Mov Financeira'!$B:$B,'DRE 2020'!Y$2)</f>
        <v>0</v>
      </c>
      <c r="Z105" s="91" t="n">
        <f aca="false">IFERROR(Y105/Y$5,0)</f>
        <v>0</v>
      </c>
      <c r="AB105" s="75" t="n">
        <f aca="false">SUMIFS('Dados Mov Financeira'!$N:$N,'Dados Mov Financeira'!$O:$O,'DRE 2020'!$B105,'Dados Mov Financeira'!$A:$A,'DRE 2020'!AB$1,'Dados Mov Financeira'!$B:$B,'DRE 2020'!AB$2)</f>
        <v>0</v>
      </c>
      <c r="AC105" s="91" t="n">
        <f aca="false">IFERROR(AB105/AB$5,0)</f>
        <v>0</v>
      </c>
      <c r="AE105" s="75" t="n">
        <f aca="false">SUMIFS('Dados Mov Financeira'!$N:$N,'Dados Mov Financeira'!$O:$O,'DRE 2020'!$B105,'Dados Mov Financeira'!$A:$A,'DRE 2020'!AE$1,'Dados Mov Financeira'!$B:$B,'DRE 2020'!AE$2)</f>
        <v>0</v>
      </c>
      <c r="AF105" s="91" t="n">
        <f aca="false">IFERROR(AE105/AE$5,0)</f>
        <v>0</v>
      </c>
      <c r="AH105" s="75" t="n">
        <f aca="false">SUMIFS('Dados Mov Financeira'!$N:$N,'Dados Mov Financeira'!$O:$O,'DRE 2020'!$B105,'Dados Mov Financeira'!$A:$A,'DRE 2020'!AH$1,'Dados Mov Financeira'!$B:$B,'DRE 2020'!AH$2)</f>
        <v>0</v>
      </c>
      <c r="AI105" s="91" t="n">
        <f aca="false">IFERROR(AH105/AH$5,0)</f>
        <v>0</v>
      </c>
      <c r="AK105" s="75" t="n">
        <f aca="false">SUMIFS('Dados Mov Financeira'!$N:$N,'Dados Mov Financeira'!$O:$O,'DRE 2020'!$B105,'Dados Mov Financeira'!$A:$A,'DRE 2020'!AK$1,'Dados Mov Financeira'!$B:$B,'DRE 2020'!AK$2)</f>
        <v>0</v>
      </c>
      <c r="AL105" s="91" t="n">
        <f aca="false">IFERROR(AK105/AK$5,0)</f>
        <v>0</v>
      </c>
      <c r="AN105" s="92" t="n">
        <f aca="false">SUM(D105,G105,J105,M105,P105,S105,V105,Y105,AB105,AE105,AH105,AK105)</f>
        <v>0</v>
      </c>
      <c r="AO105" s="91" t="n">
        <f aca="false">IFERROR(AN105/AN$5,0)</f>
        <v>0</v>
      </c>
      <c r="AQ105" s="93" t="n">
        <f aca="false">AN105/$AR$1</f>
        <v>0</v>
      </c>
      <c r="AR105" s="94" t="n">
        <f aca="false">IFERROR(AQ105/AQ$5,0)</f>
        <v>0</v>
      </c>
      <c r="AT105" s="115"/>
    </row>
    <row r="106" customFormat="false" ht="14.25" hidden="true" customHeight="false" outlineLevel="1" collapsed="false">
      <c r="B106" s="89" t="s">
        <v>127</v>
      </c>
      <c r="D106" s="75" t="n">
        <f aca="false">SUMIFS('Dados Mov Financeira'!$N:$N,'Dados Mov Financeira'!$O:$O,'DRE 2020'!$B106,'Dados Mov Financeira'!$A:$A,'DRE 2020'!D$1,'Dados Mov Financeira'!$B:$B,'DRE 2020'!D$2)</f>
        <v>0</v>
      </c>
      <c r="E106" s="91" t="n">
        <f aca="false">IFERROR(D106/D$5,0)</f>
        <v>0</v>
      </c>
      <c r="G106" s="75" t="n">
        <f aca="false">SUMIFS('Dados Mov Financeira'!$N:$N,'Dados Mov Financeira'!$O:$O,'DRE 2020'!$B106,'Dados Mov Financeira'!$A:$A,'DRE 2020'!G$1,'Dados Mov Financeira'!$B:$B,'DRE 2020'!G$2)</f>
        <v>0</v>
      </c>
      <c r="H106" s="91" t="n">
        <f aca="false">IFERROR(G106/G$5,0)</f>
        <v>0</v>
      </c>
      <c r="J106" s="75" t="n">
        <f aca="false">SUMIFS('Dados Mov Financeira'!$N:$N,'Dados Mov Financeira'!$O:$O,'DRE 2020'!$B106,'Dados Mov Financeira'!$A:$A,'DRE 2020'!J$1,'Dados Mov Financeira'!$B:$B,'DRE 2020'!J$2)</f>
        <v>0</v>
      </c>
      <c r="K106" s="91" t="n">
        <f aca="false">IFERROR(J106/J$5,0)</f>
        <v>0</v>
      </c>
      <c r="M106" s="75" t="n">
        <f aca="false">SUMIFS('Dados Mov Financeira'!$N:$N,'Dados Mov Financeira'!$O:$O,'DRE 2020'!$B106,'Dados Mov Financeira'!$A:$A,'DRE 2020'!M$1,'Dados Mov Financeira'!$B:$B,'DRE 2020'!M$2)</f>
        <v>0</v>
      </c>
      <c r="N106" s="91" t="n">
        <f aca="false">IFERROR(M106/M$5,0)</f>
        <v>0</v>
      </c>
      <c r="P106" s="75" t="n">
        <f aca="false">SUMIFS('Dados Mov Financeira'!$N:$N,'Dados Mov Financeira'!$O:$O,'DRE 2020'!$B106,'Dados Mov Financeira'!$A:$A,'DRE 2020'!P$1,'Dados Mov Financeira'!$B:$B,'DRE 2020'!P$2)</f>
        <v>0</v>
      </c>
      <c r="Q106" s="91" t="n">
        <f aca="false">IFERROR(P106/P$5,0)</f>
        <v>0</v>
      </c>
      <c r="S106" s="75" t="n">
        <f aca="false">SUMIFS('Dados Mov Financeira'!$N:$N,'Dados Mov Financeira'!$O:$O,'DRE 2020'!$B106,'Dados Mov Financeira'!$A:$A,'DRE 2020'!S$1,'Dados Mov Financeira'!$B:$B,'DRE 2020'!S$2)</f>
        <v>0</v>
      </c>
      <c r="T106" s="91" t="n">
        <f aca="false">IFERROR(S106/S$5,0)</f>
        <v>0</v>
      </c>
      <c r="V106" s="75" t="n">
        <f aca="false">SUMIFS('Dados Mov Financeira'!$N:$N,'Dados Mov Financeira'!$O:$O,'DRE 2020'!$B106,'Dados Mov Financeira'!$A:$A,'DRE 2020'!V$1,'Dados Mov Financeira'!$B:$B,'DRE 2020'!V$2)</f>
        <v>0</v>
      </c>
      <c r="W106" s="91" t="n">
        <f aca="false">IFERROR(V106/V$5,0)</f>
        <v>0</v>
      </c>
      <c r="Y106" s="75" t="n">
        <f aca="false">SUMIFS('Dados Mov Financeira'!$N:$N,'Dados Mov Financeira'!$O:$O,'DRE 2020'!$B106,'Dados Mov Financeira'!$A:$A,'DRE 2020'!Y$1,'Dados Mov Financeira'!$B:$B,'DRE 2020'!Y$2)</f>
        <v>0</v>
      </c>
      <c r="Z106" s="91" t="n">
        <f aca="false">IFERROR(Y106/Y$5,0)</f>
        <v>0</v>
      </c>
      <c r="AB106" s="75" t="n">
        <f aca="false">SUMIFS('Dados Mov Financeira'!$N:$N,'Dados Mov Financeira'!$O:$O,'DRE 2020'!$B106,'Dados Mov Financeira'!$A:$A,'DRE 2020'!AB$1,'Dados Mov Financeira'!$B:$B,'DRE 2020'!AB$2)</f>
        <v>0</v>
      </c>
      <c r="AC106" s="91" t="n">
        <f aca="false">IFERROR(AB106/AB$5,0)</f>
        <v>0</v>
      </c>
      <c r="AE106" s="75" t="n">
        <f aca="false">SUMIFS('Dados Mov Financeira'!$N:$N,'Dados Mov Financeira'!$O:$O,'DRE 2020'!$B106,'Dados Mov Financeira'!$A:$A,'DRE 2020'!AE$1,'Dados Mov Financeira'!$B:$B,'DRE 2020'!AE$2)</f>
        <v>0</v>
      </c>
      <c r="AF106" s="91" t="n">
        <f aca="false">IFERROR(AE106/AE$5,0)</f>
        <v>0</v>
      </c>
      <c r="AH106" s="75" t="n">
        <f aca="false">SUMIFS('Dados Mov Financeira'!$N:$N,'Dados Mov Financeira'!$O:$O,'DRE 2020'!$B106,'Dados Mov Financeira'!$A:$A,'DRE 2020'!AH$1,'Dados Mov Financeira'!$B:$B,'DRE 2020'!AH$2)</f>
        <v>0</v>
      </c>
      <c r="AI106" s="91" t="n">
        <f aca="false">IFERROR(AH106/AH$5,0)</f>
        <v>0</v>
      </c>
      <c r="AK106" s="75" t="n">
        <f aca="false">SUMIFS('Dados Mov Financeira'!$N:$N,'Dados Mov Financeira'!$O:$O,'DRE 2020'!$B106,'Dados Mov Financeira'!$A:$A,'DRE 2020'!AK$1,'Dados Mov Financeira'!$B:$B,'DRE 2020'!AK$2)</f>
        <v>0</v>
      </c>
      <c r="AL106" s="91" t="n">
        <f aca="false">IFERROR(AK106/AK$5,0)</f>
        <v>0</v>
      </c>
      <c r="AN106" s="92" t="n">
        <f aca="false">SUM(D106,G106,J106,M106,P106,S106,V106,Y106,AB106,AE106,AH106,AK106)</f>
        <v>0</v>
      </c>
      <c r="AO106" s="91" t="n">
        <f aca="false">IFERROR(AN106/AN$5,0)</f>
        <v>0</v>
      </c>
      <c r="AQ106" s="93" t="n">
        <f aca="false">AN106/$AR$1</f>
        <v>0</v>
      </c>
      <c r="AR106" s="94" t="n">
        <f aca="false">IFERROR(AQ106/AQ$5,0)</f>
        <v>0</v>
      </c>
      <c r="AT106" s="115"/>
    </row>
    <row r="107" customFormat="false" ht="14.25" hidden="true" customHeight="false" outlineLevel="1" collapsed="false">
      <c r="B107" s="89" t="s">
        <v>128</v>
      </c>
      <c r="D107" s="75" t="n">
        <f aca="false">SUMIFS('Dados Mov Financeira'!$N:$N,'Dados Mov Financeira'!$O:$O,'DRE 2020'!$B107,'Dados Mov Financeira'!$A:$A,'DRE 2020'!D$1,'Dados Mov Financeira'!$B:$B,'DRE 2020'!D$2)</f>
        <v>0</v>
      </c>
      <c r="E107" s="91" t="n">
        <f aca="false">IFERROR(D107/D$5,0)</f>
        <v>0</v>
      </c>
      <c r="G107" s="75" t="n">
        <f aca="false">SUMIFS('Dados Mov Financeira'!$N:$N,'Dados Mov Financeira'!$O:$O,'DRE 2020'!$B107,'Dados Mov Financeira'!$A:$A,'DRE 2020'!G$1,'Dados Mov Financeira'!$B:$B,'DRE 2020'!G$2)</f>
        <v>0</v>
      </c>
      <c r="H107" s="91" t="n">
        <f aca="false">IFERROR(G107/G$5,0)</f>
        <v>0</v>
      </c>
      <c r="J107" s="75" t="n">
        <f aca="false">SUMIFS('Dados Mov Financeira'!$N:$N,'Dados Mov Financeira'!$O:$O,'DRE 2020'!$B107,'Dados Mov Financeira'!$A:$A,'DRE 2020'!J$1,'Dados Mov Financeira'!$B:$B,'DRE 2020'!J$2)</f>
        <v>0</v>
      </c>
      <c r="K107" s="91" t="n">
        <f aca="false">IFERROR(J107/J$5,0)</f>
        <v>0</v>
      </c>
      <c r="M107" s="75" t="n">
        <f aca="false">SUMIFS('Dados Mov Financeira'!$N:$N,'Dados Mov Financeira'!$O:$O,'DRE 2020'!$B107,'Dados Mov Financeira'!$A:$A,'DRE 2020'!M$1,'Dados Mov Financeira'!$B:$B,'DRE 2020'!M$2)</f>
        <v>0</v>
      </c>
      <c r="N107" s="91" t="n">
        <f aca="false">IFERROR(M107/M$5,0)</f>
        <v>0</v>
      </c>
      <c r="P107" s="75" t="n">
        <f aca="false">SUMIFS('Dados Mov Financeira'!$N:$N,'Dados Mov Financeira'!$O:$O,'DRE 2020'!$B107,'Dados Mov Financeira'!$A:$A,'DRE 2020'!P$1,'Dados Mov Financeira'!$B:$B,'DRE 2020'!P$2)</f>
        <v>0</v>
      </c>
      <c r="Q107" s="91" t="n">
        <f aca="false">IFERROR(P107/P$5,0)</f>
        <v>0</v>
      </c>
      <c r="S107" s="75" t="n">
        <f aca="false">SUMIFS('Dados Mov Financeira'!$N:$N,'Dados Mov Financeira'!$O:$O,'DRE 2020'!$B107,'Dados Mov Financeira'!$A:$A,'DRE 2020'!S$1,'Dados Mov Financeira'!$B:$B,'DRE 2020'!S$2)</f>
        <v>0</v>
      </c>
      <c r="T107" s="91" t="n">
        <f aca="false">IFERROR(S107/S$5,0)</f>
        <v>0</v>
      </c>
      <c r="V107" s="75" t="n">
        <f aca="false">SUMIFS('Dados Mov Financeira'!$N:$N,'Dados Mov Financeira'!$O:$O,'DRE 2020'!$B107,'Dados Mov Financeira'!$A:$A,'DRE 2020'!V$1,'Dados Mov Financeira'!$B:$B,'DRE 2020'!V$2)</f>
        <v>0</v>
      </c>
      <c r="W107" s="91" t="n">
        <f aca="false">IFERROR(V107/V$5,0)</f>
        <v>0</v>
      </c>
      <c r="Y107" s="75" t="n">
        <f aca="false">SUMIFS('Dados Mov Financeira'!$N:$N,'Dados Mov Financeira'!$O:$O,'DRE 2020'!$B107,'Dados Mov Financeira'!$A:$A,'DRE 2020'!Y$1,'Dados Mov Financeira'!$B:$B,'DRE 2020'!Y$2)</f>
        <v>0</v>
      </c>
      <c r="Z107" s="91" t="n">
        <f aca="false">IFERROR(Y107/Y$5,0)</f>
        <v>0</v>
      </c>
      <c r="AB107" s="75" t="n">
        <f aca="false">SUMIFS('Dados Mov Financeira'!$N:$N,'Dados Mov Financeira'!$O:$O,'DRE 2020'!$B107,'Dados Mov Financeira'!$A:$A,'DRE 2020'!AB$1,'Dados Mov Financeira'!$B:$B,'DRE 2020'!AB$2)</f>
        <v>0</v>
      </c>
      <c r="AC107" s="91" t="n">
        <f aca="false">IFERROR(AB107/AB$5,0)</f>
        <v>0</v>
      </c>
      <c r="AE107" s="75" t="n">
        <f aca="false">SUMIFS('Dados Mov Financeira'!$N:$N,'Dados Mov Financeira'!$O:$O,'DRE 2020'!$B107,'Dados Mov Financeira'!$A:$A,'DRE 2020'!AE$1,'Dados Mov Financeira'!$B:$B,'DRE 2020'!AE$2)</f>
        <v>0</v>
      </c>
      <c r="AF107" s="91" t="n">
        <f aca="false">IFERROR(AE107/AE$5,0)</f>
        <v>0</v>
      </c>
      <c r="AH107" s="75" t="n">
        <f aca="false">SUMIFS('Dados Mov Financeira'!$N:$N,'Dados Mov Financeira'!$O:$O,'DRE 2020'!$B107,'Dados Mov Financeira'!$A:$A,'DRE 2020'!AH$1,'Dados Mov Financeira'!$B:$B,'DRE 2020'!AH$2)</f>
        <v>0</v>
      </c>
      <c r="AI107" s="91" t="n">
        <f aca="false">IFERROR(AH107/AH$5,0)</f>
        <v>0</v>
      </c>
      <c r="AK107" s="75" t="n">
        <f aca="false">SUMIFS('Dados Mov Financeira'!$N:$N,'Dados Mov Financeira'!$O:$O,'DRE 2020'!$B107,'Dados Mov Financeira'!$A:$A,'DRE 2020'!AK$1,'Dados Mov Financeira'!$B:$B,'DRE 2020'!AK$2)</f>
        <v>0</v>
      </c>
      <c r="AL107" s="91" t="n">
        <f aca="false">IFERROR(AK107/AK$5,0)</f>
        <v>0</v>
      </c>
      <c r="AN107" s="92" t="n">
        <f aca="false">SUM(D107,G107,J107,M107,P107,S107,V107,Y107,AB107,AE107,AH107,AK107)</f>
        <v>0</v>
      </c>
      <c r="AO107" s="91" t="n">
        <f aca="false">IFERROR(AN107/AN$5,0)</f>
        <v>0</v>
      </c>
      <c r="AQ107" s="93" t="n">
        <f aca="false">AN107/$AR$1</f>
        <v>0</v>
      </c>
      <c r="AR107" s="94" t="n">
        <f aca="false">IFERROR(AQ107/AQ$5,0)</f>
        <v>0</v>
      </c>
      <c r="AT107" s="115"/>
    </row>
    <row r="108" customFormat="false" ht="14.25" hidden="true" customHeight="false" outlineLevel="1" collapsed="false">
      <c r="B108" s="89" t="s">
        <v>129</v>
      </c>
      <c r="D108" s="75" t="n">
        <f aca="false">SUMIFS('Dados Mov Financeira'!$N:$N,'Dados Mov Financeira'!$O:$O,'DRE 2020'!$B108,'Dados Mov Financeira'!$A:$A,'DRE 2020'!D$1,'Dados Mov Financeira'!$B:$B,'DRE 2020'!D$2)</f>
        <v>0</v>
      </c>
      <c r="E108" s="91" t="n">
        <f aca="false">IFERROR(D108/D$5,0)</f>
        <v>0</v>
      </c>
      <c r="G108" s="75" t="n">
        <f aca="false">SUMIFS('Dados Mov Financeira'!$N:$N,'Dados Mov Financeira'!$O:$O,'DRE 2020'!$B108,'Dados Mov Financeira'!$A:$A,'DRE 2020'!G$1,'Dados Mov Financeira'!$B:$B,'DRE 2020'!G$2)</f>
        <v>0</v>
      </c>
      <c r="H108" s="91" t="n">
        <f aca="false">IFERROR(G108/G$5,0)</f>
        <v>0</v>
      </c>
      <c r="J108" s="75" t="n">
        <f aca="false">SUMIFS('Dados Mov Financeira'!$N:$N,'Dados Mov Financeira'!$O:$O,'DRE 2020'!$B108,'Dados Mov Financeira'!$A:$A,'DRE 2020'!J$1,'Dados Mov Financeira'!$B:$B,'DRE 2020'!J$2)</f>
        <v>0</v>
      </c>
      <c r="K108" s="91" t="n">
        <f aca="false">IFERROR(J108/J$5,0)</f>
        <v>0</v>
      </c>
      <c r="M108" s="75" t="n">
        <f aca="false">SUMIFS('Dados Mov Financeira'!$N:$N,'Dados Mov Financeira'!$O:$O,'DRE 2020'!$B108,'Dados Mov Financeira'!$A:$A,'DRE 2020'!M$1,'Dados Mov Financeira'!$B:$B,'DRE 2020'!M$2)</f>
        <v>0</v>
      </c>
      <c r="N108" s="91" t="n">
        <f aca="false">IFERROR(M108/M$5,0)</f>
        <v>0</v>
      </c>
      <c r="P108" s="75" t="n">
        <f aca="false">SUMIFS('Dados Mov Financeira'!$N:$N,'Dados Mov Financeira'!$O:$O,'DRE 2020'!$B108,'Dados Mov Financeira'!$A:$A,'DRE 2020'!P$1,'Dados Mov Financeira'!$B:$B,'DRE 2020'!P$2)</f>
        <v>0</v>
      </c>
      <c r="Q108" s="91" t="n">
        <f aca="false">IFERROR(P108/P$5,0)</f>
        <v>0</v>
      </c>
      <c r="S108" s="75" t="n">
        <f aca="false">SUMIFS('Dados Mov Financeira'!$N:$N,'Dados Mov Financeira'!$O:$O,'DRE 2020'!$B108,'Dados Mov Financeira'!$A:$A,'DRE 2020'!S$1,'Dados Mov Financeira'!$B:$B,'DRE 2020'!S$2)</f>
        <v>0</v>
      </c>
      <c r="T108" s="91" t="n">
        <f aca="false">IFERROR(S108/S$5,0)</f>
        <v>0</v>
      </c>
      <c r="V108" s="75" t="n">
        <f aca="false">SUMIFS('Dados Mov Financeira'!$N:$N,'Dados Mov Financeira'!$O:$O,'DRE 2020'!$B108,'Dados Mov Financeira'!$A:$A,'DRE 2020'!V$1,'Dados Mov Financeira'!$B:$B,'DRE 2020'!V$2)</f>
        <v>0</v>
      </c>
      <c r="W108" s="91" t="n">
        <f aca="false">IFERROR(V108/V$5,0)</f>
        <v>0</v>
      </c>
      <c r="Y108" s="75" t="n">
        <f aca="false">SUMIFS('Dados Mov Financeira'!$N:$N,'Dados Mov Financeira'!$O:$O,'DRE 2020'!$B108,'Dados Mov Financeira'!$A:$A,'DRE 2020'!Y$1,'Dados Mov Financeira'!$B:$B,'DRE 2020'!Y$2)</f>
        <v>0</v>
      </c>
      <c r="Z108" s="91" t="n">
        <f aca="false">IFERROR(Y108/Y$5,0)</f>
        <v>0</v>
      </c>
      <c r="AB108" s="75" t="n">
        <f aca="false">SUMIFS('Dados Mov Financeira'!$N:$N,'Dados Mov Financeira'!$O:$O,'DRE 2020'!$B108,'Dados Mov Financeira'!$A:$A,'DRE 2020'!AB$1,'Dados Mov Financeira'!$B:$B,'DRE 2020'!AB$2)</f>
        <v>0</v>
      </c>
      <c r="AC108" s="91" t="n">
        <f aca="false">IFERROR(AB108/AB$5,0)</f>
        <v>0</v>
      </c>
      <c r="AE108" s="75" t="n">
        <f aca="false">SUMIFS('Dados Mov Financeira'!$N:$N,'Dados Mov Financeira'!$O:$O,'DRE 2020'!$B108,'Dados Mov Financeira'!$A:$A,'DRE 2020'!AE$1,'Dados Mov Financeira'!$B:$B,'DRE 2020'!AE$2)</f>
        <v>0</v>
      </c>
      <c r="AF108" s="91" t="n">
        <f aca="false">IFERROR(AE108/AE$5,0)</f>
        <v>0</v>
      </c>
      <c r="AH108" s="75" t="n">
        <f aca="false">SUMIFS('Dados Mov Financeira'!$N:$N,'Dados Mov Financeira'!$O:$O,'DRE 2020'!$B108,'Dados Mov Financeira'!$A:$A,'DRE 2020'!AH$1,'Dados Mov Financeira'!$B:$B,'DRE 2020'!AH$2)</f>
        <v>0</v>
      </c>
      <c r="AI108" s="91" t="n">
        <f aca="false">IFERROR(AH108/AH$5,0)</f>
        <v>0</v>
      </c>
      <c r="AK108" s="75" t="n">
        <f aca="false">SUMIFS('Dados Mov Financeira'!$N:$N,'Dados Mov Financeira'!$O:$O,'DRE 2020'!$B108,'Dados Mov Financeira'!$A:$A,'DRE 2020'!AK$1,'Dados Mov Financeira'!$B:$B,'DRE 2020'!AK$2)</f>
        <v>0</v>
      </c>
      <c r="AL108" s="91" t="n">
        <f aca="false">IFERROR(AK108/AK$5,0)</f>
        <v>0</v>
      </c>
      <c r="AN108" s="92" t="n">
        <f aca="false">SUM(D108,G108,J108,M108,P108,S108,V108,Y108,AB108,AE108,AH108,AK108)</f>
        <v>0</v>
      </c>
      <c r="AO108" s="91" t="n">
        <f aca="false">IFERROR(AN108/AN$5,0)</f>
        <v>0</v>
      </c>
      <c r="AQ108" s="93" t="n">
        <f aca="false">AN108/$AR$1</f>
        <v>0</v>
      </c>
      <c r="AR108" s="94" t="n">
        <f aca="false">IFERROR(AQ108/AQ$5,0)</f>
        <v>0</v>
      </c>
      <c r="AT108" s="116"/>
    </row>
    <row r="109" s="57" customFormat="true" ht="17.25" hidden="false" customHeight="true" outlineLevel="0" collapsed="false">
      <c r="B109" s="48"/>
      <c r="C109" s="58"/>
      <c r="D109" s="59"/>
      <c r="E109" s="60"/>
      <c r="F109" s="58"/>
      <c r="G109" s="59"/>
      <c r="H109" s="60"/>
      <c r="I109" s="58"/>
      <c r="J109" s="59"/>
      <c r="K109" s="60"/>
      <c r="L109" s="58"/>
      <c r="M109" s="59"/>
      <c r="N109" s="60"/>
      <c r="O109" s="58"/>
      <c r="P109" s="59"/>
      <c r="Q109" s="60"/>
      <c r="R109" s="58"/>
      <c r="S109" s="59"/>
      <c r="T109" s="60"/>
      <c r="U109" s="58"/>
      <c r="V109" s="59"/>
      <c r="W109" s="60"/>
      <c r="X109" s="58"/>
      <c r="Y109" s="59"/>
      <c r="Z109" s="60"/>
      <c r="AA109" s="58"/>
      <c r="AB109" s="59"/>
      <c r="AC109" s="60"/>
      <c r="AD109" s="58"/>
      <c r="AE109" s="59"/>
      <c r="AF109" s="60"/>
      <c r="AG109" s="58"/>
      <c r="AH109" s="59"/>
      <c r="AI109" s="60"/>
      <c r="AJ109" s="58"/>
      <c r="AK109" s="59"/>
      <c r="AL109" s="60"/>
      <c r="AM109" s="58"/>
      <c r="AN109" s="59"/>
      <c r="AO109" s="60"/>
      <c r="AP109" s="58"/>
      <c r="AQ109" s="61"/>
      <c r="AR109" s="60"/>
      <c r="AS109" s="58"/>
      <c r="AT109" s="62"/>
    </row>
    <row r="110" s="63" customFormat="true" ht="20.85" hidden="false" customHeight="false" outlineLevel="0" collapsed="false">
      <c r="A110" s="36"/>
      <c r="B110" s="102" t="s">
        <v>130</v>
      </c>
      <c r="D110" s="103" t="n">
        <f aca="false">D41+D43</f>
        <v>0</v>
      </c>
      <c r="E110" s="104" t="n">
        <f aca="false">IFERROR(D110/D$5,0)</f>
        <v>0</v>
      </c>
      <c r="G110" s="103" t="n">
        <f aca="false">G41+G43</f>
        <v>0</v>
      </c>
      <c r="H110" s="104" t="n">
        <f aca="false">IFERROR(G110/G$5,0)</f>
        <v>0</v>
      </c>
      <c r="J110" s="103" t="n">
        <f aca="false">J41+J43</f>
        <v>0</v>
      </c>
      <c r="K110" s="104" t="n">
        <f aca="false">IFERROR(J110/J$5,0)</f>
        <v>0</v>
      </c>
      <c r="M110" s="103" t="n">
        <f aca="false">M41+M43</f>
        <v>0</v>
      </c>
      <c r="N110" s="104" t="n">
        <f aca="false">IFERROR(M110/M$5,0)</f>
        <v>0</v>
      </c>
      <c r="P110" s="103" t="n">
        <f aca="false">P41+P43</f>
        <v>0</v>
      </c>
      <c r="Q110" s="104" t="n">
        <f aca="false">IFERROR(P110/P$5,0)</f>
        <v>0</v>
      </c>
      <c r="S110" s="103" t="n">
        <f aca="false">S41+S43</f>
        <v>0</v>
      </c>
      <c r="T110" s="104" t="n">
        <f aca="false">IFERROR(S110/S$5,0)</f>
        <v>0</v>
      </c>
      <c r="V110" s="103" t="n">
        <f aca="false">V41+V43</f>
        <v>0</v>
      </c>
      <c r="W110" s="104" t="n">
        <f aca="false">IFERROR(V110/V$5,0)</f>
        <v>0</v>
      </c>
      <c r="Y110" s="103" t="n">
        <f aca="false">Y41+Y43</f>
        <v>0</v>
      </c>
      <c r="Z110" s="104" t="n">
        <f aca="false">IFERROR(Y110/Y$5,0)</f>
        <v>0</v>
      </c>
      <c r="AB110" s="103" t="n">
        <f aca="false">AB41+AB43</f>
        <v>0</v>
      </c>
      <c r="AC110" s="104" t="n">
        <f aca="false">IFERROR(AB110/AB$5,0)</f>
        <v>0</v>
      </c>
      <c r="AE110" s="103" t="n">
        <f aca="false">AE41+AE43</f>
        <v>0</v>
      </c>
      <c r="AF110" s="104" t="n">
        <f aca="false">IFERROR(AE110/AE$5,0)</f>
        <v>0</v>
      </c>
      <c r="AH110" s="103" t="n">
        <f aca="false">AH41+AH43</f>
        <v>0</v>
      </c>
      <c r="AI110" s="104" t="n">
        <f aca="false">IFERROR(AH110/AH$5,0)</f>
        <v>0</v>
      </c>
      <c r="AK110" s="103" t="n">
        <f aca="false">AK41+AK43</f>
        <v>0</v>
      </c>
      <c r="AL110" s="104" t="n">
        <f aca="false">IFERROR(AK110/AK$5,0)</f>
        <v>0</v>
      </c>
      <c r="AN110" s="103" t="n">
        <f aca="false">AN41+AN43</f>
        <v>0</v>
      </c>
      <c r="AO110" s="104" t="n">
        <f aca="false">IFERROR(AN110/AN$5,0)</f>
        <v>0</v>
      </c>
      <c r="AQ110" s="103" t="n">
        <f aca="false">AQ41+AQ43</f>
        <v>0</v>
      </c>
      <c r="AR110" s="104" t="n">
        <f aca="false">IFERROR(AQ110/AQ$5,0)</f>
        <v>0</v>
      </c>
      <c r="AT110" s="105"/>
    </row>
    <row r="111" s="57" customFormat="true" ht="7.5" hidden="false" customHeight="true" outlineLevel="0" collapsed="false">
      <c r="B111" s="48"/>
      <c r="C111" s="58"/>
      <c r="D111" s="59"/>
      <c r="E111" s="60"/>
      <c r="F111" s="58"/>
      <c r="G111" s="59"/>
      <c r="H111" s="60"/>
      <c r="I111" s="58"/>
      <c r="J111" s="59"/>
      <c r="K111" s="60"/>
      <c r="L111" s="58"/>
      <c r="M111" s="59"/>
      <c r="N111" s="60"/>
      <c r="O111" s="58"/>
      <c r="P111" s="59"/>
      <c r="Q111" s="60"/>
      <c r="R111" s="58"/>
      <c r="S111" s="59"/>
      <c r="T111" s="60"/>
      <c r="U111" s="58"/>
      <c r="V111" s="59"/>
      <c r="W111" s="60"/>
      <c r="X111" s="58"/>
      <c r="Y111" s="59"/>
      <c r="Z111" s="60"/>
      <c r="AA111" s="58"/>
      <c r="AB111" s="59"/>
      <c r="AC111" s="60"/>
      <c r="AD111" s="58"/>
      <c r="AE111" s="59"/>
      <c r="AF111" s="60"/>
      <c r="AG111" s="58"/>
      <c r="AH111" s="59"/>
      <c r="AI111" s="60"/>
      <c r="AJ111" s="58"/>
      <c r="AK111" s="59"/>
      <c r="AL111" s="60"/>
      <c r="AM111" s="58"/>
      <c r="AN111" s="59"/>
      <c r="AO111" s="60"/>
      <c r="AP111" s="58"/>
      <c r="AQ111" s="61"/>
      <c r="AR111" s="60"/>
      <c r="AS111" s="58"/>
      <c r="AT111" s="62"/>
    </row>
    <row r="112" s="63" customFormat="true" ht="20.85" hidden="false" customHeight="false" outlineLevel="0" collapsed="false">
      <c r="A112" s="36"/>
      <c r="B112" s="79" t="s">
        <v>131</v>
      </c>
      <c r="D112" s="80" t="n">
        <f aca="false">D113+D121</f>
        <v>0</v>
      </c>
      <c r="E112" s="81" t="n">
        <f aca="false">IFERROR(D112/D$5,0)</f>
        <v>0</v>
      </c>
      <c r="G112" s="80" t="n">
        <f aca="false">G113+G121</f>
        <v>0</v>
      </c>
      <c r="H112" s="81" t="n">
        <f aca="false">IFERROR(G112/G$5,0)</f>
        <v>0</v>
      </c>
      <c r="J112" s="80" t="n">
        <f aca="false">J113+J121</f>
        <v>0</v>
      </c>
      <c r="K112" s="81" t="n">
        <f aca="false">IFERROR(J112/J$5,0)</f>
        <v>0</v>
      </c>
      <c r="M112" s="80" t="n">
        <f aca="false">M113+M121</f>
        <v>0</v>
      </c>
      <c r="N112" s="81" t="n">
        <f aca="false">IFERROR(M112/M$5,0)</f>
        <v>0</v>
      </c>
      <c r="P112" s="80" t="n">
        <f aca="false">P113+P121</f>
        <v>0</v>
      </c>
      <c r="Q112" s="81" t="n">
        <f aca="false">IFERROR(P112/P$5,0)</f>
        <v>0</v>
      </c>
      <c r="S112" s="80" t="n">
        <f aca="false">S113+S121</f>
        <v>0</v>
      </c>
      <c r="T112" s="81" t="n">
        <f aca="false">IFERROR(S112/S$5,0)</f>
        <v>0</v>
      </c>
      <c r="V112" s="80" t="n">
        <f aca="false">V113+V121</f>
        <v>0</v>
      </c>
      <c r="W112" s="81" t="n">
        <f aca="false">IFERROR(V112/V$5,0)</f>
        <v>0</v>
      </c>
      <c r="Y112" s="80" t="n">
        <f aca="false">Y113+Y121</f>
        <v>0</v>
      </c>
      <c r="Z112" s="81" t="n">
        <f aca="false">IFERROR(Y112/Y$5,0)</f>
        <v>0</v>
      </c>
      <c r="AB112" s="80" t="n">
        <f aca="false">AB113+AB121</f>
        <v>0</v>
      </c>
      <c r="AC112" s="81" t="n">
        <f aca="false">IFERROR(AB112/AB$5,0)</f>
        <v>0</v>
      </c>
      <c r="AE112" s="80" t="n">
        <f aca="false">AE113+AE121</f>
        <v>0</v>
      </c>
      <c r="AF112" s="81" t="n">
        <f aca="false">IFERROR(AE112/AE$5,0)</f>
        <v>0</v>
      </c>
      <c r="AH112" s="80" t="n">
        <f aca="false">AH113+AH121</f>
        <v>0</v>
      </c>
      <c r="AI112" s="81" t="n">
        <f aca="false">IFERROR(AH112/AH$5,0)</f>
        <v>0</v>
      </c>
      <c r="AK112" s="80" t="n">
        <f aca="false">AK113+AK121</f>
        <v>0</v>
      </c>
      <c r="AL112" s="81" t="n">
        <f aca="false">IFERROR(AK112/AK$5,0)</f>
        <v>0</v>
      </c>
      <c r="AN112" s="80" t="n">
        <f aca="false">AN113+AN121</f>
        <v>0</v>
      </c>
      <c r="AO112" s="81" t="n">
        <f aca="false">IFERROR(AN112/AN$5,0)</f>
        <v>0</v>
      </c>
      <c r="AQ112" s="80" t="n">
        <f aca="false">AQ113+AQ121</f>
        <v>0</v>
      </c>
      <c r="AR112" s="81" t="n">
        <f aca="false">IFERROR(AQ112/AQ$5,0)</f>
        <v>0</v>
      </c>
      <c r="AT112" s="84" t="n">
        <f aca="false">AT113</f>
        <v>-0.005</v>
      </c>
    </row>
    <row r="113" s="63" customFormat="true" ht="14.25" hidden="false" customHeight="false" outlineLevel="0" collapsed="false">
      <c r="B113" s="106" t="s">
        <v>132</v>
      </c>
      <c r="D113" s="99" t="n">
        <f aca="false">SUM(D114:D120)</f>
        <v>0</v>
      </c>
      <c r="E113" s="95" t="n">
        <f aca="false">IFERROR(D113/D$5,0)</f>
        <v>0</v>
      </c>
      <c r="G113" s="99" t="n">
        <f aca="false">SUM(G114:G120)</f>
        <v>0</v>
      </c>
      <c r="H113" s="95" t="n">
        <f aca="false">IFERROR(G113/G$5,0)</f>
        <v>0</v>
      </c>
      <c r="J113" s="99" t="n">
        <f aca="false">SUM(J114:J120)</f>
        <v>0</v>
      </c>
      <c r="K113" s="95" t="n">
        <f aca="false">IFERROR(J113/J$5,0)</f>
        <v>0</v>
      </c>
      <c r="M113" s="99" t="n">
        <f aca="false">SUM(M114:M120)</f>
        <v>0</v>
      </c>
      <c r="N113" s="95" t="n">
        <f aca="false">IFERROR(M113/M$5,0)</f>
        <v>0</v>
      </c>
      <c r="P113" s="99" t="n">
        <f aca="false">SUM(P114:P120)</f>
        <v>0</v>
      </c>
      <c r="Q113" s="95" t="n">
        <f aca="false">IFERROR(P113/P$5,0)</f>
        <v>0</v>
      </c>
      <c r="S113" s="99" t="n">
        <f aca="false">SUM(S114:S120)</f>
        <v>0</v>
      </c>
      <c r="T113" s="95" t="n">
        <f aca="false">IFERROR(S113/S$5,0)</f>
        <v>0</v>
      </c>
      <c r="V113" s="99" t="n">
        <f aca="false">SUM(V114:V120)</f>
        <v>0</v>
      </c>
      <c r="W113" s="95" t="n">
        <f aca="false">IFERROR(V113/V$5,0)</f>
        <v>0</v>
      </c>
      <c r="Y113" s="99" t="n">
        <f aca="false">SUM(Y114:Y120)</f>
        <v>0</v>
      </c>
      <c r="Z113" s="95" t="n">
        <f aca="false">IFERROR(Y113/Y$5,0)</f>
        <v>0</v>
      </c>
      <c r="AB113" s="99" t="n">
        <f aca="false">SUM(AB114:AB120)</f>
        <v>0</v>
      </c>
      <c r="AC113" s="95" t="n">
        <f aca="false">IFERROR(AB113/AB$5,0)</f>
        <v>0</v>
      </c>
      <c r="AE113" s="99" t="n">
        <f aca="false">SUM(AE114:AE120)</f>
        <v>0</v>
      </c>
      <c r="AF113" s="95" t="n">
        <f aca="false">IFERROR(AE113/AE$5,0)</f>
        <v>0</v>
      </c>
      <c r="AH113" s="99" t="n">
        <f aca="false">SUM(AH114:AH120)</f>
        <v>0</v>
      </c>
      <c r="AI113" s="95" t="n">
        <f aca="false">IFERROR(AH113/AH$5,0)</f>
        <v>0</v>
      </c>
      <c r="AK113" s="99" t="n">
        <f aca="false">SUM(AK114:AK120)</f>
        <v>0</v>
      </c>
      <c r="AL113" s="95" t="n">
        <f aca="false">IFERROR(AK113/AK$5,0)</f>
        <v>0</v>
      </c>
      <c r="AN113" s="99" t="n">
        <f aca="false">SUM(AN114:AN120)</f>
        <v>0</v>
      </c>
      <c r="AO113" s="95" t="n">
        <f aca="false">IFERROR(AN113/AN$5,0)</f>
        <v>0</v>
      </c>
      <c r="AQ113" s="99" t="n">
        <f aca="false">SUM(AQ114:AQ120)</f>
        <v>0</v>
      </c>
      <c r="AR113" s="76" t="n">
        <f aca="false">IFERROR(AQ113/AQ$5,0)</f>
        <v>0</v>
      </c>
      <c r="AT113" s="78" t="n">
        <v>-0.005</v>
      </c>
    </row>
    <row r="114" customFormat="false" ht="14.25" hidden="true" customHeight="false" outlineLevel="1" collapsed="false">
      <c r="B114" s="117" t="s">
        <v>133</v>
      </c>
      <c r="D114" s="75" t="n">
        <f aca="false">SUMIFS('Dados Mov Financeira'!$N:$N,'Dados Mov Financeira'!$O:$O,'DRE 2020'!$B114,'Dados Mov Financeira'!$A:$A,'DRE 2020'!D$1,'Dados Mov Financeira'!$B:$B,'DRE 2020'!D$2)</f>
        <v>0</v>
      </c>
      <c r="E114" s="91" t="n">
        <f aca="false">IFERROR(D114/D$5,0)</f>
        <v>0</v>
      </c>
      <c r="G114" s="75" t="n">
        <f aca="false">SUMIFS('Dados Mov Financeira'!$N:$N,'Dados Mov Financeira'!$O:$O,'DRE 2020'!$B114,'Dados Mov Financeira'!$A:$A,'DRE 2020'!G$1,'Dados Mov Financeira'!$B:$B,'DRE 2020'!G$2)</f>
        <v>0</v>
      </c>
      <c r="H114" s="91" t="n">
        <f aca="false">IFERROR(G114/G$5,0)</f>
        <v>0</v>
      </c>
      <c r="J114" s="75" t="n">
        <f aca="false">SUMIFS('Dados Mov Financeira'!$N:$N,'Dados Mov Financeira'!$O:$O,'DRE 2020'!$B114,'Dados Mov Financeira'!$A:$A,'DRE 2020'!J$1,'Dados Mov Financeira'!$B:$B,'DRE 2020'!J$2)</f>
        <v>0</v>
      </c>
      <c r="K114" s="91" t="n">
        <f aca="false">IFERROR(J114/J$5,0)</f>
        <v>0</v>
      </c>
      <c r="M114" s="75" t="n">
        <f aca="false">SUMIFS('Dados Mov Financeira'!$N:$N,'Dados Mov Financeira'!$O:$O,'DRE 2020'!$B114,'Dados Mov Financeira'!$A:$A,'DRE 2020'!M$1,'Dados Mov Financeira'!$B:$B,'DRE 2020'!M$2)</f>
        <v>0</v>
      </c>
      <c r="N114" s="91" t="n">
        <f aca="false">IFERROR(M114/M$5,0)</f>
        <v>0</v>
      </c>
      <c r="P114" s="75" t="n">
        <f aca="false">SUMIFS('Dados Mov Financeira'!$N:$N,'Dados Mov Financeira'!$O:$O,'DRE 2020'!$B114,'Dados Mov Financeira'!$A:$A,'DRE 2020'!P$1,'Dados Mov Financeira'!$B:$B,'DRE 2020'!P$2)</f>
        <v>0</v>
      </c>
      <c r="Q114" s="91" t="n">
        <f aca="false">IFERROR(P114/P$5,0)</f>
        <v>0</v>
      </c>
      <c r="S114" s="75" t="n">
        <f aca="false">SUMIFS('Dados Mov Financeira'!$N:$N,'Dados Mov Financeira'!$O:$O,'DRE 2020'!$B114,'Dados Mov Financeira'!$A:$A,'DRE 2020'!S$1,'Dados Mov Financeira'!$B:$B,'DRE 2020'!S$2)</f>
        <v>0</v>
      </c>
      <c r="T114" s="91" t="n">
        <f aca="false">IFERROR(S114/S$5,0)</f>
        <v>0</v>
      </c>
      <c r="V114" s="75" t="n">
        <f aca="false">SUMIFS('Dados Mov Financeira'!$N:$N,'Dados Mov Financeira'!$O:$O,'DRE 2020'!$B114,'Dados Mov Financeira'!$A:$A,'DRE 2020'!V$1,'Dados Mov Financeira'!$B:$B,'DRE 2020'!V$2)</f>
        <v>0</v>
      </c>
      <c r="W114" s="91" t="n">
        <f aca="false">IFERROR(V114/V$5,0)</f>
        <v>0</v>
      </c>
      <c r="Y114" s="75" t="n">
        <f aca="false">SUMIFS('Dados Mov Financeira'!$N:$N,'Dados Mov Financeira'!$O:$O,'DRE 2020'!$B114,'Dados Mov Financeira'!$A:$A,'DRE 2020'!Y$1,'Dados Mov Financeira'!$B:$B,'DRE 2020'!Y$2)</f>
        <v>0</v>
      </c>
      <c r="Z114" s="91" t="n">
        <f aca="false">IFERROR(Y114/Y$5,0)</f>
        <v>0</v>
      </c>
      <c r="AB114" s="75" t="n">
        <f aca="false">SUMIFS('Dados Mov Financeira'!$N:$N,'Dados Mov Financeira'!$O:$O,'DRE 2020'!$B114,'Dados Mov Financeira'!$A:$A,'DRE 2020'!AB$1,'Dados Mov Financeira'!$B:$B,'DRE 2020'!AB$2)</f>
        <v>0</v>
      </c>
      <c r="AC114" s="91" t="n">
        <f aca="false">IFERROR(AB114/AB$5,0)</f>
        <v>0</v>
      </c>
      <c r="AE114" s="75" t="n">
        <f aca="false">SUMIFS('Dados Mov Financeira'!$N:$N,'Dados Mov Financeira'!$O:$O,'DRE 2020'!$B114,'Dados Mov Financeira'!$A:$A,'DRE 2020'!AE$1,'Dados Mov Financeira'!$B:$B,'DRE 2020'!AE$2)</f>
        <v>0</v>
      </c>
      <c r="AF114" s="91" t="n">
        <f aca="false">IFERROR(AE114/AE$5,0)</f>
        <v>0</v>
      </c>
      <c r="AH114" s="75" t="n">
        <f aca="false">SUMIFS('Dados Mov Financeira'!$N:$N,'Dados Mov Financeira'!$O:$O,'DRE 2020'!$B114,'Dados Mov Financeira'!$A:$A,'DRE 2020'!AH$1,'Dados Mov Financeira'!$B:$B,'DRE 2020'!AH$2)</f>
        <v>0</v>
      </c>
      <c r="AI114" s="91" t="n">
        <f aca="false">IFERROR(AH114/AH$5,0)</f>
        <v>0</v>
      </c>
      <c r="AK114" s="75" t="n">
        <f aca="false">SUMIFS('Dados Mov Financeira'!$N:$N,'Dados Mov Financeira'!$O:$O,'DRE 2020'!$B114,'Dados Mov Financeira'!$A:$A,'DRE 2020'!AK$1,'Dados Mov Financeira'!$B:$B,'DRE 2020'!AK$2)</f>
        <v>0</v>
      </c>
      <c r="AL114" s="91" t="n">
        <f aca="false">IFERROR(AK114/AK$5,0)</f>
        <v>0</v>
      </c>
      <c r="AN114" s="92" t="n">
        <f aca="false">SUM(D114,G114,J114,M114,P114,S114,V114,Y114,AB114,AE114,AH114,AK114)</f>
        <v>0</v>
      </c>
      <c r="AO114" s="108" t="n">
        <f aca="false">IFERROR(AN114/AN$5,0)</f>
        <v>0</v>
      </c>
      <c r="AQ114" s="93" t="n">
        <f aca="false">AN114/$AR$1</f>
        <v>0</v>
      </c>
      <c r="AR114" s="94" t="n">
        <f aca="false">IFERROR(AQ114/AQ$5,0)</f>
        <v>0</v>
      </c>
      <c r="AT114" s="110"/>
    </row>
    <row r="115" customFormat="false" ht="14.25" hidden="true" customHeight="false" outlineLevel="1" collapsed="false">
      <c r="B115" s="117" t="s">
        <v>134</v>
      </c>
      <c r="D115" s="75" t="n">
        <f aca="false">SUMIFS('Dados Mov Financeira'!$N:$N,'Dados Mov Financeira'!$O:$O,'DRE 2020'!$B115,'Dados Mov Financeira'!$A:$A,'DRE 2020'!D$1,'Dados Mov Financeira'!$B:$B,'DRE 2020'!D$2)</f>
        <v>0</v>
      </c>
      <c r="E115" s="91" t="n">
        <f aca="false">IFERROR(D115/D$5,0)</f>
        <v>0</v>
      </c>
      <c r="G115" s="75" t="n">
        <f aca="false">SUMIFS('Dados Mov Financeira'!$N:$N,'Dados Mov Financeira'!$O:$O,'DRE 2020'!$B115,'Dados Mov Financeira'!$A:$A,'DRE 2020'!G$1,'Dados Mov Financeira'!$B:$B,'DRE 2020'!G$2)</f>
        <v>0</v>
      </c>
      <c r="H115" s="91" t="n">
        <f aca="false">IFERROR(G115/G$5,0)</f>
        <v>0</v>
      </c>
      <c r="J115" s="75" t="n">
        <f aca="false">SUMIFS('Dados Mov Financeira'!$N:$N,'Dados Mov Financeira'!$O:$O,'DRE 2020'!$B115,'Dados Mov Financeira'!$A:$A,'DRE 2020'!J$1,'Dados Mov Financeira'!$B:$B,'DRE 2020'!J$2)</f>
        <v>0</v>
      </c>
      <c r="K115" s="91" t="n">
        <f aca="false">IFERROR(J115/J$5,0)</f>
        <v>0</v>
      </c>
      <c r="M115" s="75" t="n">
        <f aca="false">SUMIFS('Dados Mov Financeira'!$N:$N,'Dados Mov Financeira'!$O:$O,'DRE 2020'!$B115,'Dados Mov Financeira'!$A:$A,'DRE 2020'!M$1,'Dados Mov Financeira'!$B:$B,'DRE 2020'!M$2)</f>
        <v>0</v>
      </c>
      <c r="N115" s="91" t="n">
        <f aca="false">IFERROR(M115/M$5,0)</f>
        <v>0</v>
      </c>
      <c r="P115" s="75" t="n">
        <f aca="false">SUMIFS('Dados Mov Financeira'!$N:$N,'Dados Mov Financeira'!$O:$O,'DRE 2020'!$B115,'Dados Mov Financeira'!$A:$A,'DRE 2020'!P$1,'Dados Mov Financeira'!$B:$B,'DRE 2020'!P$2)</f>
        <v>0</v>
      </c>
      <c r="Q115" s="91" t="n">
        <f aca="false">IFERROR(P115/P$5,0)</f>
        <v>0</v>
      </c>
      <c r="S115" s="75" t="n">
        <f aca="false">SUMIFS('Dados Mov Financeira'!$N:$N,'Dados Mov Financeira'!$O:$O,'DRE 2020'!$B115,'Dados Mov Financeira'!$A:$A,'DRE 2020'!S$1,'Dados Mov Financeira'!$B:$B,'DRE 2020'!S$2)</f>
        <v>0</v>
      </c>
      <c r="T115" s="91" t="n">
        <f aca="false">IFERROR(S115/S$5,0)</f>
        <v>0</v>
      </c>
      <c r="V115" s="75" t="n">
        <f aca="false">SUMIFS('Dados Mov Financeira'!$N:$N,'Dados Mov Financeira'!$O:$O,'DRE 2020'!$B115,'Dados Mov Financeira'!$A:$A,'DRE 2020'!V$1,'Dados Mov Financeira'!$B:$B,'DRE 2020'!V$2)</f>
        <v>0</v>
      </c>
      <c r="W115" s="91" t="n">
        <f aca="false">IFERROR(V115/V$5,0)</f>
        <v>0</v>
      </c>
      <c r="Y115" s="75" t="n">
        <f aca="false">SUMIFS('Dados Mov Financeira'!$N:$N,'Dados Mov Financeira'!$O:$O,'DRE 2020'!$B115,'Dados Mov Financeira'!$A:$A,'DRE 2020'!Y$1,'Dados Mov Financeira'!$B:$B,'DRE 2020'!Y$2)</f>
        <v>0</v>
      </c>
      <c r="Z115" s="91" t="n">
        <f aca="false">IFERROR(Y115/Y$5,0)</f>
        <v>0</v>
      </c>
      <c r="AB115" s="75" t="n">
        <f aca="false">SUMIFS('Dados Mov Financeira'!$N:$N,'Dados Mov Financeira'!$O:$O,'DRE 2020'!$B115,'Dados Mov Financeira'!$A:$A,'DRE 2020'!AB$1,'Dados Mov Financeira'!$B:$B,'DRE 2020'!AB$2)</f>
        <v>0</v>
      </c>
      <c r="AC115" s="91" t="n">
        <f aca="false">IFERROR(AB115/AB$5,0)</f>
        <v>0</v>
      </c>
      <c r="AE115" s="75" t="n">
        <f aca="false">SUMIFS('Dados Mov Financeira'!$N:$N,'Dados Mov Financeira'!$O:$O,'DRE 2020'!$B115,'Dados Mov Financeira'!$A:$A,'DRE 2020'!AE$1,'Dados Mov Financeira'!$B:$B,'DRE 2020'!AE$2)</f>
        <v>0</v>
      </c>
      <c r="AF115" s="91" t="n">
        <f aca="false">IFERROR(AE115/AE$5,0)</f>
        <v>0</v>
      </c>
      <c r="AH115" s="75" t="n">
        <f aca="false">SUMIFS('Dados Mov Financeira'!$N:$N,'Dados Mov Financeira'!$O:$O,'DRE 2020'!$B115,'Dados Mov Financeira'!$A:$A,'DRE 2020'!AH$1,'Dados Mov Financeira'!$B:$B,'DRE 2020'!AH$2)</f>
        <v>0</v>
      </c>
      <c r="AI115" s="91" t="n">
        <f aca="false">IFERROR(AH115/AH$5,0)</f>
        <v>0</v>
      </c>
      <c r="AK115" s="75" t="n">
        <f aca="false">SUMIFS('Dados Mov Financeira'!$N:$N,'Dados Mov Financeira'!$O:$O,'DRE 2020'!$B115,'Dados Mov Financeira'!$A:$A,'DRE 2020'!AK$1,'Dados Mov Financeira'!$B:$B,'DRE 2020'!AK$2)</f>
        <v>0</v>
      </c>
      <c r="AL115" s="91" t="n">
        <f aca="false">IFERROR(AK115/AK$5,0)</f>
        <v>0</v>
      </c>
      <c r="AN115" s="92" t="n">
        <f aca="false">SUM(D115,G115,J115,M115,P115,S115,V115,Y115,AB115,AE115,AH115,AK115)</f>
        <v>0</v>
      </c>
      <c r="AO115" s="108" t="n">
        <f aca="false">IFERROR(AN115/AN$5,0)</f>
        <v>0</v>
      </c>
      <c r="AQ115" s="93" t="n">
        <f aca="false">AN115/$AR$1</f>
        <v>0</v>
      </c>
      <c r="AR115" s="94" t="n">
        <f aca="false">IFERROR(AQ115/AQ$5,0)</f>
        <v>0</v>
      </c>
      <c r="AT115" s="111"/>
    </row>
    <row r="116" customFormat="false" ht="14.25" hidden="true" customHeight="false" outlineLevel="1" collapsed="false">
      <c r="B116" s="117" t="s">
        <v>135</v>
      </c>
      <c r="D116" s="75" t="n">
        <f aca="false">SUMIFS('Dados Mov Financeira'!$N:$N,'Dados Mov Financeira'!$O:$O,'DRE 2020'!$B116,'Dados Mov Financeira'!$A:$A,'DRE 2020'!D$1,'Dados Mov Financeira'!$B:$B,'DRE 2020'!D$2)</f>
        <v>0</v>
      </c>
      <c r="E116" s="91" t="n">
        <f aca="false">IFERROR(D116/D$5,0)</f>
        <v>0</v>
      </c>
      <c r="G116" s="75" t="n">
        <f aca="false">SUMIFS('Dados Mov Financeira'!$N:$N,'Dados Mov Financeira'!$O:$O,'DRE 2020'!$B116,'Dados Mov Financeira'!$A:$A,'DRE 2020'!G$1,'Dados Mov Financeira'!$B:$B,'DRE 2020'!G$2)</f>
        <v>0</v>
      </c>
      <c r="H116" s="91" t="n">
        <f aca="false">IFERROR(G116/G$5,0)</f>
        <v>0</v>
      </c>
      <c r="J116" s="75" t="n">
        <f aca="false">SUMIFS('Dados Mov Financeira'!$N:$N,'Dados Mov Financeira'!$O:$O,'DRE 2020'!$B116,'Dados Mov Financeira'!$A:$A,'DRE 2020'!J$1,'Dados Mov Financeira'!$B:$B,'DRE 2020'!J$2)</f>
        <v>0</v>
      </c>
      <c r="K116" s="91" t="n">
        <f aca="false">IFERROR(J116/J$5,0)</f>
        <v>0</v>
      </c>
      <c r="M116" s="75" t="n">
        <f aca="false">SUMIFS('Dados Mov Financeira'!$N:$N,'Dados Mov Financeira'!$O:$O,'DRE 2020'!$B116,'Dados Mov Financeira'!$A:$A,'DRE 2020'!M$1,'Dados Mov Financeira'!$B:$B,'DRE 2020'!M$2)</f>
        <v>0</v>
      </c>
      <c r="N116" s="91" t="n">
        <f aca="false">IFERROR(M116/M$5,0)</f>
        <v>0</v>
      </c>
      <c r="P116" s="75" t="n">
        <f aca="false">SUMIFS('Dados Mov Financeira'!$N:$N,'Dados Mov Financeira'!$O:$O,'DRE 2020'!$B116,'Dados Mov Financeira'!$A:$A,'DRE 2020'!P$1,'Dados Mov Financeira'!$B:$B,'DRE 2020'!P$2)</f>
        <v>0</v>
      </c>
      <c r="Q116" s="91" t="n">
        <f aca="false">IFERROR(P116/P$5,0)</f>
        <v>0</v>
      </c>
      <c r="S116" s="75" t="n">
        <f aca="false">SUMIFS('Dados Mov Financeira'!$N:$N,'Dados Mov Financeira'!$O:$O,'DRE 2020'!$B116,'Dados Mov Financeira'!$A:$A,'DRE 2020'!S$1,'Dados Mov Financeira'!$B:$B,'DRE 2020'!S$2)</f>
        <v>0</v>
      </c>
      <c r="T116" s="91" t="n">
        <f aca="false">IFERROR(S116/S$5,0)</f>
        <v>0</v>
      </c>
      <c r="V116" s="75" t="n">
        <f aca="false">SUMIFS('Dados Mov Financeira'!$N:$N,'Dados Mov Financeira'!$O:$O,'DRE 2020'!$B116,'Dados Mov Financeira'!$A:$A,'DRE 2020'!V$1,'Dados Mov Financeira'!$B:$B,'DRE 2020'!V$2)</f>
        <v>0</v>
      </c>
      <c r="W116" s="91" t="n">
        <f aca="false">IFERROR(V116/V$5,0)</f>
        <v>0</v>
      </c>
      <c r="Y116" s="75" t="n">
        <f aca="false">SUMIFS('Dados Mov Financeira'!$N:$N,'Dados Mov Financeira'!$O:$O,'DRE 2020'!$B116,'Dados Mov Financeira'!$A:$A,'DRE 2020'!Y$1,'Dados Mov Financeira'!$B:$B,'DRE 2020'!Y$2)</f>
        <v>0</v>
      </c>
      <c r="Z116" s="91" t="n">
        <f aca="false">IFERROR(Y116/Y$5,0)</f>
        <v>0</v>
      </c>
      <c r="AB116" s="75" t="n">
        <f aca="false">SUMIFS('Dados Mov Financeira'!$N:$N,'Dados Mov Financeira'!$O:$O,'DRE 2020'!$B116,'Dados Mov Financeira'!$A:$A,'DRE 2020'!AB$1,'Dados Mov Financeira'!$B:$B,'DRE 2020'!AB$2)</f>
        <v>0</v>
      </c>
      <c r="AC116" s="91" t="n">
        <f aca="false">IFERROR(AB116/AB$5,0)</f>
        <v>0</v>
      </c>
      <c r="AE116" s="75" t="n">
        <f aca="false">SUMIFS('Dados Mov Financeira'!$N:$N,'Dados Mov Financeira'!$O:$O,'DRE 2020'!$B116,'Dados Mov Financeira'!$A:$A,'DRE 2020'!AE$1,'Dados Mov Financeira'!$B:$B,'DRE 2020'!AE$2)</f>
        <v>0</v>
      </c>
      <c r="AF116" s="91" t="n">
        <f aca="false">IFERROR(AE116/AE$5,0)</f>
        <v>0</v>
      </c>
      <c r="AH116" s="75" t="n">
        <f aca="false">SUMIFS('Dados Mov Financeira'!$N:$N,'Dados Mov Financeira'!$O:$O,'DRE 2020'!$B116,'Dados Mov Financeira'!$A:$A,'DRE 2020'!AH$1,'Dados Mov Financeira'!$B:$B,'DRE 2020'!AH$2)</f>
        <v>0</v>
      </c>
      <c r="AI116" s="91" t="n">
        <f aca="false">IFERROR(AH116/AH$5,0)</f>
        <v>0</v>
      </c>
      <c r="AK116" s="75" t="n">
        <f aca="false">SUMIFS('Dados Mov Financeira'!$N:$N,'Dados Mov Financeira'!$O:$O,'DRE 2020'!$B116,'Dados Mov Financeira'!$A:$A,'DRE 2020'!AK$1,'Dados Mov Financeira'!$B:$B,'DRE 2020'!AK$2)</f>
        <v>0</v>
      </c>
      <c r="AL116" s="91" t="n">
        <f aca="false">IFERROR(AK116/AK$5,0)</f>
        <v>0</v>
      </c>
      <c r="AN116" s="92" t="n">
        <f aca="false">SUM(D116,G116,J116,M116,P116,S116,V116,Y116,AB116,AE116,AH116,AK116)</f>
        <v>0</v>
      </c>
      <c r="AO116" s="108" t="n">
        <f aca="false">IFERROR(AN116/AN$5,0)</f>
        <v>0</v>
      </c>
      <c r="AQ116" s="93" t="n">
        <f aca="false">AN116/$AR$1</f>
        <v>0</v>
      </c>
      <c r="AR116" s="94" t="n">
        <f aca="false">IFERROR(AQ116/AQ$5,0)</f>
        <v>0</v>
      </c>
      <c r="AT116" s="111"/>
    </row>
    <row r="117" customFormat="false" ht="14.25" hidden="true" customHeight="false" outlineLevel="1" collapsed="false">
      <c r="B117" s="89" t="s">
        <v>136</v>
      </c>
      <c r="D117" s="75" t="n">
        <f aca="false">SUMIFS('Dados Mov Financeira'!$N:$N,'Dados Mov Financeira'!$O:$O,'DRE 2020'!$B117,'Dados Mov Financeira'!$A:$A,'DRE 2020'!D$1,'Dados Mov Financeira'!$B:$B,'DRE 2020'!D$2)</f>
        <v>0</v>
      </c>
      <c r="E117" s="91" t="n">
        <f aca="false">IFERROR(D117/D$5,0)</f>
        <v>0</v>
      </c>
      <c r="G117" s="75" t="n">
        <f aca="false">SUMIFS('Dados Mov Financeira'!$N:$N,'Dados Mov Financeira'!$O:$O,'DRE 2020'!$B117,'Dados Mov Financeira'!$A:$A,'DRE 2020'!G$1,'Dados Mov Financeira'!$B:$B,'DRE 2020'!G$2)</f>
        <v>0</v>
      </c>
      <c r="H117" s="91" t="n">
        <f aca="false">IFERROR(G117/G$5,0)</f>
        <v>0</v>
      </c>
      <c r="J117" s="75" t="n">
        <f aca="false">SUMIFS('Dados Mov Financeira'!$N:$N,'Dados Mov Financeira'!$O:$O,'DRE 2020'!$B117,'Dados Mov Financeira'!$A:$A,'DRE 2020'!J$1,'Dados Mov Financeira'!$B:$B,'DRE 2020'!J$2)</f>
        <v>0</v>
      </c>
      <c r="K117" s="91" t="n">
        <f aca="false">IFERROR(J117/J$5,0)</f>
        <v>0</v>
      </c>
      <c r="M117" s="75" t="n">
        <f aca="false">SUMIFS('Dados Mov Financeira'!$N:$N,'Dados Mov Financeira'!$O:$O,'DRE 2020'!$B117,'Dados Mov Financeira'!$A:$A,'DRE 2020'!M$1,'Dados Mov Financeira'!$B:$B,'DRE 2020'!M$2)</f>
        <v>0</v>
      </c>
      <c r="N117" s="91" t="n">
        <f aca="false">IFERROR(M117/M$5,0)</f>
        <v>0</v>
      </c>
      <c r="P117" s="75" t="n">
        <f aca="false">SUMIFS('Dados Mov Financeira'!$N:$N,'Dados Mov Financeira'!$O:$O,'DRE 2020'!$B117,'Dados Mov Financeira'!$A:$A,'DRE 2020'!P$1,'Dados Mov Financeira'!$B:$B,'DRE 2020'!P$2)</f>
        <v>0</v>
      </c>
      <c r="Q117" s="91" t="n">
        <f aca="false">IFERROR(P117/P$5,0)</f>
        <v>0</v>
      </c>
      <c r="S117" s="75" t="n">
        <f aca="false">SUMIFS('Dados Mov Financeira'!$N:$N,'Dados Mov Financeira'!$O:$O,'DRE 2020'!$B117,'Dados Mov Financeira'!$A:$A,'DRE 2020'!S$1,'Dados Mov Financeira'!$B:$B,'DRE 2020'!S$2)</f>
        <v>0</v>
      </c>
      <c r="T117" s="91" t="n">
        <f aca="false">IFERROR(S117/S$5,0)</f>
        <v>0</v>
      </c>
      <c r="V117" s="75" t="n">
        <f aca="false">SUMIFS('Dados Mov Financeira'!$N:$N,'Dados Mov Financeira'!$O:$O,'DRE 2020'!$B117,'Dados Mov Financeira'!$A:$A,'DRE 2020'!V$1,'Dados Mov Financeira'!$B:$B,'DRE 2020'!V$2)</f>
        <v>0</v>
      </c>
      <c r="W117" s="91" t="n">
        <f aca="false">IFERROR(V117/V$5,0)</f>
        <v>0</v>
      </c>
      <c r="Y117" s="75" t="n">
        <f aca="false">SUMIFS('Dados Mov Financeira'!$N:$N,'Dados Mov Financeira'!$O:$O,'DRE 2020'!$B117,'Dados Mov Financeira'!$A:$A,'DRE 2020'!Y$1,'Dados Mov Financeira'!$B:$B,'DRE 2020'!Y$2)</f>
        <v>0</v>
      </c>
      <c r="Z117" s="91" t="n">
        <f aca="false">IFERROR(Y117/Y$5,0)</f>
        <v>0</v>
      </c>
      <c r="AB117" s="75" t="n">
        <f aca="false">SUMIFS('Dados Mov Financeira'!$N:$N,'Dados Mov Financeira'!$O:$O,'DRE 2020'!$B117,'Dados Mov Financeira'!$A:$A,'DRE 2020'!AB$1,'Dados Mov Financeira'!$B:$B,'DRE 2020'!AB$2)</f>
        <v>0</v>
      </c>
      <c r="AC117" s="91" t="n">
        <f aca="false">IFERROR(AB117/AB$5,0)</f>
        <v>0</v>
      </c>
      <c r="AE117" s="75" t="n">
        <f aca="false">SUMIFS('Dados Mov Financeira'!$N:$N,'Dados Mov Financeira'!$O:$O,'DRE 2020'!$B117,'Dados Mov Financeira'!$A:$A,'DRE 2020'!AE$1,'Dados Mov Financeira'!$B:$B,'DRE 2020'!AE$2)</f>
        <v>0</v>
      </c>
      <c r="AF117" s="91" t="n">
        <f aca="false">IFERROR(AE117/AE$5,0)</f>
        <v>0</v>
      </c>
      <c r="AH117" s="75" t="n">
        <f aca="false">SUMIFS('Dados Mov Financeira'!$N:$N,'Dados Mov Financeira'!$O:$O,'DRE 2020'!$B117,'Dados Mov Financeira'!$A:$A,'DRE 2020'!AH$1,'Dados Mov Financeira'!$B:$B,'DRE 2020'!AH$2)</f>
        <v>0</v>
      </c>
      <c r="AI117" s="91" t="n">
        <f aca="false">IFERROR(AH117/AH$5,0)</f>
        <v>0</v>
      </c>
      <c r="AK117" s="75" t="n">
        <f aca="false">SUMIFS('Dados Mov Financeira'!$N:$N,'Dados Mov Financeira'!$O:$O,'DRE 2020'!$B117,'Dados Mov Financeira'!$A:$A,'DRE 2020'!AK$1,'Dados Mov Financeira'!$B:$B,'DRE 2020'!AK$2)</f>
        <v>0</v>
      </c>
      <c r="AL117" s="91" t="n">
        <f aca="false">IFERROR(AK117/AK$5,0)</f>
        <v>0</v>
      </c>
      <c r="AN117" s="92" t="n">
        <f aca="false">SUM(D117,G117,J117,M117,P117,S117,V117,Y117,AB117,AE117,AH117,AK117)</f>
        <v>0</v>
      </c>
      <c r="AO117" s="108" t="n">
        <f aca="false">IFERROR(AN117/AN$5,0)</f>
        <v>0</v>
      </c>
      <c r="AQ117" s="93" t="n">
        <f aca="false">AN117/$AR$1</f>
        <v>0</v>
      </c>
      <c r="AR117" s="94" t="n">
        <f aca="false">IFERROR(AQ117/AQ$5,0)</f>
        <v>0</v>
      </c>
      <c r="AT117" s="111"/>
    </row>
    <row r="118" customFormat="false" ht="14.25" hidden="true" customHeight="false" outlineLevel="1" collapsed="false">
      <c r="B118" s="89" t="s">
        <v>137</v>
      </c>
      <c r="D118" s="75" t="n">
        <f aca="false">SUMIFS('Dados Mov Financeira'!$N:$N,'Dados Mov Financeira'!$O:$O,'DRE 2020'!$B118,'Dados Mov Financeira'!$A:$A,'DRE 2020'!D$1,'Dados Mov Financeira'!$B:$B,'DRE 2020'!D$2)</f>
        <v>0</v>
      </c>
      <c r="E118" s="91" t="n">
        <f aca="false">IFERROR(D118/D$5,0)</f>
        <v>0</v>
      </c>
      <c r="G118" s="75" t="n">
        <f aca="false">SUMIFS('Dados Mov Financeira'!$N:$N,'Dados Mov Financeira'!$O:$O,'DRE 2020'!$B118,'Dados Mov Financeira'!$A:$A,'DRE 2020'!G$1,'Dados Mov Financeira'!$B:$B,'DRE 2020'!G$2)</f>
        <v>0</v>
      </c>
      <c r="H118" s="91" t="n">
        <f aca="false">IFERROR(G118/G$5,0)</f>
        <v>0</v>
      </c>
      <c r="J118" s="75" t="n">
        <f aca="false">SUMIFS('Dados Mov Financeira'!$N:$N,'Dados Mov Financeira'!$O:$O,'DRE 2020'!$B118,'Dados Mov Financeira'!$A:$A,'DRE 2020'!J$1,'Dados Mov Financeira'!$B:$B,'DRE 2020'!J$2)</f>
        <v>0</v>
      </c>
      <c r="K118" s="91" t="n">
        <f aca="false">IFERROR(J118/J$5,0)</f>
        <v>0</v>
      </c>
      <c r="M118" s="75" t="n">
        <f aca="false">SUMIFS('Dados Mov Financeira'!$N:$N,'Dados Mov Financeira'!$O:$O,'DRE 2020'!$B118,'Dados Mov Financeira'!$A:$A,'DRE 2020'!M$1,'Dados Mov Financeira'!$B:$B,'DRE 2020'!M$2)</f>
        <v>0</v>
      </c>
      <c r="N118" s="91" t="n">
        <f aca="false">IFERROR(M118/M$5,0)</f>
        <v>0</v>
      </c>
      <c r="P118" s="75" t="n">
        <f aca="false">SUMIFS('Dados Mov Financeira'!$N:$N,'Dados Mov Financeira'!$O:$O,'DRE 2020'!$B118,'Dados Mov Financeira'!$A:$A,'DRE 2020'!P$1,'Dados Mov Financeira'!$B:$B,'DRE 2020'!P$2)</f>
        <v>0</v>
      </c>
      <c r="Q118" s="91" t="n">
        <f aca="false">IFERROR(P118/P$5,0)</f>
        <v>0</v>
      </c>
      <c r="S118" s="75" t="n">
        <f aca="false">SUMIFS('Dados Mov Financeira'!$N:$N,'Dados Mov Financeira'!$O:$O,'DRE 2020'!$B118,'Dados Mov Financeira'!$A:$A,'DRE 2020'!S$1,'Dados Mov Financeira'!$B:$B,'DRE 2020'!S$2)</f>
        <v>0</v>
      </c>
      <c r="T118" s="91" t="n">
        <f aca="false">IFERROR(S118/S$5,0)</f>
        <v>0</v>
      </c>
      <c r="V118" s="75" t="n">
        <f aca="false">SUMIFS('Dados Mov Financeira'!$N:$N,'Dados Mov Financeira'!$O:$O,'DRE 2020'!$B118,'Dados Mov Financeira'!$A:$A,'DRE 2020'!V$1,'Dados Mov Financeira'!$B:$B,'DRE 2020'!V$2)</f>
        <v>0</v>
      </c>
      <c r="W118" s="91" t="n">
        <f aca="false">IFERROR(V118/V$5,0)</f>
        <v>0</v>
      </c>
      <c r="Y118" s="75" t="n">
        <f aca="false">SUMIFS('Dados Mov Financeira'!$N:$N,'Dados Mov Financeira'!$O:$O,'DRE 2020'!$B118,'Dados Mov Financeira'!$A:$A,'DRE 2020'!Y$1,'Dados Mov Financeira'!$B:$B,'DRE 2020'!Y$2)</f>
        <v>0</v>
      </c>
      <c r="Z118" s="91" t="n">
        <f aca="false">IFERROR(Y118/Y$5,0)</f>
        <v>0</v>
      </c>
      <c r="AB118" s="75" t="n">
        <f aca="false">SUMIFS('Dados Mov Financeira'!$N:$N,'Dados Mov Financeira'!$O:$O,'DRE 2020'!$B118,'Dados Mov Financeira'!$A:$A,'DRE 2020'!AB$1,'Dados Mov Financeira'!$B:$B,'DRE 2020'!AB$2)</f>
        <v>0</v>
      </c>
      <c r="AC118" s="91" t="n">
        <f aca="false">IFERROR(AB118/AB$5,0)</f>
        <v>0</v>
      </c>
      <c r="AE118" s="75" t="n">
        <f aca="false">SUMIFS('Dados Mov Financeira'!$N:$N,'Dados Mov Financeira'!$O:$O,'DRE 2020'!$B118,'Dados Mov Financeira'!$A:$A,'DRE 2020'!AE$1,'Dados Mov Financeira'!$B:$B,'DRE 2020'!AE$2)</f>
        <v>0</v>
      </c>
      <c r="AF118" s="91" t="n">
        <f aca="false">IFERROR(AE118/AE$5,0)</f>
        <v>0</v>
      </c>
      <c r="AH118" s="75" t="n">
        <f aca="false">SUMIFS('Dados Mov Financeira'!$N:$N,'Dados Mov Financeira'!$O:$O,'DRE 2020'!$B118,'Dados Mov Financeira'!$A:$A,'DRE 2020'!AH$1,'Dados Mov Financeira'!$B:$B,'DRE 2020'!AH$2)</f>
        <v>0</v>
      </c>
      <c r="AI118" s="91" t="n">
        <f aca="false">IFERROR(AH118/AH$5,0)</f>
        <v>0</v>
      </c>
      <c r="AK118" s="75" t="n">
        <f aca="false">SUMIFS('Dados Mov Financeira'!$N:$N,'Dados Mov Financeira'!$O:$O,'DRE 2020'!$B118,'Dados Mov Financeira'!$A:$A,'DRE 2020'!AK$1,'Dados Mov Financeira'!$B:$B,'DRE 2020'!AK$2)</f>
        <v>0</v>
      </c>
      <c r="AL118" s="91" t="n">
        <f aca="false">IFERROR(AK118/AK$5,0)</f>
        <v>0</v>
      </c>
      <c r="AN118" s="92" t="n">
        <f aca="false">SUM(D118,G118,J118,M118,P118,S118,V118,Y118,AB118,AE118,AH118,AK118)</f>
        <v>0</v>
      </c>
      <c r="AO118" s="108" t="n">
        <f aca="false">IFERROR(AN118/AN$5,0)</f>
        <v>0</v>
      </c>
      <c r="AQ118" s="93" t="n">
        <f aca="false">AN118/$AR$1</f>
        <v>0</v>
      </c>
      <c r="AR118" s="94" t="n">
        <f aca="false">IFERROR(AQ118/AQ$5,0)</f>
        <v>0</v>
      </c>
      <c r="AT118" s="111"/>
    </row>
    <row r="119" customFormat="false" ht="14.25" hidden="true" customHeight="false" outlineLevel="1" collapsed="false">
      <c r="B119" s="89" t="s">
        <v>138</v>
      </c>
      <c r="D119" s="75" t="n">
        <f aca="false">SUMIFS('Dados Mov Financeira'!$N:$N,'Dados Mov Financeira'!$O:$O,'DRE 2020'!$B119,'Dados Mov Financeira'!$A:$A,'DRE 2020'!D$1,'Dados Mov Financeira'!$B:$B,'DRE 2020'!D$2)</f>
        <v>0</v>
      </c>
      <c r="E119" s="91" t="n">
        <f aca="false">IFERROR(D119/D$5,0)</f>
        <v>0</v>
      </c>
      <c r="G119" s="75" t="n">
        <f aca="false">SUMIFS('Dados Mov Financeira'!$N:$N,'Dados Mov Financeira'!$O:$O,'DRE 2020'!$B119,'Dados Mov Financeira'!$A:$A,'DRE 2020'!G$1,'Dados Mov Financeira'!$B:$B,'DRE 2020'!G$2)</f>
        <v>0</v>
      </c>
      <c r="H119" s="91" t="n">
        <f aca="false">IFERROR(G119/G$5,0)</f>
        <v>0</v>
      </c>
      <c r="J119" s="75" t="n">
        <f aca="false">SUMIFS('Dados Mov Financeira'!$N:$N,'Dados Mov Financeira'!$O:$O,'DRE 2020'!$B119,'Dados Mov Financeira'!$A:$A,'DRE 2020'!J$1,'Dados Mov Financeira'!$B:$B,'DRE 2020'!J$2)</f>
        <v>0</v>
      </c>
      <c r="K119" s="91" t="n">
        <f aca="false">IFERROR(J119/J$5,0)</f>
        <v>0</v>
      </c>
      <c r="M119" s="75" t="n">
        <f aca="false">SUMIFS('Dados Mov Financeira'!$N:$N,'Dados Mov Financeira'!$O:$O,'DRE 2020'!$B119,'Dados Mov Financeira'!$A:$A,'DRE 2020'!M$1,'Dados Mov Financeira'!$B:$B,'DRE 2020'!M$2)</f>
        <v>0</v>
      </c>
      <c r="N119" s="91" t="n">
        <f aca="false">IFERROR(M119/M$5,0)</f>
        <v>0</v>
      </c>
      <c r="P119" s="75" t="n">
        <f aca="false">SUMIFS('Dados Mov Financeira'!$N:$N,'Dados Mov Financeira'!$O:$O,'DRE 2020'!$B119,'Dados Mov Financeira'!$A:$A,'DRE 2020'!P$1,'Dados Mov Financeira'!$B:$B,'DRE 2020'!P$2)</f>
        <v>0</v>
      </c>
      <c r="Q119" s="91" t="n">
        <f aca="false">IFERROR(P119/P$5,0)</f>
        <v>0</v>
      </c>
      <c r="S119" s="75" t="n">
        <f aca="false">SUMIFS('Dados Mov Financeira'!$N:$N,'Dados Mov Financeira'!$O:$O,'DRE 2020'!$B119,'Dados Mov Financeira'!$A:$A,'DRE 2020'!S$1,'Dados Mov Financeira'!$B:$B,'DRE 2020'!S$2)</f>
        <v>0</v>
      </c>
      <c r="T119" s="91" t="n">
        <f aca="false">IFERROR(S119/S$5,0)</f>
        <v>0</v>
      </c>
      <c r="V119" s="75" t="n">
        <f aca="false">SUMIFS('Dados Mov Financeira'!$N:$N,'Dados Mov Financeira'!$O:$O,'DRE 2020'!$B119,'Dados Mov Financeira'!$A:$A,'DRE 2020'!V$1,'Dados Mov Financeira'!$B:$B,'DRE 2020'!V$2)</f>
        <v>0</v>
      </c>
      <c r="W119" s="91" t="n">
        <f aca="false">IFERROR(V119/V$5,0)</f>
        <v>0</v>
      </c>
      <c r="Y119" s="75" t="n">
        <f aca="false">SUMIFS('Dados Mov Financeira'!$N:$N,'Dados Mov Financeira'!$O:$O,'DRE 2020'!$B119,'Dados Mov Financeira'!$A:$A,'DRE 2020'!Y$1,'Dados Mov Financeira'!$B:$B,'DRE 2020'!Y$2)</f>
        <v>0</v>
      </c>
      <c r="Z119" s="91" t="n">
        <f aca="false">IFERROR(Y119/Y$5,0)</f>
        <v>0</v>
      </c>
      <c r="AB119" s="75" t="n">
        <f aca="false">SUMIFS('Dados Mov Financeira'!$N:$N,'Dados Mov Financeira'!$O:$O,'DRE 2020'!$B119,'Dados Mov Financeira'!$A:$A,'DRE 2020'!AB$1,'Dados Mov Financeira'!$B:$B,'DRE 2020'!AB$2)</f>
        <v>0</v>
      </c>
      <c r="AC119" s="91" t="n">
        <f aca="false">IFERROR(AB119/AB$5,0)</f>
        <v>0</v>
      </c>
      <c r="AE119" s="75" t="n">
        <f aca="false">SUMIFS('Dados Mov Financeira'!$N:$N,'Dados Mov Financeira'!$O:$O,'DRE 2020'!$B119,'Dados Mov Financeira'!$A:$A,'DRE 2020'!AE$1,'Dados Mov Financeira'!$B:$B,'DRE 2020'!AE$2)</f>
        <v>0</v>
      </c>
      <c r="AF119" s="91" t="n">
        <f aca="false">IFERROR(AE119/AE$5,0)</f>
        <v>0</v>
      </c>
      <c r="AH119" s="75" t="n">
        <f aca="false">SUMIFS('Dados Mov Financeira'!$N:$N,'Dados Mov Financeira'!$O:$O,'DRE 2020'!$B119,'Dados Mov Financeira'!$A:$A,'DRE 2020'!AH$1,'Dados Mov Financeira'!$B:$B,'DRE 2020'!AH$2)</f>
        <v>0</v>
      </c>
      <c r="AI119" s="91" t="n">
        <f aca="false">IFERROR(AH119/AH$5,0)</f>
        <v>0</v>
      </c>
      <c r="AK119" s="75" t="n">
        <f aca="false">SUMIFS('Dados Mov Financeira'!$N:$N,'Dados Mov Financeira'!$O:$O,'DRE 2020'!$B119,'Dados Mov Financeira'!$A:$A,'DRE 2020'!AK$1,'Dados Mov Financeira'!$B:$B,'DRE 2020'!AK$2)</f>
        <v>0</v>
      </c>
      <c r="AL119" s="91" t="n">
        <f aca="false">IFERROR(AK119/AK$5,0)</f>
        <v>0</v>
      </c>
      <c r="AN119" s="92" t="n">
        <f aca="false">SUM(D119,G119,J119,M119,P119,S119,V119,Y119,AB119,AE119,AH119,AK119)</f>
        <v>0</v>
      </c>
      <c r="AO119" s="108" t="n">
        <f aca="false">IFERROR(AN119/AN$5,0)</f>
        <v>0</v>
      </c>
      <c r="AQ119" s="93" t="n">
        <f aca="false">AN119/$AR$1</f>
        <v>0</v>
      </c>
      <c r="AR119" s="94" t="n">
        <f aca="false">IFERROR(AQ119/AQ$5,0)</f>
        <v>0</v>
      </c>
      <c r="AT119" s="111"/>
    </row>
    <row r="120" customFormat="false" ht="14.25" hidden="true" customHeight="false" outlineLevel="1" collapsed="false">
      <c r="B120" s="89" t="s">
        <v>139</v>
      </c>
      <c r="D120" s="75" t="n">
        <f aca="false">SUMIFS('Dados Mov Financeira'!$N:$N,'Dados Mov Financeira'!$O:$O,'DRE 2020'!$B120,'Dados Mov Financeira'!$A:$A,'DRE 2020'!D$1,'Dados Mov Financeira'!$B:$B,'DRE 2020'!D$2)</f>
        <v>0</v>
      </c>
      <c r="E120" s="91" t="n">
        <f aca="false">IFERROR(D120/D$5,0)</f>
        <v>0</v>
      </c>
      <c r="G120" s="75" t="n">
        <f aca="false">SUMIFS('Dados Mov Financeira'!$N:$N,'Dados Mov Financeira'!$O:$O,'DRE 2020'!$B120,'Dados Mov Financeira'!$A:$A,'DRE 2020'!G$1,'Dados Mov Financeira'!$B:$B,'DRE 2020'!G$2)</f>
        <v>0</v>
      </c>
      <c r="H120" s="91" t="n">
        <f aca="false">IFERROR(G120/G$5,0)</f>
        <v>0</v>
      </c>
      <c r="J120" s="75" t="n">
        <f aca="false">SUMIFS('Dados Mov Financeira'!$N:$N,'Dados Mov Financeira'!$O:$O,'DRE 2020'!$B120,'Dados Mov Financeira'!$A:$A,'DRE 2020'!J$1,'Dados Mov Financeira'!$B:$B,'DRE 2020'!J$2)</f>
        <v>0</v>
      </c>
      <c r="K120" s="91" t="n">
        <f aca="false">IFERROR(J120/J$5,0)</f>
        <v>0</v>
      </c>
      <c r="M120" s="75" t="n">
        <f aca="false">SUMIFS('Dados Mov Financeira'!$N:$N,'Dados Mov Financeira'!$O:$O,'DRE 2020'!$B120,'Dados Mov Financeira'!$A:$A,'DRE 2020'!M$1,'Dados Mov Financeira'!$B:$B,'DRE 2020'!M$2)</f>
        <v>0</v>
      </c>
      <c r="N120" s="91" t="n">
        <f aca="false">IFERROR(M120/M$5,0)</f>
        <v>0</v>
      </c>
      <c r="P120" s="75" t="n">
        <f aca="false">SUMIFS('Dados Mov Financeira'!$N:$N,'Dados Mov Financeira'!$O:$O,'DRE 2020'!$B120,'Dados Mov Financeira'!$A:$A,'DRE 2020'!P$1,'Dados Mov Financeira'!$B:$B,'DRE 2020'!P$2)</f>
        <v>0</v>
      </c>
      <c r="Q120" s="91" t="n">
        <f aca="false">IFERROR(P120/P$5,0)</f>
        <v>0</v>
      </c>
      <c r="S120" s="75" t="n">
        <f aca="false">SUMIFS('Dados Mov Financeira'!$N:$N,'Dados Mov Financeira'!$O:$O,'DRE 2020'!$B120,'Dados Mov Financeira'!$A:$A,'DRE 2020'!S$1,'Dados Mov Financeira'!$B:$B,'DRE 2020'!S$2)</f>
        <v>0</v>
      </c>
      <c r="T120" s="91" t="n">
        <f aca="false">IFERROR(S120/S$5,0)</f>
        <v>0</v>
      </c>
      <c r="V120" s="75" t="n">
        <f aca="false">SUMIFS('Dados Mov Financeira'!$N:$N,'Dados Mov Financeira'!$O:$O,'DRE 2020'!$B120,'Dados Mov Financeira'!$A:$A,'DRE 2020'!V$1,'Dados Mov Financeira'!$B:$B,'DRE 2020'!V$2)</f>
        <v>0</v>
      </c>
      <c r="W120" s="91" t="n">
        <f aca="false">IFERROR(V120/V$5,0)</f>
        <v>0</v>
      </c>
      <c r="Y120" s="75" t="n">
        <f aca="false">SUMIFS('Dados Mov Financeira'!$N:$N,'Dados Mov Financeira'!$O:$O,'DRE 2020'!$B120,'Dados Mov Financeira'!$A:$A,'DRE 2020'!Y$1,'Dados Mov Financeira'!$B:$B,'DRE 2020'!Y$2)</f>
        <v>0</v>
      </c>
      <c r="Z120" s="91" t="n">
        <f aca="false">IFERROR(Y120/Y$5,0)</f>
        <v>0</v>
      </c>
      <c r="AB120" s="75" t="n">
        <f aca="false">SUMIFS('Dados Mov Financeira'!$N:$N,'Dados Mov Financeira'!$O:$O,'DRE 2020'!$B120,'Dados Mov Financeira'!$A:$A,'DRE 2020'!AB$1,'Dados Mov Financeira'!$B:$B,'DRE 2020'!AB$2)</f>
        <v>0</v>
      </c>
      <c r="AC120" s="91" t="n">
        <f aca="false">IFERROR(AB120/AB$5,0)</f>
        <v>0</v>
      </c>
      <c r="AE120" s="75" t="n">
        <f aca="false">SUMIFS('Dados Mov Financeira'!$N:$N,'Dados Mov Financeira'!$O:$O,'DRE 2020'!$B120,'Dados Mov Financeira'!$A:$A,'DRE 2020'!AE$1,'Dados Mov Financeira'!$B:$B,'DRE 2020'!AE$2)</f>
        <v>0</v>
      </c>
      <c r="AF120" s="91" t="n">
        <f aca="false">IFERROR(AE120/AE$5,0)</f>
        <v>0</v>
      </c>
      <c r="AH120" s="75" t="n">
        <f aca="false">SUMIFS('Dados Mov Financeira'!$N:$N,'Dados Mov Financeira'!$O:$O,'DRE 2020'!$B120,'Dados Mov Financeira'!$A:$A,'DRE 2020'!AH$1,'Dados Mov Financeira'!$B:$B,'DRE 2020'!AH$2)</f>
        <v>0</v>
      </c>
      <c r="AI120" s="91" t="n">
        <f aca="false">IFERROR(AH120/AH$5,0)</f>
        <v>0</v>
      </c>
      <c r="AK120" s="75" t="n">
        <f aca="false">SUMIFS('Dados Mov Financeira'!$N:$N,'Dados Mov Financeira'!$O:$O,'DRE 2020'!$B120,'Dados Mov Financeira'!$A:$A,'DRE 2020'!AK$1,'Dados Mov Financeira'!$B:$B,'DRE 2020'!AK$2)</f>
        <v>0</v>
      </c>
      <c r="AL120" s="91" t="n">
        <f aca="false">IFERROR(AK120/AK$5,0)</f>
        <v>0</v>
      </c>
      <c r="AN120" s="92" t="n">
        <f aca="false">SUM(D120,G120,J120,M120,P120,S120,V120,Y120,AB120,AE120,AH120,AK120)</f>
        <v>0</v>
      </c>
      <c r="AO120" s="108" t="n">
        <f aca="false">IFERROR(AN120/AN$5,0)</f>
        <v>0</v>
      </c>
      <c r="AQ120" s="93" t="n">
        <f aca="false">AN120/$AR$1</f>
        <v>0</v>
      </c>
      <c r="AR120" s="94" t="n">
        <f aca="false">IFERROR(AQ120/AQ$5,0)</f>
        <v>0</v>
      </c>
      <c r="AT120" s="111"/>
    </row>
    <row r="121" s="63" customFormat="true" ht="14.25" hidden="false" customHeight="false" outlineLevel="0" collapsed="false">
      <c r="B121" s="106" t="s">
        <v>140</v>
      </c>
      <c r="D121" s="75" t="n">
        <f aca="false">SUM(D122:D124)</f>
        <v>0</v>
      </c>
      <c r="E121" s="95" t="n">
        <f aca="false">IFERROR(D121/D$5,0)</f>
        <v>0</v>
      </c>
      <c r="G121" s="75" t="n">
        <f aca="false">SUM(G122:G124)</f>
        <v>0</v>
      </c>
      <c r="H121" s="95" t="n">
        <f aca="false">IFERROR(G121/G$5,0)</f>
        <v>0</v>
      </c>
      <c r="J121" s="75" t="n">
        <f aca="false">SUM(J122:J124)</f>
        <v>0</v>
      </c>
      <c r="K121" s="95" t="n">
        <f aca="false">IFERROR(J121/J$5,0)</f>
        <v>0</v>
      </c>
      <c r="M121" s="75" t="n">
        <f aca="false">SUM(M122:M124)</f>
        <v>0</v>
      </c>
      <c r="N121" s="95" t="n">
        <f aca="false">IFERROR(M121/M$5,0)</f>
        <v>0</v>
      </c>
      <c r="P121" s="75" t="n">
        <f aca="false">SUM(P122:P124)</f>
        <v>0</v>
      </c>
      <c r="Q121" s="95" t="n">
        <f aca="false">IFERROR(P121/P$5,0)</f>
        <v>0</v>
      </c>
      <c r="S121" s="75" t="n">
        <f aca="false">SUM(S122:S124)</f>
        <v>0</v>
      </c>
      <c r="T121" s="95" t="n">
        <f aca="false">IFERROR(S121/S$5,0)</f>
        <v>0</v>
      </c>
      <c r="V121" s="75" t="n">
        <f aca="false">SUM(V122:V124)</f>
        <v>0</v>
      </c>
      <c r="W121" s="95" t="n">
        <f aca="false">IFERROR(V121/V$5,0)</f>
        <v>0</v>
      </c>
      <c r="Y121" s="75" t="n">
        <f aca="false">SUM(Y122:Y124)</f>
        <v>0</v>
      </c>
      <c r="Z121" s="95" t="n">
        <f aca="false">IFERROR(Y121/Y$5,0)</f>
        <v>0</v>
      </c>
      <c r="AB121" s="75" t="n">
        <f aca="false">SUM(AB122:AB124)</f>
        <v>0</v>
      </c>
      <c r="AC121" s="95" t="n">
        <f aca="false">IFERROR(AB121/AB$5,0)</f>
        <v>0</v>
      </c>
      <c r="AE121" s="75" t="n">
        <f aca="false">SUM(AE122:AE124)</f>
        <v>0</v>
      </c>
      <c r="AF121" s="95" t="n">
        <f aca="false">IFERROR(AE121/AE$5,0)</f>
        <v>0</v>
      </c>
      <c r="AH121" s="75" t="n">
        <f aca="false">SUM(AH122:AH124)</f>
        <v>0</v>
      </c>
      <c r="AI121" s="95" t="n">
        <f aca="false">IFERROR(AH121/AH$5,0)</f>
        <v>0</v>
      </c>
      <c r="AK121" s="75" t="n">
        <f aca="false">SUM(AK122:AK124)</f>
        <v>0</v>
      </c>
      <c r="AL121" s="95" t="n">
        <f aca="false">IFERROR(AK121/AK$5,0)</f>
        <v>0</v>
      </c>
      <c r="AN121" s="75" t="n">
        <f aca="false">SUM(AN122:AN124)</f>
        <v>0</v>
      </c>
      <c r="AO121" s="95" t="n">
        <f aca="false">IFERROR(AN121/AN$5,0)</f>
        <v>0</v>
      </c>
      <c r="AQ121" s="75" t="n">
        <f aca="false">SUM(AQ122:AQ124)</f>
        <v>0</v>
      </c>
      <c r="AR121" s="76" t="n">
        <f aca="false">IFERROR(AQ121/AQ$5,0)</f>
        <v>0</v>
      </c>
      <c r="AT121" s="78"/>
    </row>
    <row r="122" customFormat="false" ht="14.25" hidden="true" customHeight="false" outlineLevel="1" collapsed="false">
      <c r="B122" s="89" t="s">
        <v>141</v>
      </c>
      <c r="D122" s="75" t="n">
        <f aca="false">SUMIFS('Dados Mov Financeira'!$N:$N,'Dados Mov Financeira'!$O:$O,'DRE 2020'!$B122,'Dados Mov Financeira'!$A:$A,'DRE 2020'!D$1,'Dados Mov Financeira'!$B:$B,'DRE 2020'!D$2)</f>
        <v>0</v>
      </c>
      <c r="E122" s="91" t="n">
        <f aca="false">IFERROR(D122/D$5,0)</f>
        <v>0</v>
      </c>
      <c r="G122" s="75" t="n">
        <f aca="false">SUMIFS('Dados Mov Financeira'!$N:$N,'Dados Mov Financeira'!$O:$O,'DRE 2020'!$B122,'Dados Mov Financeira'!$A:$A,'DRE 2020'!G$1,'Dados Mov Financeira'!$B:$B,'DRE 2020'!G$2)</f>
        <v>0</v>
      </c>
      <c r="H122" s="91" t="n">
        <f aca="false">IFERROR(G122/G$5,0)</f>
        <v>0</v>
      </c>
      <c r="J122" s="75" t="n">
        <f aca="false">SUMIFS('Dados Mov Financeira'!$N:$N,'Dados Mov Financeira'!$O:$O,'DRE 2020'!$B122,'Dados Mov Financeira'!$A:$A,'DRE 2020'!J$1,'Dados Mov Financeira'!$B:$B,'DRE 2020'!J$2)</f>
        <v>0</v>
      </c>
      <c r="K122" s="91" t="n">
        <f aca="false">IFERROR(J122/J$5,0)</f>
        <v>0</v>
      </c>
      <c r="M122" s="75" t="n">
        <f aca="false">SUMIFS('Dados Mov Financeira'!$N:$N,'Dados Mov Financeira'!$O:$O,'DRE 2020'!$B122,'Dados Mov Financeira'!$A:$A,'DRE 2020'!M$1,'Dados Mov Financeira'!$B:$B,'DRE 2020'!M$2)</f>
        <v>0</v>
      </c>
      <c r="N122" s="91" t="n">
        <f aca="false">IFERROR(M122/M$5,0)</f>
        <v>0</v>
      </c>
      <c r="P122" s="75" t="n">
        <f aca="false">SUMIFS('Dados Mov Financeira'!$N:$N,'Dados Mov Financeira'!$O:$O,'DRE 2020'!$B122,'Dados Mov Financeira'!$A:$A,'DRE 2020'!P$1,'Dados Mov Financeira'!$B:$B,'DRE 2020'!P$2)</f>
        <v>0</v>
      </c>
      <c r="Q122" s="91" t="n">
        <f aca="false">IFERROR(P122/P$5,0)</f>
        <v>0</v>
      </c>
      <c r="S122" s="75" t="n">
        <f aca="false">SUMIFS('Dados Mov Financeira'!$N:$N,'Dados Mov Financeira'!$O:$O,'DRE 2020'!$B122,'Dados Mov Financeira'!$A:$A,'DRE 2020'!S$1,'Dados Mov Financeira'!$B:$B,'DRE 2020'!S$2)</f>
        <v>0</v>
      </c>
      <c r="T122" s="91" t="n">
        <f aca="false">IFERROR(S122/S$5,0)</f>
        <v>0</v>
      </c>
      <c r="V122" s="75" t="n">
        <f aca="false">SUMIFS('Dados Mov Financeira'!$N:$N,'Dados Mov Financeira'!$O:$O,'DRE 2020'!$B122,'Dados Mov Financeira'!$A:$A,'DRE 2020'!V$1,'Dados Mov Financeira'!$B:$B,'DRE 2020'!V$2)</f>
        <v>0</v>
      </c>
      <c r="W122" s="91" t="n">
        <f aca="false">IFERROR(V122/V$5,0)</f>
        <v>0</v>
      </c>
      <c r="Y122" s="75" t="n">
        <f aca="false">SUMIFS('Dados Mov Financeira'!$N:$N,'Dados Mov Financeira'!$O:$O,'DRE 2020'!$B122,'Dados Mov Financeira'!$A:$A,'DRE 2020'!Y$1,'Dados Mov Financeira'!$B:$B,'DRE 2020'!Y$2)</f>
        <v>0</v>
      </c>
      <c r="Z122" s="91" t="n">
        <f aca="false">IFERROR(Y122/Y$5,0)</f>
        <v>0</v>
      </c>
      <c r="AB122" s="75" t="n">
        <f aca="false">SUMIFS('Dados Mov Financeira'!$N:$N,'Dados Mov Financeira'!$O:$O,'DRE 2020'!$B122,'Dados Mov Financeira'!$A:$A,'DRE 2020'!AB$1,'Dados Mov Financeira'!$B:$B,'DRE 2020'!AB$2)</f>
        <v>0</v>
      </c>
      <c r="AC122" s="91" t="n">
        <f aca="false">IFERROR(AB122/AB$5,0)</f>
        <v>0</v>
      </c>
      <c r="AE122" s="75" t="n">
        <f aca="false">SUMIFS('Dados Mov Financeira'!$N:$N,'Dados Mov Financeira'!$O:$O,'DRE 2020'!$B122,'Dados Mov Financeira'!$A:$A,'DRE 2020'!AE$1,'Dados Mov Financeira'!$B:$B,'DRE 2020'!AE$2)</f>
        <v>0</v>
      </c>
      <c r="AF122" s="91" t="n">
        <f aca="false">IFERROR(AE122/AE$5,0)</f>
        <v>0</v>
      </c>
      <c r="AH122" s="75" t="n">
        <f aca="false">SUMIFS('Dados Mov Financeira'!$N:$N,'Dados Mov Financeira'!$O:$O,'DRE 2020'!$B122,'Dados Mov Financeira'!$A:$A,'DRE 2020'!AH$1,'Dados Mov Financeira'!$B:$B,'DRE 2020'!AH$2)</f>
        <v>0</v>
      </c>
      <c r="AI122" s="91" t="n">
        <f aca="false">IFERROR(AH122/AH$5,0)</f>
        <v>0</v>
      </c>
      <c r="AK122" s="75" t="n">
        <f aca="false">SUMIFS('Dados Mov Financeira'!$N:$N,'Dados Mov Financeira'!$O:$O,'DRE 2020'!$B122,'Dados Mov Financeira'!$A:$A,'DRE 2020'!AK$1,'Dados Mov Financeira'!$B:$B,'DRE 2020'!AK$2)</f>
        <v>0</v>
      </c>
      <c r="AL122" s="91" t="n">
        <f aca="false">IFERROR(AK122/AK$5,0)</f>
        <v>0</v>
      </c>
      <c r="AN122" s="92" t="n">
        <f aca="false">SUM(D122,G122,J122,M122,P122,S122,V122,Y122,AB122,AE122,AH122,AK122)</f>
        <v>0</v>
      </c>
      <c r="AO122" s="108" t="n">
        <f aca="false">IFERROR(AN122/AN$5,0)</f>
        <v>0</v>
      </c>
      <c r="AQ122" s="93" t="n">
        <f aca="false">AN122/$AR$1</f>
        <v>0</v>
      </c>
      <c r="AR122" s="94" t="n">
        <f aca="false">IFERROR(AQ122/AQ$5,0)</f>
        <v>0</v>
      </c>
      <c r="AT122" s="115"/>
    </row>
    <row r="123" customFormat="false" ht="14.25" hidden="true" customHeight="false" outlineLevel="1" collapsed="false">
      <c r="B123" s="89" t="s">
        <v>142</v>
      </c>
      <c r="D123" s="75" t="n">
        <f aca="false">SUMIFS('Dados Mov Financeira'!$N:$N,'Dados Mov Financeira'!$O:$O,'DRE 2020'!$B123,'Dados Mov Financeira'!$A:$A,'DRE 2020'!D$1,'Dados Mov Financeira'!$B:$B,'DRE 2020'!D$2)</f>
        <v>0</v>
      </c>
      <c r="E123" s="91" t="n">
        <f aca="false">IFERROR(D123/D$5,0)</f>
        <v>0</v>
      </c>
      <c r="G123" s="75" t="n">
        <f aca="false">SUMIFS('Dados Mov Financeira'!$N:$N,'Dados Mov Financeira'!$O:$O,'DRE 2020'!$B123,'Dados Mov Financeira'!$A:$A,'DRE 2020'!G$1,'Dados Mov Financeira'!$B:$B,'DRE 2020'!G$2)</f>
        <v>0</v>
      </c>
      <c r="H123" s="91" t="n">
        <f aca="false">IFERROR(G123/G$5,0)</f>
        <v>0</v>
      </c>
      <c r="J123" s="75" t="n">
        <f aca="false">SUMIFS('Dados Mov Financeira'!$N:$N,'Dados Mov Financeira'!$O:$O,'DRE 2020'!$B123,'Dados Mov Financeira'!$A:$A,'DRE 2020'!J$1,'Dados Mov Financeira'!$B:$B,'DRE 2020'!J$2)</f>
        <v>0</v>
      </c>
      <c r="K123" s="91" t="n">
        <f aca="false">IFERROR(J123/J$5,0)</f>
        <v>0</v>
      </c>
      <c r="M123" s="75" t="n">
        <f aca="false">SUMIFS('Dados Mov Financeira'!$N:$N,'Dados Mov Financeira'!$O:$O,'DRE 2020'!$B123,'Dados Mov Financeira'!$A:$A,'DRE 2020'!M$1,'Dados Mov Financeira'!$B:$B,'DRE 2020'!M$2)</f>
        <v>0</v>
      </c>
      <c r="N123" s="91" t="n">
        <f aca="false">IFERROR(M123/M$5,0)</f>
        <v>0</v>
      </c>
      <c r="P123" s="75" t="n">
        <f aca="false">SUMIFS('Dados Mov Financeira'!$N:$N,'Dados Mov Financeira'!$O:$O,'DRE 2020'!$B123,'Dados Mov Financeira'!$A:$A,'DRE 2020'!P$1,'Dados Mov Financeira'!$B:$B,'DRE 2020'!P$2)</f>
        <v>0</v>
      </c>
      <c r="Q123" s="91" t="n">
        <f aca="false">IFERROR(P123/P$5,0)</f>
        <v>0</v>
      </c>
      <c r="S123" s="75" t="n">
        <f aca="false">SUMIFS('Dados Mov Financeira'!$N:$N,'Dados Mov Financeira'!$O:$O,'DRE 2020'!$B123,'Dados Mov Financeira'!$A:$A,'DRE 2020'!S$1,'Dados Mov Financeira'!$B:$B,'DRE 2020'!S$2)</f>
        <v>0</v>
      </c>
      <c r="T123" s="91" t="n">
        <f aca="false">IFERROR(S123/S$5,0)</f>
        <v>0</v>
      </c>
      <c r="V123" s="75" t="n">
        <f aca="false">SUMIFS('Dados Mov Financeira'!$N:$N,'Dados Mov Financeira'!$O:$O,'DRE 2020'!$B123,'Dados Mov Financeira'!$A:$A,'DRE 2020'!V$1,'Dados Mov Financeira'!$B:$B,'DRE 2020'!V$2)</f>
        <v>0</v>
      </c>
      <c r="W123" s="91" t="n">
        <f aca="false">IFERROR(V123/V$5,0)</f>
        <v>0</v>
      </c>
      <c r="Y123" s="75" t="n">
        <f aca="false">SUMIFS('Dados Mov Financeira'!$N:$N,'Dados Mov Financeira'!$O:$O,'DRE 2020'!$B123,'Dados Mov Financeira'!$A:$A,'DRE 2020'!Y$1,'Dados Mov Financeira'!$B:$B,'DRE 2020'!Y$2)</f>
        <v>0</v>
      </c>
      <c r="Z123" s="91" t="n">
        <f aca="false">IFERROR(Y123/Y$5,0)</f>
        <v>0</v>
      </c>
      <c r="AB123" s="75" t="n">
        <f aca="false">SUMIFS('Dados Mov Financeira'!$N:$N,'Dados Mov Financeira'!$O:$O,'DRE 2020'!$B123,'Dados Mov Financeira'!$A:$A,'DRE 2020'!AB$1,'Dados Mov Financeira'!$B:$B,'DRE 2020'!AB$2)</f>
        <v>0</v>
      </c>
      <c r="AC123" s="91" t="n">
        <f aca="false">IFERROR(AB123/AB$5,0)</f>
        <v>0</v>
      </c>
      <c r="AE123" s="75" t="n">
        <f aca="false">SUMIFS('Dados Mov Financeira'!$N:$N,'Dados Mov Financeira'!$O:$O,'DRE 2020'!$B123,'Dados Mov Financeira'!$A:$A,'DRE 2020'!AE$1,'Dados Mov Financeira'!$B:$B,'DRE 2020'!AE$2)</f>
        <v>0</v>
      </c>
      <c r="AF123" s="91" t="n">
        <f aca="false">IFERROR(AE123/AE$5,0)</f>
        <v>0</v>
      </c>
      <c r="AH123" s="75" t="n">
        <f aca="false">SUMIFS('Dados Mov Financeira'!$N:$N,'Dados Mov Financeira'!$O:$O,'DRE 2020'!$B123,'Dados Mov Financeira'!$A:$A,'DRE 2020'!AH$1,'Dados Mov Financeira'!$B:$B,'DRE 2020'!AH$2)</f>
        <v>0</v>
      </c>
      <c r="AI123" s="91" t="n">
        <f aca="false">IFERROR(AH123/AH$5,0)</f>
        <v>0</v>
      </c>
      <c r="AK123" s="75" t="n">
        <f aca="false">SUMIFS('Dados Mov Financeira'!$N:$N,'Dados Mov Financeira'!$O:$O,'DRE 2020'!$B123,'Dados Mov Financeira'!$A:$A,'DRE 2020'!AK$1,'Dados Mov Financeira'!$B:$B,'DRE 2020'!AK$2)</f>
        <v>0</v>
      </c>
      <c r="AL123" s="91" t="n">
        <f aca="false">IFERROR(AK123/AK$5,0)</f>
        <v>0</v>
      </c>
      <c r="AN123" s="92" t="n">
        <f aca="false">SUM(D123,G123,J123,M123,P123,S123,V123,Y123,AB123,AE123,AH123,AK123)</f>
        <v>0</v>
      </c>
      <c r="AO123" s="108" t="n">
        <f aca="false">IFERROR(AN123/AN$5,0)</f>
        <v>0</v>
      </c>
      <c r="AQ123" s="93" t="n">
        <f aca="false">AN123/$AR$1</f>
        <v>0</v>
      </c>
      <c r="AR123" s="94" t="n">
        <f aca="false">IFERROR(AQ123/AQ$5,0)</f>
        <v>0</v>
      </c>
      <c r="AT123" s="115"/>
    </row>
    <row r="124" customFormat="false" ht="14.25" hidden="true" customHeight="false" outlineLevel="1" collapsed="false">
      <c r="B124" s="89" t="s">
        <v>143</v>
      </c>
      <c r="D124" s="75" t="n">
        <f aca="false">SUMIFS('Dados Mov Financeira'!$N:$N,'Dados Mov Financeira'!$O:$O,'DRE 2020'!$B124,'Dados Mov Financeira'!$A:$A,'DRE 2020'!D$1,'Dados Mov Financeira'!$B:$B,'DRE 2020'!D$2)</f>
        <v>0</v>
      </c>
      <c r="E124" s="91" t="n">
        <f aca="false">IFERROR(D124/D$5,0)</f>
        <v>0</v>
      </c>
      <c r="G124" s="75" t="n">
        <f aca="false">SUMIFS('Dados Mov Financeira'!$N:$N,'Dados Mov Financeira'!$O:$O,'DRE 2020'!$B124,'Dados Mov Financeira'!$A:$A,'DRE 2020'!G$1,'Dados Mov Financeira'!$B:$B,'DRE 2020'!G$2)</f>
        <v>0</v>
      </c>
      <c r="H124" s="91" t="n">
        <f aca="false">IFERROR(G124/G$5,0)</f>
        <v>0</v>
      </c>
      <c r="J124" s="75" t="n">
        <f aca="false">SUMIFS('Dados Mov Financeira'!$N:$N,'Dados Mov Financeira'!$O:$O,'DRE 2020'!$B124,'Dados Mov Financeira'!$A:$A,'DRE 2020'!J$1,'Dados Mov Financeira'!$B:$B,'DRE 2020'!J$2)</f>
        <v>0</v>
      </c>
      <c r="K124" s="91" t="n">
        <f aca="false">IFERROR(J124/J$5,0)</f>
        <v>0</v>
      </c>
      <c r="M124" s="75" t="n">
        <f aca="false">SUMIFS('Dados Mov Financeira'!$N:$N,'Dados Mov Financeira'!$O:$O,'DRE 2020'!$B124,'Dados Mov Financeira'!$A:$A,'DRE 2020'!M$1,'Dados Mov Financeira'!$B:$B,'DRE 2020'!M$2)</f>
        <v>0</v>
      </c>
      <c r="N124" s="91" t="n">
        <f aca="false">IFERROR(M124/M$5,0)</f>
        <v>0</v>
      </c>
      <c r="P124" s="75" t="n">
        <f aca="false">SUMIFS('Dados Mov Financeira'!$N:$N,'Dados Mov Financeira'!$O:$O,'DRE 2020'!$B124,'Dados Mov Financeira'!$A:$A,'DRE 2020'!P$1,'Dados Mov Financeira'!$B:$B,'DRE 2020'!P$2)</f>
        <v>0</v>
      </c>
      <c r="Q124" s="91" t="n">
        <f aca="false">IFERROR(P124/P$5,0)</f>
        <v>0</v>
      </c>
      <c r="S124" s="75" t="n">
        <f aca="false">SUMIFS('Dados Mov Financeira'!$N:$N,'Dados Mov Financeira'!$O:$O,'DRE 2020'!$B124,'Dados Mov Financeira'!$A:$A,'DRE 2020'!S$1,'Dados Mov Financeira'!$B:$B,'DRE 2020'!S$2)</f>
        <v>0</v>
      </c>
      <c r="T124" s="91" t="n">
        <f aca="false">IFERROR(S124/S$5,0)</f>
        <v>0</v>
      </c>
      <c r="V124" s="75" t="n">
        <f aca="false">SUMIFS('Dados Mov Financeira'!$N:$N,'Dados Mov Financeira'!$O:$O,'DRE 2020'!$B124,'Dados Mov Financeira'!$A:$A,'DRE 2020'!V$1,'Dados Mov Financeira'!$B:$B,'DRE 2020'!V$2)</f>
        <v>0</v>
      </c>
      <c r="W124" s="91" t="n">
        <f aca="false">IFERROR(V124/V$5,0)</f>
        <v>0</v>
      </c>
      <c r="Y124" s="75" t="n">
        <f aca="false">SUMIFS('Dados Mov Financeira'!$N:$N,'Dados Mov Financeira'!$O:$O,'DRE 2020'!$B124,'Dados Mov Financeira'!$A:$A,'DRE 2020'!Y$1,'Dados Mov Financeira'!$B:$B,'DRE 2020'!Y$2)</f>
        <v>0</v>
      </c>
      <c r="Z124" s="91" t="n">
        <f aca="false">IFERROR(Y124/Y$5,0)</f>
        <v>0</v>
      </c>
      <c r="AB124" s="75" t="n">
        <f aca="false">SUMIFS('Dados Mov Financeira'!$N:$N,'Dados Mov Financeira'!$O:$O,'DRE 2020'!$B124,'Dados Mov Financeira'!$A:$A,'DRE 2020'!AB$1,'Dados Mov Financeira'!$B:$B,'DRE 2020'!AB$2)</f>
        <v>0</v>
      </c>
      <c r="AC124" s="91" t="n">
        <f aca="false">IFERROR(AB124/AB$5,0)</f>
        <v>0</v>
      </c>
      <c r="AE124" s="75" t="n">
        <f aca="false">SUMIFS('Dados Mov Financeira'!$N:$N,'Dados Mov Financeira'!$O:$O,'DRE 2020'!$B124,'Dados Mov Financeira'!$A:$A,'DRE 2020'!AE$1,'Dados Mov Financeira'!$B:$B,'DRE 2020'!AE$2)</f>
        <v>0</v>
      </c>
      <c r="AF124" s="91" t="n">
        <f aca="false">IFERROR(AE124/AE$5,0)</f>
        <v>0</v>
      </c>
      <c r="AH124" s="75" t="n">
        <f aca="false">SUMIFS('Dados Mov Financeira'!$N:$N,'Dados Mov Financeira'!$O:$O,'DRE 2020'!$B124,'Dados Mov Financeira'!$A:$A,'DRE 2020'!AH$1,'Dados Mov Financeira'!$B:$B,'DRE 2020'!AH$2)</f>
        <v>0</v>
      </c>
      <c r="AI124" s="91" t="n">
        <f aca="false">IFERROR(AH124/AH$5,0)</f>
        <v>0</v>
      </c>
      <c r="AK124" s="75" t="n">
        <f aca="false">SUMIFS('Dados Mov Financeira'!$N:$N,'Dados Mov Financeira'!$O:$O,'DRE 2020'!$B124,'Dados Mov Financeira'!$A:$A,'DRE 2020'!AK$1,'Dados Mov Financeira'!$B:$B,'DRE 2020'!AK$2)</f>
        <v>0</v>
      </c>
      <c r="AL124" s="91" t="n">
        <f aca="false">IFERROR(AK124/AK$5,0)</f>
        <v>0</v>
      </c>
      <c r="AN124" s="92" t="n">
        <f aca="false">SUM(D124,G124,J124,M124,P124,S124,V124,Y124,AB124,AE124,AH124,AK124)</f>
        <v>0</v>
      </c>
      <c r="AO124" s="108" t="n">
        <f aca="false">IFERROR(AN124/AN$5,0)</f>
        <v>0</v>
      </c>
      <c r="AQ124" s="93" t="n">
        <f aca="false">AN124/$AR$1</f>
        <v>0</v>
      </c>
      <c r="AR124" s="94" t="n">
        <f aca="false">IFERROR(AQ124/AQ$5,0)</f>
        <v>0</v>
      </c>
      <c r="AT124" s="116"/>
    </row>
    <row r="125" s="57" customFormat="true" ht="15" hidden="false" customHeight="true" outlineLevel="0" collapsed="false">
      <c r="B125" s="48"/>
      <c r="C125" s="58"/>
      <c r="D125" s="59"/>
      <c r="E125" s="60"/>
      <c r="F125" s="58"/>
      <c r="G125" s="59"/>
      <c r="H125" s="60"/>
      <c r="I125" s="58"/>
      <c r="J125" s="59"/>
      <c r="K125" s="60"/>
      <c r="L125" s="58"/>
      <c r="M125" s="59"/>
      <c r="N125" s="60"/>
      <c r="O125" s="58"/>
      <c r="P125" s="59"/>
      <c r="Q125" s="60"/>
      <c r="R125" s="58"/>
      <c r="S125" s="59"/>
      <c r="T125" s="60"/>
      <c r="U125" s="58"/>
      <c r="V125" s="59"/>
      <c r="W125" s="60"/>
      <c r="X125" s="58"/>
      <c r="Y125" s="59"/>
      <c r="Z125" s="60"/>
      <c r="AA125" s="58"/>
      <c r="AB125" s="59"/>
      <c r="AC125" s="60"/>
      <c r="AD125" s="58"/>
      <c r="AE125" s="59"/>
      <c r="AF125" s="60"/>
      <c r="AG125" s="58"/>
      <c r="AH125" s="59"/>
      <c r="AI125" s="60"/>
      <c r="AJ125" s="58"/>
      <c r="AK125" s="59"/>
      <c r="AL125" s="60"/>
      <c r="AM125" s="58"/>
      <c r="AN125" s="59"/>
      <c r="AO125" s="60"/>
      <c r="AP125" s="58"/>
      <c r="AQ125" s="61"/>
      <c r="AR125" s="60"/>
      <c r="AS125" s="58"/>
      <c r="AT125" s="62"/>
    </row>
    <row r="126" s="63" customFormat="true" ht="20.85" hidden="false" customHeight="false" outlineLevel="0" collapsed="false">
      <c r="A126" s="36"/>
      <c r="B126" s="102" t="s">
        <v>144</v>
      </c>
      <c r="D126" s="103" t="n">
        <f aca="false">D110+D112</f>
        <v>0</v>
      </c>
      <c r="E126" s="104" t="n">
        <f aca="false">IFERROR(D126/D$5,0)</f>
        <v>0</v>
      </c>
      <c r="G126" s="103" t="n">
        <f aca="false">G110+G112</f>
        <v>0</v>
      </c>
      <c r="H126" s="104" t="n">
        <f aca="false">IFERROR(G126/G$5,0)</f>
        <v>0</v>
      </c>
      <c r="J126" s="103" t="n">
        <f aca="false">J110+J112</f>
        <v>0</v>
      </c>
      <c r="K126" s="104" t="n">
        <f aca="false">IFERROR(J126/J$5,0)</f>
        <v>0</v>
      </c>
      <c r="M126" s="103" t="n">
        <f aca="false">M110+M112</f>
        <v>0</v>
      </c>
      <c r="N126" s="104" t="n">
        <f aca="false">IFERROR(M126/M$5,0)</f>
        <v>0</v>
      </c>
      <c r="P126" s="103" t="n">
        <f aca="false">P110+P112</f>
        <v>0</v>
      </c>
      <c r="Q126" s="104" t="n">
        <f aca="false">IFERROR(P126/P$5,0)</f>
        <v>0</v>
      </c>
      <c r="S126" s="103" t="n">
        <f aca="false">S110+S112</f>
        <v>0</v>
      </c>
      <c r="T126" s="104" t="n">
        <f aca="false">IFERROR(S126/S$5,0)</f>
        <v>0</v>
      </c>
      <c r="V126" s="103" t="n">
        <f aca="false">V110+V112</f>
        <v>0</v>
      </c>
      <c r="W126" s="104" t="n">
        <f aca="false">IFERROR(V126/V$5,0)</f>
        <v>0</v>
      </c>
      <c r="Y126" s="103" t="n">
        <f aca="false">Y110+Y112</f>
        <v>0</v>
      </c>
      <c r="Z126" s="104" t="n">
        <f aca="false">IFERROR(Y126/Y$5,0)</f>
        <v>0</v>
      </c>
      <c r="AB126" s="103" t="n">
        <f aca="false">AB110+AB112</f>
        <v>0</v>
      </c>
      <c r="AC126" s="104" t="n">
        <f aca="false">IFERROR(AB126/AB$5,0)</f>
        <v>0</v>
      </c>
      <c r="AE126" s="103" t="n">
        <f aca="false">AE110+AE112</f>
        <v>0</v>
      </c>
      <c r="AF126" s="104" t="n">
        <f aca="false">IFERROR(AE126/AE$5,0)</f>
        <v>0</v>
      </c>
      <c r="AH126" s="103" t="n">
        <f aca="false">AH110+AH112</f>
        <v>0</v>
      </c>
      <c r="AI126" s="104" t="n">
        <f aca="false">IFERROR(AH126/AH$5,0)</f>
        <v>0</v>
      </c>
      <c r="AK126" s="103" t="n">
        <f aca="false">AK110+AK112</f>
        <v>0</v>
      </c>
      <c r="AL126" s="104" t="n">
        <f aca="false">IFERROR(AK126/AK$5,0)</f>
        <v>0</v>
      </c>
      <c r="AN126" s="103" t="n">
        <f aca="false">AN110+AN112</f>
        <v>0</v>
      </c>
      <c r="AO126" s="104" t="n">
        <f aca="false">IFERROR(AN126/AN$5,0)</f>
        <v>0</v>
      </c>
      <c r="AQ126" s="103" t="n">
        <f aca="false">AQ110+AQ112</f>
        <v>0</v>
      </c>
      <c r="AR126" s="104" t="n">
        <f aca="false">IFERROR(AQ126/AQ$5,0)</f>
        <v>0</v>
      </c>
      <c r="AT126" s="105"/>
    </row>
    <row r="127" s="57" customFormat="true" ht="7.5" hidden="false" customHeight="true" outlineLevel="0" collapsed="false">
      <c r="B127" s="48"/>
      <c r="C127" s="58"/>
      <c r="D127" s="59"/>
      <c r="E127" s="60"/>
      <c r="F127" s="58"/>
      <c r="G127" s="59"/>
      <c r="H127" s="60"/>
      <c r="I127" s="58"/>
      <c r="J127" s="59"/>
      <c r="K127" s="60"/>
      <c r="L127" s="58"/>
      <c r="M127" s="59"/>
      <c r="N127" s="60"/>
      <c r="O127" s="58"/>
      <c r="P127" s="59"/>
      <c r="Q127" s="60"/>
      <c r="R127" s="58"/>
      <c r="S127" s="59"/>
      <c r="T127" s="60"/>
      <c r="U127" s="58"/>
      <c r="V127" s="59"/>
      <c r="W127" s="60"/>
      <c r="X127" s="58"/>
      <c r="Y127" s="59"/>
      <c r="Z127" s="60"/>
      <c r="AA127" s="58"/>
      <c r="AB127" s="59"/>
      <c r="AC127" s="60"/>
      <c r="AD127" s="58"/>
      <c r="AE127" s="59"/>
      <c r="AF127" s="60"/>
      <c r="AG127" s="58"/>
      <c r="AH127" s="59"/>
      <c r="AI127" s="60"/>
      <c r="AJ127" s="58"/>
      <c r="AK127" s="59"/>
      <c r="AL127" s="60"/>
      <c r="AM127" s="58"/>
      <c r="AN127" s="59"/>
      <c r="AO127" s="60"/>
      <c r="AP127" s="58"/>
      <c r="AQ127" s="61"/>
      <c r="AR127" s="60"/>
      <c r="AS127" s="58"/>
      <c r="AT127" s="62"/>
    </row>
    <row r="128" s="63" customFormat="true" ht="20.85" hidden="false" customHeight="false" outlineLevel="0" collapsed="false">
      <c r="A128" s="36"/>
      <c r="B128" s="118" t="s">
        <v>145</v>
      </c>
      <c r="D128" s="119" t="n">
        <f aca="false">SUM(D129:D144)</f>
        <v>0</v>
      </c>
      <c r="E128" s="120" t="n">
        <f aca="false">IFERROR(D128/D$5,0)</f>
        <v>0</v>
      </c>
      <c r="G128" s="119" t="n">
        <f aca="false">SUM(G129:G144)</f>
        <v>0</v>
      </c>
      <c r="H128" s="120" t="n">
        <f aca="false">IFERROR(G128/G$5,0)</f>
        <v>0</v>
      </c>
      <c r="J128" s="119" t="n">
        <f aca="false">SUM(J129:J144)</f>
        <v>0</v>
      </c>
      <c r="K128" s="120" t="n">
        <f aca="false">IFERROR(J128/J$5,0)</f>
        <v>0</v>
      </c>
      <c r="M128" s="119" t="n">
        <f aca="false">SUM(M129:M144)</f>
        <v>0</v>
      </c>
      <c r="N128" s="120" t="n">
        <f aca="false">IFERROR(M128/M$5,0)</f>
        <v>0</v>
      </c>
      <c r="P128" s="119" t="n">
        <f aca="false">SUM(P129:P144)</f>
        <v>0</v>
      </c>
      <c r="Q128" s="120" t="n">
        <f aca="false">IFERROR(P128/P$5,0)</f>
        <v>0</v>
      </c>
      <c r="S128" s="119" t="n">
        <f aca="false">SUM(S129:S144)</f>
        <v>0</v>
      </c>
      <c r="T128" s="120" t="n">
        <f aca="false">IFERROR(S128/S$5,0)</f>
        <v>0</v>
      </c>
      <c r="V128" s="119" t="n">
        <f aca="false">SUM(V129:V144)</f>
        <v>0</v>
      </c>
      <c r="W128" s="120" t="n">
        <f aca="false">IFERROR(V128/V$5,0)</f>
        <v>0</v>
      </c>
      <c r="Y128" s="119" t="n">
        <f aca="false">SUM(Y129:Y144)</f>
        <v>0</v>
      </c>
      <c r="Z128" s="120" t="n">
        <f aca="false">IFERROR(Y128/Y$5,0)</f>
        <v>0</v>
      </c>
      <c r="AB128" s="119" t="n">
        <f aca="false">SUM(AB129:AB144)</f>
        <v>0</v>
      </c>
      <c r="AC128" s="120" t="n">
        <f aca="false">IFERROR(AB128/AB$5,0)</f>
        <v>0</v>
      </c>
      <c r="AE128" s="119" t="n">
        <f aca="false">SUM(AE129:AE144)</f>
        <v>0</v>
      </c>
      <c r="AF128" s="120" t="n">
        <f aca="false">IFERROR(AE128/AE$5,0)</f>
        <v>0</v>
      </c>
      <c r="AH128" s="119" t="n">
        <f aca="false">SUM(AH129:AH144)</f>
        <v>0</v>
      </c>
      <c r="AI128" s="120" t="n">
        <f aca="false">IFERROR(AH128/AH$5,0)</f>
        <v>0</v>
      </c>
      <c r="AK128" s="119" t="n">
        <f aca="false">SUM(AK129:AK144)</f>
        <v>0</v>
      </c>
      <c r="AL128" s="120" t="n">
        <f aca="false">IFERROR(AK128/AK$5,0)</f>
        <v>0</v>
      </c>
      <c r="AN128" s="119" t="n">
        <f aca="false">SUM(AN129:AN144)</f>
        <v>0</v>
      </c>
      <c r="AO128" s="120" t="n">
        <f aca="false">IFERROR(AN128/AN$5,0)</f>
        <v>0</v>
      </c>
      <c r="AQ128" s="119" t="n">
        <f aca="false">SUM(AQ129:AQ144)</f>
        <v>0</v>
      </c>
      <c r="AR128" s="120" t="n">
        <f aca="false">IFERROR(AQ128/AQ$5,0)</f>
        <v>0</v>
      </c>
      <c r="AT128" s="121" t="n">
        <v>0</v>
      </c>
    </row>
    <row r="129" customFormat="false" ht="14.25" hidden="true" customHeight="false" outlineLevel="1" collapsed="false">
      <c r="B129" s="89" t="s">
        <v>146</v>
      </c>
      <c r="D129" s="75" t="n">
        <f aca="false">SUMIFS('Dados Mov Financeira'!$N:$N,'Dados Mov Financeira'!$O:$O,'DRE 2020'!$B129,'Dados Mov Financeira'!$A:$A,'DRE 2020'!D$1,'Dados Mov Financeira'!$B:$B,'DRE 2020'!D$2)</f>
        <v>0</v>
      </c>
      <c r="E129" s="91" t="n">
        <f aca="false">IFERROR(D129/D$5,0)</f>
        <v>0</v>
      </c>
      <c r="G129" s="75" t="n">
        <f aca="false">SUMIFS('Dados Mov Financeira'!$N:$N,'Dados Mov Financeira'!$O:$O,'DRE 2020'!$B129,'Dados Mov Financeira'!$A:$A,'DRE 2020'!G$1,'Dados Mov Financeira'!$B:$B,'DRE 2020'!G$2)</f>
        <v>0</v>
      </c>
      <c r="H129" s="91" t="n">
        <f aca="false">IFERROR(G129/G$5,0)</f>
        <v>0</v>
      </c>
      <c r="J129" s="75" t="n">
        <f aca="false">SUMIFS('Dados Mov Financeira'!$N:$N,'Dados Mov Financeira'!$O:$O,'DRE 2020'!$B129,'Dados Mov Financeira'!$A:$A,'DRE 2020'!J$1,'Dados Mov Financeira'!$B:$B,'DRE 2020'!J$2)</f>
        <v>0</v>
      </c>
      <c r="K129" s="91" t="n">
        <f aca="false">IFERROR(J129/J$5,0)</f>
        <v>0</v>
      </c>
      <c r="M129" s="75" t="n">
        <f aca="false">SUMIFS('Dados Mov Financeira'!$N:$N,'Dados Mov Financeira'!$O:$O,'DRE 2020'!$B129,'Dados Mov Financeira'!$A:$A,'DRE 2020'!M$1,'Dados Mov Financeira'!$B:$B,'DRE 2020'!M$2)</f>
        <v>0</v>
      </c>
      <c r="N129" s="91" t="n">
        <f aca="false">IFERROR(M129/M$5,0)</f>
        <v>0</v>
      </c>
      <c r="P129" s="75" t="n">
        <f aca="false">SUMIFS('Dados Mov Financeira'!$N:$N,'Dados Mov Financeira'!$O:$O,'DRE 2020'!$B129,'Dados Mov Financeira'!$A:$A,'DRE 2020'!P$1,'Dados Mov Financeira'!$B:$B,'DRE 2020'!P$2)</f>
        <v>0</v>
      </c>
      <c r="Q129" s="91" t="n">
        <f aca="false">IFERROR(P129/P$5,0)</f>
        <v>0</v>
      </c>
      <c r="S129" s="75" t="n">
        <f aca="false">SUMIFS('Dados Mov Financeira'!$N:$N,'Dados Mov Financeira'!$O:$O,'DRE 2020'!$B129,'Dados Mov Financeira'!$A:$A,'DRE 2020'!S$1,'Dados Mov Financeira'!$B:$B,'DRE 2020'!S$2)</f>
        <v>0</v>
      </c>
      <c r="T129" s="91" t="n">
        <f aca="false">IFERROR(S129/S$5,0)</f>
        <v>0</v>
      </c>
      <c r="V129" s="75" t="n">
        <f aca="false">SUMIFS('Dados Mov Financeira'!$N:$N,'Dados Mov Financeira'!$O:$O,'DRE 2020'!$B129,'Dados Mov Financeira'!$A:$A,'DRE 2020'!V$1,'Dados Mov Financeira'!$B:$B,'DRE 2020'!V$2)</f>
        <v>0</v>
      </c>
      <c r="W129" s="91" t="n">
        <f aca="false">IFERROR(V129/V$5,0)</f>
        <v>0</v>
      </c>
      <c r="Y129" s="75" t="n">
        <f aca="false">SUMIFS('Dados Mov Financeira'!$N:$N,'Dados Mov Financeira'!$O:$O,'DRE 2020'!$B129,'Dados Mov Financeira'!$A:$A,'DRE 2020'!Y$1,'Dados Mov Financeira'!$B:$B,'DRE 2020'!Y$2)</f>
        <v>0</v>
      </c>
      <c r="Z129" s="91" t="n">
        <f aca="false">IFERROR(Y129/Y$5,0)</f>
        <v>0</v>
      </c>
      <c r="AB129" s="75" t="n">
        <f aca="false">SUMIFS('Dados Mov Financeira'!$N:$N,'Dados Mov Financeira'!$O:$O,'DRE 2020'!$B129,'Dados Mov Financeira'!$A:$A,'DRE 2020'!AB$1,'Dados Mov Financeira'!$B:$B,'DRE 2020'!AB$2)</f>
        <v>0</v>
      </c>
      <c r="AC129" s="91" t="n">
        <f aca="false">IFERROR(AB129/AB$5,0)</f>
        <v>0</v>
      </c>
      <c r="AE129" s="75" t="n">
        <f aca="false">SUMIFS('Dados Mov Financeira'!$N:$N,'Dados Mov Financeira'!$O:$O,'DRE 2020'!$B129,'Dados Mov Financeira'!$A:$A,'DRE 2020'!AE$1,'Dados Mov Financeira'!$B:$B,'DRE 2020'!AE$2)</f>
        <v>0</v>
      </c>
      <c r="AF129" s="91" t="n">
        <f aca="false">IFERROR(AE129/AE$5,0)</f>
        <v>0</v>
      </c>
      <c r="AH129" s="75" t="n">
        <f aca="false">SUMIFS('Dados Mov Financeira'!$N:$N,'Dados Mov Financeira'!$O:$O,'DRE 2020'!$B129,'Dados Mov Financeira'!$A:$A,'DRE 2020'!AH$1,'Dados Mov Financeira'!$B:$B,'DRE 2020'!AH$2)</f>
        <v>0</v>
      </c>
      <c r="AI129" s="91" t="n">
        <f aca="false">IFERROR(AH129/AH$5,0)</f>
        <v>0</v>
      </c>
      <c r="AK129" s="75" t="n">
        <f aca="false">SUMIFS('Dados Mov Financeira'!$N:$N,'Dados Mov Financeira'!$O:$O,'DRE 2020'!$B129,'Dados Mov Financeira'!$A:$A,'DRE 2020'!AK$1,'Dados Mov Financeira'!$B:$B,'DRE 2020'!AK$2)</f>
        <v>0</v>
      </c>
      <c r="AL129" s="91" t="n">
        <f aca="false">IFERROR(AK129/AK$5,0)</f>
        <v>0</v>
      </c>
      <c r="AN129" s="92" t="n">
        <f aca="false">SUM(D129,G129,J129,M129,P129,S129,V129,Y129,AB129,AE129,AH129,AK129)</f>
        <v>0</v>
      </c>
      <c r="AO129" s="108" t="n">
        <f aca="false">IFERROR(AN129/AN$5,0)</f>
        <v>0</v>
      </c>
      <c r="AQ129" s="93" t="n">
        <f aca="false">AN129/$AR$1</f>
        <v>0</v>
      </c>
      <c r="AR129" s="94" t="n">
        <f aca="false">IFERROR(AQ129/AQ$5,0)</f>
        <v>0</v>
      </c>
      <c r="AT129" s="122"/>
    </row>
    <row r="130" customFormat="false" ht="14.25" hidden="true" customHeight="false" outlineLevel="1" collapsed="false">
      <c r="B130" s="89" t="s">
        <v>147</v>
      </c>
      <c r="D130" s="75" t="n">
        <f aca="false">SUMIFS('Dados Mov Financeira'!$N:$N,'Dados Mov Financeira'!$O:$O,'DRE 2020'!$B130,'Dados Mov Financeira'!$A:$A,'DRE 2020'!D$1,'Dados Mov Financeira'!$B:$B,'DRE 2020'!D$2)</f>
        <v>0</v>
      </c>
      <c r="E130" s="91" t="n">
        <f aca="false">IFERROR(D130/D$5,0)</f>
        <v>0</v>
      </c>
      <c r="G130" s="75" t="n">
        <f aca="false">SUMIFS('Dados Mov Financeira'!$N:$N,'Dados Mov Financeira'!$O:$O,'DRE 2020'!$B130,'Dados Mov Financeira'!$A:$A,'DRE 2020'!G$1,'Dados Mov Financeira'!$B:$B,'DRE 2020'!G$2)</f>
        <v>0</v>
      </c>
      <c r="H130" s="91" t="n">
        <f aca="false">IFERROR(G130/G$5,0)</f>
        <v>0</v>
      </c>
      <c r="J130" s="75" t="n">
        <f aca="false">SUMIFS('Dados Mov Financeira'!$N:$N,'Dados Mov Financeira'!$O:$O,'DRE 2020'!$B130,'Dados Mov Financeira'!$A:$A,'DRE 2020'!J$1,'Dados Mov Financeira'!$B:$B,'DRE 2020'!J$2)</f>
        <v>0</v>
      </c>
      <c r="K130" s="91" t="n">
        <f aca="false">IFERROR(J130/J$5,0)</f>
        <v>0</v>
      </c>
      <c r="M130" s="75" t="n">
        <f aca="false">SUMIFS('Dados Mov Financeira'!$N:$N,'Dados Mov Financeira'!$O:$O,'DRE 2020'!$B130,'Dados Mov Financeira'!$A:$A,'DRE 2020'!M$1,'Dados Mov Financeira'!$B:$B,'DRE 2020'!M$2)</f>
        <v>0</v>
      </c>
      <c r="N130" s="91" t="n">
        <f aca="false">IFERROR(M130/M$5,0)</f>
        <v>0</v>
      </c>
      <c r="P130" s="75" t="n">
        <f aca="false">SUMIFS('Dados Mov Financeira'!$N:$N,'Dados Mov Financeira'!$O:$O,'DRE 2020'!$B130,'Dados Mov Financeira'!$A:$A,'DRE 2020'!P$1,'Dados Mov Financeira'!$B:$B,'DRE 2020'!P$2)</f>
        <v>0</v>
      </c>
      <c r="Q130" s="91" t="n">
        <f aca="false">IFERROR(P130/P$5,0)</f>
        <v>0</v>
      </c>
      <c r="S130" s="75" t="n">
        <f aca="false">SUMIFS('Dados Mov Financeira'!$N:$N,'Dados Mov Financeira'!$O:$O,'DRE 2020'!$B130,'Dados Mov Financeira'!$A:$A,'DRE 2020'!S$1,'Dados Mov Financeira'!$B:$B,'DRE 2020'!S$2)</f>
        <v>0</v>
      </c>
      <c r="T130" s="91" t="n">
        <f aca="false">IFERROR(S130/S$5,0)</f>
        <v>0</v>
      </c>
      <c r="V130" s="75" t="n">
        <f aca="false">SUMIFS('Dados Mov Financeira'!$N:$N,'Dados Mov Financeira'!$O:$O,'DRE 2020'!$B130,'Dados Mov Financeira'!$A:$A,'DRE 2020'!V$1,'Dados Mov Financeira'!$B:$B,'DRE 2020'!V$2)</f>
        <v>0</v>
      </c>
      <c r="W130" s="91" t="n">
        <f aca="false">IFERROR(V130/V$5,0)</f>
        <v>0</v>
      </c>
      <c r="Y130" s="75" t="n">
        <f aca="false">SUMIFS('Dados Mov Financeira'!$N:$N,'Dados Mov Financeira'!$O:$O,'DRE 2020'!$B130,'Dados Mov Financeira'!$A:$A,'DRE 2020'!Y$1,'Dados Mov Financeira'!$B:$B,'DRE 2020'!Y$2)</f>
        <v>0</v>
      </c>
      <c r="Z130" s="91" t="n">
        <f aca="false">IFERROR(Y130/Y$5,0)</f>
        <v>0</v>
      </c>
      <c r="AB130" s="75" t="n">
        <f aca="false">SUMIFS('Dados Mov Financeira'!$N:$N,'Dados Mov Financeira'!$O:$O,'DRE 2020'!$B130,'Dados Mov Financeira'!$A:$A,'DRE 2020'!AB$1,'Dados Mov Financeira'!$B:$B,'DRE 2020'!AB$2)</f>
        <v>0</v>
      </c>
      <c r="AC130" s="91" t="n">
        <f aca="false">IFERROR(AB130/AB$5,0)</f>
        <v>0</v>
      </c>
      <c r="AE130" s="75" t="n">
        <f aca="false">SUMIFS('Dados Mov Financeira'!$N:$N,'Dados Mov Financeira'!$O:$O,'DRE 2020'!$B130,'Dados Mov Financeira'!$A:$A,'DRE 2020'!AE$1,'Dados Mov Financeira'!$B:$B,'DRE 2020'!AE$2)</f>
        <v>0</v>
      </c>
      <c r="AF130" s="91" t="n">
        <f aca="false">IFERROR(AE130/AE$5,0)</f>
        <v>0</v>
      </c>
      <c r="AH130" s="75" t="n">
        <f aca="false">SUMIFS('Dados Mov Financeira'!$N:$N,'Dados Mov Financeira'!$O:$O,'DRE 2020'!$B130,'Dados Mov Financeira'!$A:$A,'DRE 2020'!AH$1,'Dados Mov Financeira'!$B:$B,'DRE 2020'!AH$2)</f>
        <v>0</v>
      </c>
      <c r="AI130" s="91" t="n">
        <f aca="false">IFERROR(AH130/AH$5,0)</f>
        <v>0</v>
      </c>
      <c r="AK130" s="75" t="n">
        <f aca="false">SUMIFS('Dados Mov Financeira'!$N:$N,'Dados Mov Financeira'!$O:$O,'DRE 2020'!$B130,'Dados Mov Financeira'!$A:$A,'DRE 2020'!AK$1,'Dados Mov Financeira'!$B:$B,'DRE 2020'!AK$2)</f>
        <v>0</v>
      </c>
      <c r="AL130" s="91" t="n">
        <f aca="false">IFERROR(AK130/AK$5,0)</f>
        <v>0</v>
      </c>
      <c r="AN130" s="92" t="n">
        <f aca="false">SUM(D130,G130,J130,M130,P130,S130,V130,Y130,AB130,AE130,AH130,AK130)</f>
        <v>0</v>
      </c>
      <c r="AO130" s="108" t="n">
        <f aca="false">IFERROR(AN130/AN$5,0)</f>
        <v>0</v>
      </c>
      <c r="AQ130" s="93" t="n">
        <f aca="false">AN130/$AR$1</f>
        <v>0</v>
      </c>
      <c r="AR130" s="94" t="n">
        <f aca="false">IFERROR(AQ130/AQ$5,0)</f>
        <v>0</v>
      </c>
      <c r="AT130" s="116"/>
    </row>
    <row r="131" customFormat="false" ht="14.25" hidden="true" customHeight="false" outlineLevel="1" collapsed="false">
      <c r="B131" s="89" t="s">
        <v>148</v>
      </c>
      <c r="D131" s="75" t="n">
        <f aca="false">SUMIFS('Dados Mov Financeira'!$N:$N,'Dados Mov Financeira'!$O:$O,'DRE 2020'!$B131,'Dados Mov Financeira'!$A:$A,'DRE 2020'!D$1,'Dados Mov Financeira'!$B:$B,'DRE 2020'!D$2)</f>
        <v>0</v>
      </c>
      <c r="E131" s="91" t="n">
        <f aca="false">IFERROR(D131/D$5,0)</f>
        <v>0</v>
      </c>
      <c r="G131" s="75" t="n">
        <f aca="false">SUMIFS('Dados Mov Financeira'!$N:$N,'Dados Mov Financeira'!$O:$O,'DRE 2020'!$B131,'Dados Mov Financeira'!$A:$A,'DRE 2020'!G$1,'Dados Mov Financeira'!$B:$B,'DRE 2020'!G$2)</f>
        <v>0</v>
      </c>
      <c r="H131" s="91" t="n">
        <f aca="false">IFERROR(G131/G$5,0)</f>
        <v>0</v>
      </c>
      <c r="J131" s="75" t="n">
        <f aca="false">SUMIFS('Dados Mov Financeira'!$N:$N,'Dados Mov Financeira'!$O:$O,'DRE 2020'!$B131,'Dados Mov Financeira'!$A:$A,'DRE 2020'!J$1,'Dados Mov Financeira'!$B:$B,'DRE 2020'!J$2)</f>
        <v>0</v>
      </c>
      <c r="K131" s="91" t="n">
        <f aca="false">IFERROR(J131/J$5,0)</f>
        <v>0</v>
      </c>
      <c r="M131" s="75" t="n">
        <f aca="false">SUMIFS('Dados Mov Financeira'!$N:$N,'Dados Mov Financeira'!$O:$O,'DRE 2020'!$B131,'Dados Mov Financeira'!$A:$A,'DRE 2020'!M$1,'Dados Mov Financeira'!$B:$B,'DRE 2020'!M$2)</f>
        <v>0</v>
      </c>
      <c r="N131" s="91" t="n">
        <f aca="false">IFERROR(M131/M$5,0)</f>
        <v>0</v>
      </c>
      <c r="P131" s="75" t="n">
        <f aca="false">SUMIFS('Dados Mov Financeira'!$N:$N,'Dados Mov Financeira'!$O:$O,'DRE 2020'!$B131,'Dados Mov Financeira'!$A:$A,'DRE 2020'!P$1,'Dados Mov Financeira'!$B:$B,'DRE 2020'!P$2)</f>
        <v>0</v>
      </c>
      <c r="Q131" s="91" t="n">
        <f aca="false">IFERROR(P131/P$5,0)</f>
        <v>0</v>
      </c>
      <c r="S131" s="75" t="n">
        <f aca="false">SUMIFS('Dados Mov Financeira'!$N:$N,'Dados Mov Financeira'!$O:$O,'DRE 2020'!$B131,'Dados Mov Financeira'!$A:$A,'DRE 2020'!S$1,'Dados Mov Financeira'!$B:$B,'DRE 2020'!S$2)</f>
        <v>0</v>
      </c>
      <c r="T131" s="91" t="n">
        <f aca="false">IFERROR(S131/S$5,0)</f>
        <v>0</v>
      </c>
      <c r="V131" s="75" t="n">
        <f aca="false">SUMIFS('Dados Mov Financeira'!$N:$N,'Dados Mov Financeira'!$O:$O,'DRE 2020'!$B131,'Dados Mov Financeira'!$A:$A,'DRE 2020'!V$1,'Dados Mov Financeira'!$B:$B,'DRE 2020'!V$2)</f>
        <v>0</v>
      </c>
      <c r="W131" s="91" t="n">
        <f aca="false">IFERROR(V131/V$5,0)</f>
        <v>0</v>
      </c>
      <c r="Y131" s="75" t="n">
        <f aca="false">SUMIFS('Dados Mov Financeira'!$N:$N,'Dados Mov Financeira'!$O:$O,'DRE 2020'!$B131,'Dados Mov Financeira'!$A:$A,'DRE 2020'!Y$1,'Dados Mov Financeira'!$B:$B,'DRE 2020'!Y$2)</f>
        <v>0</v>
      </c>
      <c r="Z131" s="91" t="n">
        <f aca="false">IFERROR(Y131/Y$5,0)</f>
        <v>0</v>
      </c>
      <c r="AB131" s="75" t="n">
        <f aca="false">SUMIFS('Dados Mov Financeira'!$N:$N,'Dados Mov Financeira'!$O:$O,'DRE 2020'!$B131,'Dados Mov Financeira'!$A:$A,'DRE 2020'!AB$1,'Dados Mov Financeira'!$B:$B,'DRE 2020'!AB$2)</f>
        <v>0</v>
      </c>
      <c r="AC131" s="91" t="n">
        <f aca="false">IFERROR(AB131/AB$5,0)</f>
        <v>0</v>
      </c>
      <c r="AE131" s="75" t="n">
        <f aca="false">SUMIFS('Dados Mov Financeira'!$N:$N,'Dados Mov Financeira'!$O:$O,'DRE 2020'!$B131,'Dados Mov Financeira'!$A:$A,'DRE 2020'!AE$1,'Dados Mov Financeira'!$B:$B,'DRE 2020'!AE$2)</f>
        <v>0</v>
      </c>
      <c r="AF131" s="91" t="n">
        <f aca="false">IFERROR(AE131/AE$5,0)</f>
        <v>0</v>
      </c>
      <c r="AH131" s="75" t="n">
        <f aca="false">SUMIFS('Dados Mov Financeira'!$N:$N,'Dados Mov Financeira'!$O:$O,'DRE 2020'!$B131,'Dados Mov Financeira'!$A:$A,'DRE 2020'!AH$1,'Dados Mov Financeira'!$B:$B,'DRE 2020'!AH$2)</f>
        <v>0</v>
      </c>
      <c r="AI131" s="91" t="n">
        <f aca="false">IFERROR(AH131/AH$5,0)</f>
        <v>0</v>
      </c>
      <c r="AK131" s="75" t="n">
        <f aca="false">SUMIFS('Dados Mov Financeira'!$N:$N,'Dados Mov Financeira'!$O:$O,'DRE 2020'!$B131,'Dados Mov Financeira'!$A:$A,'DRE 2020'!AK$1,'Dados Mov Financeira'!$B:$B,'DRE 2020'!AK$2)</f>
        <v>0</v>
      </c>
      <c r="AL131" s="91" t="n">
        <f aca="false">IFERROR(AK131/AK$5,0)</f>
        <v>0</v>
      </c>
      <c r="AN131" s="92" t="n">
        <f aca="false">SUM(D131,G131,J131,M131,P131,S131,V131,Y131,AB131,AE131,AH131,AK131)</f>
        <v>0</v>
      </c>
      <c r="AO131" s="108" t="n">
        <f aca="false">IFERROR(AN131/AN$5,0)</f>
        <v>0</v>
      </c>
      <c r="AQ131" s="93" t="n">
        <f aca="false">AN131/$AR$1</f>
        <v>0</v>
      </c>
      <c r="AR131" s="94" t="n">
        <f aca="false">IFERROR(AQ131/AQ$5,0)</f>
        <v>0</v>
      </c>
      <c r="AT131" s="116"/>
    </row>
    <row r="132" customFormat="false" ht="14.25" hidden="true" customHeight="false" outlineLevel="1" collapsed="false">
      <c r="B132" s="89" t="s">
        <v>149</v>
      </c>
      <c r="D132" s="75" t="n">
        <f aca="false">SUMIFS('Dados Mov Financeira'!$N:$N,'Dados Mov Financeira'!$O:$O,'DRE 2020'!$B132,'Dados Mov Financeira'!$A:$A,'DRE 2020'!D$1,'Dados Mov Financeira'!$B:$B,'DRE 2020'!D$2)</f>
        <v>0</v>
      </c>
      <c r="E132" s="91" t="n">
        <f aca="false">IFERROR(D132/D$5,0)</f>
        <v>0</v>
      </c>
      <c r="G132" s="75" t="n">
        <f aca="false">SUMIFS('Dados Mov Financeira'!$N:$N,'Dados Mov Financeira'!$O:$O,'DRE 2020'!$B132,'Dados Mov Financeira'!$A:$A,'DRE 2020'!G$1,'Dados Mov Financeira'!$B:$B,'DRE 2020'!G$2)</f>
        <v>0</v>
      </c>
      <c r="H132" s="91" t="n">
        <f aca="false">IFERROR(G132/G$5,0)</f>
        <v>0</v>
      </c>
      <c r="J132" s="75" t="n">
        <f aca="false">SUMIFS('Dados Mov Financeira'!$N:$N,'Dados Mov Financeira'!$O:$O,'DRE 2020'!$B132,'Dados Mov Financeira'!$A:$A,'DRE 2020'!J$1,'Dados Mov Financeira'!$B:$B,'DRE 2020'!J$2)</f>
        <v>0</v>
      </c>
      <c r="K132" s="91" t="n">
        <f aca="false">IFERROR(J132/J$5,0)</f>
        <v>0</v>
      </c>
      <c r="M132" s="75" t="n">
        <f aca="false">SUMIFS('Dados Mov Financeira'!$N:$N,'Dados Mov Financeira'!$O:$O,'DRE 2020'!$B132,'Dados Mov Financeira'!$A:$A,'DRE 2020'!M$1,'Dados Mov Financeira'!$B:$B,'DRE 2020'!M$2)</f>
        <v>0</v>
      </c>
      <c r="N132" s="91" t="n">
        <f aca="false">IFERROR(M132/M$5,0)</f>
        <v>0</v>
      </c>
      <c r="P132" s="75" t="n">
        <f aca="false">SUMIFS('Dados Mov Financeira'!$N:$N,'Dados Mov Financeira'!$O:$O,'DRE 2020'!$B132,'Dados Mov Financeira'!$A:$A,'DRE 2020'!P$1,'Dados Mov Financeira'!$B:$B,'DRE 2020'!P$2)</f>
        <v>0</v>
      </c>
      <c r="Q132" s="91" t="n">
        <f aca="false">IFERROR(P132/P$5,0)</f>
        <v>0</v>
      </c>
      <c r="S132" s="75" t="n">
        <f aca="false">SUMIFS('Dados Mov Financeira'!$N:$N,'Dados Mov Financeira'!$O:$O,'DRE 2020'!$B132,'Dados Mov Financeira'!$A:$A,'DRE 2020'!S$1,'Dados Mov Financeira'!$B:$B,'DRE 2020'!S$2)</f>
        <v>0</v>
      </c>
      <c r="T132" s="91" t="n">
        <f aca="false">IFERROR(S132/S$5,0)</f>
        <v>0</v>
      </c>
      <c r="V132" s="75" t="n">
        <f aca="false">SUMIFS('Dados Mov Financeira'!$N:$N,'Dados Mov Financeira'!$O:$O,'DRE 2020'!$B132,'Dados Mov Financeira'!$A:$A,'DRE 2020'!V$1,'Dados Mov Financeira'!$B:$B,'DRE 2020'!V$2)</f>
        <v>0</v>
      </c>
      <c r="W132" s="91" t="n">
        <f aca="false">IFERROR(V132/V$5,0)</f>
        <v>0</v>
      </c>
      <c r="Y132" s="75" t="n">
        <f aca="false">SUMIFS('Dados Mov Financeira'!$N:$N,'Dados Mov Financeira'!$O:$O,'DRE 2020'!$B132,'Dados Mov Financeira'!$A:$A,'DRE 2020'!Y$1,'Dados Mov Financeira'!$B:$B,'DRE 2020'!Y$2)</f>
        <v>0</v>
      </c>
      <c r="Z132" s="91" t="n">
        <f aca="false">IFERROR(Y132/Y$5,0)</f>
        <v>0</v>
      </c>
      <c r="AB132" s="75" t="n">
        <f aca="false">SUMIFS('Dados Mov Financeira'!$N:$N,'Dados Mov Financeira'!$O:$O,'DRE 2020'!$B132,'Dados Mov Financeira'!$A:$A,'DRE 2020'!AB$1,'Dados Mov Financeira'!$B:$B,'DRE 2020'!AB$2)</f>
        <v>0</v>
      </c>
      <c r="AC132" s="91" t="n">
        <f aca="false">IFERROR(AB132/AB$5,0)</f>
        <v>0</v>
      </c>
      <c r="AE132" s="75" t="n">
        <f aca="false">SUMIFS('Dados Mov Financeira'!$N:$N,'Dados Mov Financeira'!$O:$O,'DRE 2020'!$B132,'Dados Mov Financeira'!$A:$A,'DRE 2020'!AE$1,'Dados Mov Financeira'!$B:$B,'DRE 2020'!AE$2)</f>
        <v>0</v>
      </c>
      <c r="AF132" s="91" t="n">
        <f aca="false">IFERROR(AE132/AE$5,0)</f>
        <v>0</v>
      </c>
      <c r="AH132" s="75" t="n">
        <f aca="false">SUMIFS('Dados Mov Financeira'!$N:$N,'Dados Mov Financeira'!$O:$O,'DRE 2020'!$B132,'Dados Mov Financeira'!$A:$A,'DRE 2020'!AH$1,'Dados Mov Financeira'!$B:$B,'DRE 2020'!AH$2)</f>
        <v>0</v>
      </c>
      <c r="AI132" s="91" t="n">
        <f aca="false">IFERROR(AH132/AH$5,0)</f>
        <v>0</v>
      </c>
      <c r="AK132" s="75" t="n">
        <f aca="false">SUMIFS('Dados Mov Financeira'!$N:$N,'Dados Mov Financeira'!$O:$O,'DRE 2020'!$B132,'Dados Mov Financeira'!$A:$A,'DRE 2020'!AK$1,'Dados Mov Financeira'!$B:$B,'DRE 2020'!AK$2)</f>
        <v>0</v>
      </c>
      <c r="AL132" s="91" t="n">
        <f aca="false">IFERROR(AK132/AK$5,0)</f>
        <v>0</v>
      </c>
      <c r="AN132" s="92" t="n">
        <f aca="false">SUM(D132,G132,J132,M132,P132,S132,V132,Y132,AB132,AE132,AH132,AK132)</f>
        <v>0</v>
      </c>
      <c r="AO132" s="108" t="n">
        <f aca="false">IFERROR(AN132/AN$5,0)</f>
        <v>0</v>
      </c>
      <c r="AQ132" s="93" t="n">
        <f aca="false">AN132/$AR$1</f>
        <v>0</v>
      </c>
      <c r="AR132" s="94" t="n">
        <f aca="false">IFERROR(AQ132/AQ$5,0)</f>
        <v>0</v>
      </c>
      <c r="AT132" s="116"/>
    </row>
    <row r="133" customFormat="false" ht="14.25" hidden="true" customHeight="false" outlineLevel="1" collapsed="false">
      <c r="B133" s="89" t="s">
        <v>150</v>
      </c>
      <c r="D133" s="75" t="n">
        <f aca="false">SUMIFS('Dados Mov Financeira'!$N:$N,'Dados Mov Financeira'!$O:$O,'DRE 2020'!$B133,'Dados Mov Financeira'!$A:$A,'DRE 2020'!D$1,'Dados Mov Financeira'!$B:$B,'DRE 2020'!D$2)</f>
        <v>0</v>
      </c>
      <c r="E133" s="91" t="n">
        <f aca="false">IFERROR(D133/D$5,0)</f>
        <v>0</v>
      </c>
      <c r="G133" s="75" t="n">
        <f aca="false">SUMIFS('Dados Mov Financeira'!$N:$N,'Dados Mov Financeira'!$O:$O,'DRE 2020'!$B133,'Dados Mov Financeira'!$A:$A,'DRE 2020'!G$1,'Dados Mov Financeira'!$B:$B,'DRE 2020'!G$2)</f>
        <v>0</v>
      </c>
      <c r="H133" s="91" t="n">
        <f aca="false">IFERROR(G133/G$5,0)</f>
        <v>0</v>
      </c>
      <c r="J133" s="75" t="n">
        <f aca="false">SUMIFS('Dados Mov Financeira'!$N:$N,'Dados Mov Financeira'!$O:$O,'DRE 2020'!$B133,'Dados Mov Financeira'!$A:$A,'DRE 2020'!J$1,'Dados Mov Financeira'!$B:$B,'DRE 2020'!J$2)</f>
        <v>0</v>
      </c>
      <c r="K133" s="91" t="n">
        <f aca="false">IFERROR(J133/J$5,0)</f>
        <v>0</v>
      </c>
      <c r="M133" s="75" t="n">
        <f aca="false">SUMIFS('Dados Mov Financeira'!$N:$N,'Dados Mov Financeira'!$O:$O,'DRE 2020'!$B133,'Dados Mov Financeira'!$A:$A,'DRE 2020'!M$1,'Dados Mov Financeira'!$B:$B,'DRE 2020'!M$2)</f>
        <v>0</v>
      </c>
      <c r="N133" s="91" t="n">
        <f aca="false">IFERROR(M133/M$5,0)</f>
        <v>0</v>
      </c>
      <c r="P133" s="75" t="n">
        <f aca="false">SUMIFS('Dados Mov Financeira'!$N:$N,'Dados Mov Financeira'!$O:$O,'DRE 2020'!$B133,'Dados Mov Financeira'!$A:$A,'DRE 2020'!P$1,'Dados Mov Financeira'!$B:$B,'DRE 2020'!P$2)</f>
        <v>0</v>
      </c>
      <c r="Q133" s="91" t="n">
        <f aca="false">IFERROR(P133/P$5,0)</f>
        <v>0</v>
      </c>
      <c r="S133" s="75" t="n">
        <f aca="false">SUMIFS('Dados Mov Financeira'!$N:$N,'Dados Mov Financeira'!$O:$O,'DRE 2020'!$B133,'Dados Mov Financeira'!$A:$A,'DRE 2020'!S$1,'Dados Mov Financeira'!$B:$B,'DRE 2020'!S$2)</f>
        <v>0</v>
      </c>
      <c r="T133" s="91" t="n">
        <f aca="false">IFERROR(S133/S$5,0)</f>
        <v>0</v>
      </c>
      <c r="V133" s="75" t="n">
        <f aca="false">SUMIFS('Dados Mov Financeira'!$N:$N,'Dados Mov Financeira'!$O:$O,'DRE 2020'!$B133,'Dados Mov Financeira'!$A:$A,'DRE 2020'!V$1,'Dados Mov Financeira'!$B:$B,'DRE 2020'!V$2)</f>
        <v>0</v>
      </c>
      <c r="W133" s="91" t="n">
        <f aca="false">IFERROR(V133/V$5,0)</f>
        <v>0</v>
      </c>
      <c r="Y133" s="75" t="n">
        <f aca="false">SUMIFS('Dados Mov Financeira'!$N:$N,'Dados Mov Financeira'!$O:$O,'DRE 2020'!$B133,'Dados Mov Financeira'!$A:$A,'DRE 2020'!Y$1,'Dados Mov Financeira'!$B:$B,'DRE 2020'!Y$2)</f>
        <v>0</v>
      </c>
      <c r="Z133" s="91" t="n">
        <f aca="false">IFERROR(Y133/Y$5,0)</f>
        <v>0</v>
      </c>
      <c r="AB133" s="75" t="n">
        <f aca="false">SUMIFS('Dados Mov Financeira'!$N:$N,'Dados Mov Financeira'!$O:$O,'DRE 2020'!$B133,'Dados Mov Financeira'!$A:$A,'DRE 2020'!AB$1,'Dados Mov Financeira'!$B:$B,'DRE 2020'!AB$2)</f>
        <v>0</v>
      </c>
      <c r="AC133" s="91" t="n">
        <f aca="false">IFERROR(AB133/AB$5,0)</f>
        <v>0</v>
      </c>
      <c r="AE133" s="75" t="n">
        <f aca="false">SUMIFS('Dados Mov Financeira'!$N:$N,'Dados Mov Financeira'!$O:$O,'DRE 2020'!$B133,'Dados Mov Financeira'!$A:$A,'DRE 2020'!AE$1,'Dados Mov Financeira'!$B:$B,'DRE 2020'!AE$2)</f>
        <v>0</v>
      </c>
      <c r="AF133" s="91" t="n">
        <f aca="false">IFERROR(AE133/AE$5,0)</f>
        <v>0</v>
      </c>
      <c r="AH133" s="75" t="n">
        <f aca="false">SUMIFS('Dados Mov Financeira'!$N:$N,'Dados Mov Financeira'!$O:$O,'DRE 2020'!$B133,'Dados Mov Financeira'!$A:$A,'DRE 2020'!AH$1,'Dados Mov Financeira'!$B:$B,'DRE 2020'!AH$2)</f>
        <v>0</v>
      </c>
      <c r="AI133" s="91" t="n">
        <f aca="false">IFERROR(AH133/AH$5,0)</f>
        <v>0</v>
      </c>
      <c r="AK133" s="75" t="n">
        <f aca="false">SUMIFS('Dados Mov Financeira'!$N:$N,'Dados Mov Financeira'!$O:$O,'DRE 2020'!$B133,'Dados Mov Financeira'!$A:$A,'DRE 2020'!AK$1,'Dados Mov Financeira'!$B:$B,'DRE 2020'!AK$2)</f>
        <v>0</v>
      </c>
      <c r="AL133" s="91" t="n">
        <f aca="false">IFERROR(AK133/AK$5,0)</f>
        <v>0</v>
      </c>
      <c r="AN133" s="92" t="n">
        <f aca="false">SUM(D133,G133,J133,M133,P133,S133,V133,Y133,AB133,AE133,AH133,AK133)</f>
        <v>0</v>
      </c>
      <c r="AO133" s="108" t="n">
        <f aca="false">IFERROR(AN133/AN$5,0)</f>
        <v>0</v>
      </c>
      <c r="AQ133" s="93" t="n">
        <f aca="false">AN133/$AR$1</f>
        <v>0</v>
      </c>
      <c r="AR133" s="94" t="n">
        <f aca="false">IFERROR(AQ133/AQ$5,0)</f>
        <v>0</v>
      </c>
      <c r="AT133" s="116"/>
    </row>
    <row r="134" customFormat="false" ht="14.25" hidden="true" customHeight="false" outlineLevel="1" collapsed="false">
      <c r="B134" s="89" t="s">
        <v>151</v>
      </c>
      <c r="D134" s="75" t="n">
        <f aca="false">SUMIFS('Dados Mov Financeira'!$N:$N,'Dados Mov Financeira'!$O:$O,'DRE 2020'!$B134,'Dados Mov Financeira'!$A:$A,'DRE 2020'!D$1,'Dados Mov Financeira'!$B:$B,'DRE 2020'!D$2)</f>
        <v>0</v>
      </c>
      <c r="E134" s="91" t="n">
        <f aca="false">IFERROR(D134/D$5,0)</f>
        <v>0</v>
      </c>
      <c r="G134" s="75" t="n">
        <f aca="false">SUMIFS('Dados Mov Financeira'!$N:$N,'Dados Mov Financeira'!$O:$O,'DRE 2020'!$B134,'Dados Mov Financeira'!$A:$A,'DRE 2020'!G$1,'Dados Mov Financeira'!$B:$B,'DRE 2020'!G$2)</f>
        <v>0</v>
      </c>
      <c r="H134" s="91" t="n">
        <f aca="false">IFERROR(G134/G$5,0)</f>
        <v>0</v>
      </c>
      <c r="J134" s="75" t="n">
        <f aca="false">SUMIFS('Dados Mov Financeira'!$N:$N,'Dados Mov Financeira'!$O:$O,'DRE 2020'!$B134,'Dados Mov Financeira'!$A:$A,'DRE 2020'!J$1,'Dados Mov Financeira'!$B:$B,'DRE 2020'!J$2)</f>
        <v>0</v>
      </c>
      <c r="K134" s="91" t="n">
        <f aca="false">IFERROR(J134/J$5,0)</f>
        <v>0</v>
      </c>
      <c r="M134" s="75" t="n">
        <f aca="false">SUMIFS('Dados Mov Financeira'!$N:$N,'Dados Mov Financeira'!$O:$O,'DRE 2020'!$B134,'Dados Mov Financeira'!$A:$A,'DRE 2020'!M$1,'Dados Mov Financeira'!$B:$B,'DRE 2020'!M$2)</f>
        <v>0</v>
      </c>
      <c r="N134" s="91" t="n">
        <f aca="false">IFERROR(M134/M$5,0)</f>
        <v>0</v>
      </c>
      <c r="P134" s="75" t="n">
        <f aca="false">SUMIFS('Dados Mov Financeira'!$N:$N,'Dados Mov Financeira'!$O:$O,'DRE 2020'!$B134,'Dados Mov Financeira'!$A:$A,'DRE 2020'!P$1,'Dados Mov Financeira'!$B:$B,'DRE 2020'!P$2)</f>
        <v>0</v>
      </c>
      <c r="Q134" s="91" t="n">
        <f aca="false">IFERROR(P134/P$5,0)</f>
        <v>0</v>
      </c>
      <c r="S134" s="75" t="n">
        <f aca="false">SUMIFS('Dados Mov Financeira'!$N:$N,'Dados Mov Financeira'!$O:$O,'DRE 2020'!$B134,'Dados Mov Financeira'!$A:$A,'DRE 2020'!S$1,'Dados Mov Financeira'!$B:$B,'DRE 2020'!S$2)</f>
        <v>0</v>
      </c>
      <c r="T134" s="91" t="n">
        <f aca="false">IFERROR(S134/S$5,0)</f>
        <v>0</v>
      </c>
      <c r="V134" s="75" t="n">
        <f aca="false">SUMIFS('Dados Mov Financeira'!$N:$N,'Dados Mov Financeira'!$O:$O,'DRE 2020'!$B134,'Dados Mov Financeira'!$A:$A,'DRE 2020'!V$1,'Dados Mov Financeira'!$B:$B,'DRE 2020'!V$2)</f>
        <v>0</v>
      </c>
      <c r="W134" s="91" t="n">
        <f aca="false">IFERROR(V134/V$5,0)</f>
        <v>0</v>
      </c>
      <c r="Y134" s="75" t="n">
        <f aca="false">SUMIFS('Dados Mov Financeira'!$N:$N,'Dados Mov Financeira'!$O:$O,'DRE 2020'!$B134,'Dados Mov Financeira'!$A:$A,'DRE 2020'!Y$1,'Dados Mov Financeira'!$B:$B,'DRE 2020'!Y$2)</f>
        <v>0</v>
      </c>
      <c r="Z134" s="91" t="n">
        <f aca="false">IFERROR(Y134/Y$5,0)</f>
        <v>0</v>
      </c>
      <c r="AB134" s="75" t="n">
        <f aca="false">SUMIFS('Dados Mov Financeira'!$N:$N,'Dados Mov Financeira'!$O:$O,'DRE 2020'!$B134,'Dados Mov Financeira'!$A:$A,'DRE 2020'!AB$1,'Dados Mov Financeira'!$B:$B,'DRE 2020'!AB$2)</f>
        <v>0</v>
      </c>
      <c r="AC134" s="91" t="n">
        <f aca="false">IFERROR(AB134/AB$5,0)</f>
        <v>0</v>
      </c>
      <c r="AE134" s="75" t="n">
        <f aca="false">SUMIFS('Dados Mov Financeira'!$N:$N,'Dados Mov Financeira'!$O:$O,'DRE 2020'!$B134,'Dados Mov Financeira'!$A:$A,'DRE 2020'!AE$1,'Dados Mov Financeira'!$B:$B,'DRE 2020'!AE$2)</f>
        <v>0</v>
      </c>
      <c r="AF134" s="91" t="n">
        <f aca="false">IFERROR(AE134/AE$5,0)</f>
        <v>0</v>
      </c>
      <c r="AH134" s="75" t="n">
        <f aca="false">SUMIFS('Dados Mov Financeira'!$N:$N,'Dados Mov Financeira'!$O:$O,'DRE 2020'!$B134,'Dados Mov Financeira'!$A:$A,'DRE 2020'!AH$1,'Dados Mov Financeira'!$B:$B,'DRE 2020'!AH$2)</f>
        <v>0</v>
      </c>
      <c r="AI134" s="91" t="n">
        <f aca="false">IFERROR(AH134/AH$5,0)</f>
        <v>0</v>
      </c>
      <c r="AK134" s="75" t="n">
        <f aca="false">SUMIFS('Dados Mov Financeira'!$N:$N,'Dados Mov Financeira'!$O:$O,'DRE 2020'!$B134,'Dados Mov Financeira'!$A:$A,'DRE 2020'!AK$1,'Dados Mov Financeira'!$B:$B,'DRE 2020'!AK$2)</f>
        <v>0</v>
      </c>
      <c r="AL134" s="91" t="n">
        <f aca="false">IFERROR(AK134/AK$5,0)</f>
        <v>0</v>
      </c>
      <c r="AN134" s="92" t="n">
        <f aca="false">SUM(D134,G134,J134,M134,P134,S134,V134,Y134,AB134,AE134,AH134,AK134)</f>
        <v>0</v>
      </c>
      <c r="AO134" s="108" t="n">
        <f aca="false">IFERROR(AN134/AN$5,0)</f>
        <v>0</v>
      </c>
      <c r="AQ134" s="93" t="n">
        <f aca="false">AN134/$AR$1</f>
        <v>0</v>
      </c>
      <c r="AR134" s="94" t="n">
        <f aca="false">IFERROR(AQ134/AQ$5,0)</f>
        <v>0</v>
      </c>
      <c r="AT134" s="116"/>
    </row>
    <row r="135" customFormat="false" ht="14.25" hidden="true" customHeight="false" outlineLevel="1" collapsed="false">
      <c r="B135" s="89" t="s">
        <v>152</v>
      </c>
      <c r="D135" s="75" t="n">
        <f aca="false">SUMIFS('Dados Mov Financeira'!$N:$N,'Dados Mov Financeira'!$O:$O,'DRE 2020'!$B135,'Dados Mov Financeira'!$A:$A,'DRE 2020'!D$1,'Dados Mov Financeira'!$B:$B,'DRE 2020'!D$2)</f>
        <v>0</v>
      </c>
      <c r="E135" s="91" t="n">
        <f aca="false">IFERROR(D135/D$5,0)</f>
        <v>0</v>
      </c>
      <c r="G135" s="75" t="n">
        <f aca="false">SUMIFS('Dados Mov Financeira'!$N:$N,'Dados Mov Financeira'!$O:$O,'DRE 2020'!$B135,'Dados Mov Financeira'!$A:$A,'DRE 2020'!G$1,'Dados Mov Financeira'!$B:$B,'DRE 2020'!G$2)</f>
        <v>0</v>
      </c>
      <c r="H135" s="91" t="n">
        <f aca="false">IFERROR(G135/G$5,0)</f>
        <v>0</v>
      </c>
      <c r="J135" s="75" t="n">
        <f aca="false">SUMIFS('Dados Mov Financeira'!$N:$N,'Dados Mov Financeira'!$O:$O,'DRE 2020'!$B135,'Dados Mov Financeira'!$A:$A,'DRE 2020'!J$1,'Dados Mov Financeira'!$B:$B,'DRE 2020'!J$2)</f>
        <v>0</v>
      </c>
      <c r="K135" s="91" t="n">
        <f aca="false">IFERROR(J135/J$5,0)</f>
        <v>0</v>
      </c>
      <c r="M135" s="75" t="n">
        <f aca="false">SUMIFS('Dados Mov Financeira'!$N:$N,'Dados Mov Financeira'!$O:$O,'DRE 2020'!$B135,'Dados Mov Financeira'!$A:$A,'DRE 2020'!M$1,'Dados Mov Financeira'!$B:$B,'DRE 2020'!M$2)</f>
        <v>0</v>
      </c>
      <c r="N135" s="91" t="n">
        <f aca="false">IFERROR(M135/M$5,0)</f>
        <v>0</v>
      </c>
      <c r="P135" s="99" t="n">
        <f aca="false">SUMIFS('Dados Mov Financeira'!$N:$N,'Dados Mov Financeira'!$O:$O,'DRE 2020'!$B135,'Dados Mov Financeira'!$A:$A,'DRE 2020'!P$1,'Dados Mov Financeira'!$B:$B,'DRE 2020'!P$2)</f>
        <v>0</v>
      </c>
      <c r="Q135" s="91" t="n">
        <f aca="false">IFERROR(P135/P$5,0)</f>
        <v>0</v>
      </c>
      <c r="S135" s="99" t="n">
        <f aca="false">SUMIFS('Dados Mov Financeira'!$N:$N,'Dados Mov Financeira'!$O:$O,'DRE 2020'!$B135,'Dados Mov Financeira'!$A:$A,'DRE 2020'!S$1,'Dados Mov Financeira'!$B:$B,'DRE 2020'!S$2)</f>
        <v>0</v>
      </c>
      <c r="T135" s="91" t="n">
        <f aca="false">IFERROR(S135/S$5,0)</f>
        <v>0</v>
      </c>
      <c r="V135" s="99" t="n">
        <f aca="false">SUMIFS('Dados Mov Financeira'!$N:$N,'Dados Mov Financeira'!$O:$O,'DRE 2020'!$B135,'Dados Mov Financeira'!$A:$A,'DRE 2020'!V$1,'Dados Mov Financeira'!$B:$B,'DRE 2020'!V$2)</f>
        <v>0</v>
      </c>
      <c r="W135" s="91" t="n">
        <f aca="false">IFERROR(V135/V$5,0)</f>
        <v>0</v>
      </c>
      <c r="Y135" s="99" t="n">
        <f aca="false">SUMIFS('Dados Mov Financeira'!$N:$N,'Dados Mov Financeira'!$O:$O,'DRE 2020'!$B135,'Dados Mov Financeira'!$A:$A,'DRE 2020'!Y$1,'Dados Mov Financeira'!$B:$B,'DRE 2020'!Y$2)</f>
        <v>0</v>
      </c>
      <c r="Z135" s="91" t="n">
        <f aca="false">IFERROR(Y135/Y$5,0)</f>
        <v>0</v>
      </c>
      <c r="AB135" s="99" t="n">
        <f aca="false">SUMIFS('Dados Mov Financeira'!$N:$N,'Dados Mov Financeira'!$O:$O,'DRE 2020'!$B135,'Dados Mov Financeira'!$A:$A,'DRE 2020'!AB$1,'Dados Mov Financeira'!$B:$B,'DRE 2020'!AB$2)</f>
        <v>0</v>
      </c>
      <c r="AC135" s="91" t="n">
        <f aca="false">IFERROR(AB135/AB$5,0)</f>
        <v>0</v>
      </c>
      <c r="AE135" s="99" t="n">
        <f aca="false">SUMIFS('Dados Mov Financeira'!$N:$N,'Dados Mov Financeira'!$O:$O,'DRE 2020'!$B135,'Dados Mov Financeira'!$A:$A,'DRE 2020'!AE$1,'Dados Mov Financeira'!$B:$B,'DRE 2020'!AE$2)</f>
        <v>0</v>
      </c>
      <c r="AF135" s="91" t="n">
        <f aca="false">IFERROR(AE135/AE$5,0)</f>
        <v>0</v>
      </c>
      <c r="AH135" s="99" t="n">
        <f aca="false">SUMIFS('Dados Mov Financeira'!$N:$N,'Dados Mov Financeira'!$O:$O,'DRE 2020'!$B135,'Dados Mov Financeira'!$A:$A,'DRE 2020'!AH$1,'Dados Mov Financeira'!$B:$B,'DRE 2020'!AH$2)</f>
        <v>0</v>
      </c>
      <c r="AI135" s="91" t="n">
        <f aca="false">IFERROR(AH135/AH$5,0)</f>
        <v>0</v>
      </c>
      <c r="AK135" s="99" t="n">
        <f aca="false">SUMIFS('Dados Mov Financeira'!$N:$N,'Dados Mov Financeira'!$O:$O,'DRE 2020'!$B135,'Dados Mov Financeira'!$A:$A,'DRE 2020'!AK$1,'Dados Mov Financeira'!$B:$B,'DRE 2020'!AK$2)</f>
        <v>0</v>
      </c>
      <c r="AL135" s="91" t="n">
        <f aca="false">IFERROR(AK135/AK$5,0)</f>
        <v>0</v>
      </c>
      <c r="AN135" s="92" t="n">
        <f aca="false">SUM(D135,G135,J135,M135,P135,S135,V135,Y135,AB135,AE135,AH135,AK135)</f>
        <v>0</v>
      </c>
      <c r="AO135" s="108" t="n">
        <f aca="false">IFERROR(AN135/AN$5,0)</f>
        <v>0</v>
      </c>
      <c r="AQ135" s="93" t="n">
        <f aca="false">AN135/$AR$1</f>
        <v>0</v>
      </c>
      <c r="AR135" s="94" t="n">
        <f aca="false">IFERROR(AQ135/AQ$5,0)</f>
        <v>0</v>
      </c>
      <c r="AT135" s="116"/>
    </row>
    <row r="136" customFormat="false" ht="14.25" hidden="true" customHeight="false" outlineLevel="1" collapsed="false">
      <c r="B136" s="89" t="s">
        <v>153</v>
      </c>
      <c r="D136" s="75" t="n">
        <f aca="false">SUMIFS('Dados Mov Financeira'!$N:$N,'Dados Mov Financeira'!$O:$O,'DRE 2020'!$B136,'Dados Mov Financeira'!$A:$A,'DRE 2020'!D$1,'Dados Mov Financeira'!$B:$B,'DRE 2020'!D$2)</f>
        <v>0</v>
      </c>
      <c r="E136" s="91" t="n">
        <f aca="false">IFERROR(D136/D$5,0)</f>
        <v>0</v>
      </c>
      <c r="G136" s="75" t="n">
        <f aca="false">SUMIFS('Dados Mov Financeira'!$N:$N,'Dados Mov Financeira'!$O:$O,'DRE 2020'!$B136,'Dados Mov Financeira'!$A:$A,'DRE 2020'!G$1,'Dados Mov Financeira'!$B:$B,'DRE 2020'!G$2)</f>
        <v>0</v>
      </c>
      <c r="H136" s="91" t="n">
        <f aca="false">IFERROR(G136/G$5,0)</f>
        <v>0</v>
      </c>
      <c r="J136" s="75" t="n">
        <f aca="false">SUMIFS('Dados Mov Financeira'!$N:$N,'Dados Mov Financeira'!$O:$O,'DRE 2020'!$B136,'Dados Mov Financeira'!$A:$A,'DRE 2020'!J$1,'Dados Mov Financeira'!$B:$B,'DRE 2020'!J$2)</f>
        <v>0</v>
      </c>
      <c r="K136" s="91" t="n">
        <f aca="false">IFERROR(J136/J$5,0)</f>
        <v>0</v>
      </c>
      <c r="M136" s="75" t="n">
        <f aca="false">SUMIFS('Dados Mov Financeira'!$N:$N,'Dados Mov Financeira'!$O:$O,'DRE 2020'!$B136,'Dados Mov Financeira'!$A:$A,'DRE 2020'!M$1,'Dados Mov Financeira'!$B:$B,'DRE 2020'!M$2)</f>
        <v>0</v>
      </c>
      <c r="N136" s="91" t="n">
        <f aca="false">IFERROR(M136/M$5,0)</f>
        <v>0</v>
      </c>
      <c r="P136" s="75" t="n">
        <f aca="false">SUMIFS('Dados Mov Financeira'!$N:$N,'Dados Mov Financeira'!$O:$O,'DRE 2020'!$B136,'Dados Mov Financeira'!$A:$A,'DRE 2020'!P$1,'Dados Mov Financeira'!$B:$B,'DRE 2020'!P$2)</f>
        <v>0</v>
      </c>
      <c r="Q136" s="91" t="n">
        <f aca="false">IFERROR(P136/P$5,0)</f>
        <v>0</v>
      </c>
      <c r="S136" s="75" t="n">
        <f aca="false">SUMIFS('Dados Mov Financeira'!$N:$N,'Dados Mov Financeira'!$O:$O,'DRE 2020'!$B136,'Dados Mov Financeira'!$A:$A,'DRE 2020'!S$1,'Dados Mov Financeira'!$B:$B,'DRE 2020'!S$2)</f>
        <v>0</v>
      </c>
      <c r="T136" s="91" t="n">
        <f aca="false">IFERROR(S136/S$5,0)</f>
        <v>0</v>
      </c>
      <c r="V136" s="75" t="n">
        <f aca="false">SUMIFS('Dados Mov Financeira'!$N:$N,'Dados Mov Financeira'!$O:$O,'DRE 2020'!$B136,'Dados Mov Financeira'!$A:$A,'DRE 2020'!V$1,'Dados Mov Financeira'!$B:$B,'DRE 2020'!V$2)</f>
        <v>0</v>
      </c>
      <c r="W136" s="91" t="n">
        <f aca="false">IFERROR(V136/V$5,0)</f>
        <v>0</v>
      </c>
      <c r="Y136" s="75" t="n">
        <f aca="false">SUMIFS('Dados Mov Financeira'!$N:$N,'Dados Mov Financeira'!$O:$O,'DRE 2020'!$B136,'Dados Mov Financeira'!$A:$A,'DRE 2020'!Y$1,'Dados Mov Financeira'!$B:$B,'DRE 2020'!Y$2)</f>
        <v>0</v>
      </c>
      <c r="Z136" s="91" t="n">
        <f aca="false">IFERROR(Y136/Y$5,0)</f>
        <v>0</v>
      </c>
      <c r="AB136" s="75" t="n">
        <f aca="false">SUMIFS('Dados Mov Financeira'!$N:$N,'Dados Mov Financeira'!$O:$O,'DRE 2020'!$B136,'Dados Mov Financeira'!$A:$A,'DRE 2020'!AB$1,'Dados Mov Financeira'!$B:$B,'DRE 2020'!AB$2)</f>
        <v>0</v>
      </c>
      <c r="AC136" s="91" t="n">
        <f aca="false">IFERROR(AB136/AB$5,0)</f>
        <v>0</v>
      </c>
      <c r="AE136" s="75" t="n">
        <f aca="false">SUMIFS('Dados Mov Financeira'!$N:$N,'Dados Mov Financeira'!$O:$O,'DRE 2020'!$B136,'Dados Mov Financeira'!$A:$A,'DRE 2020'!AE$1,'Dados Mov Financeira'!$B:$B,'DRE 2020'!AE$2)</f>
        <v>0</v>
      </c>
      <c r="AF136" s="91" t="n">
        <f aca="false">IFERROR(AE136/AE$5,0)</f>
        <v>0</v>
      </c>
      <c r="AH136" s="75" t="n">
        <f aca="false">SUMIFS('Dados Mov Financeira'!$N:$N,'Dados Mov Financeira'!$O:$O,'DRE 2020'!$B136,'Dados Mov Financeira'!$A:$A,'DRE 2020'!AH$1,'Dados Mov Financeira'!$B:$B,'DRE 2020'!AH$2)</f>
        <v>0</v>
      </c>
      <c r="AI136" s="91" t="n">
        <f aca="false">IFERROR(AH136/AH$5,0)</f>
        <v>0</v>
      </c>
      <c r="AK136" s="75" t="n">
        <f aca="false">SUMIFS('Dados Mov Financeira'!$N:$N,'Dados Mov Financeira'!$O:$O,'DRE 2020'!$B136,'Dados Mov Financeira'!$A:$A,'DRE 2020'!AK$1,'Dados Mov Financeira'!$B:$B,'DRE 2020'!AK$2)</f>
        <v>0</v>
      </c>
      <c r="AL136" s="91" t="n">
        <f aca="false">IFERROR(AK136/AK$5,0)</f>
        <v>0</v>
      </c>
      <c r="AN136" s="92" t="n">
        <f aca="false">SUM(D136,G136,J136,M136,P136,S136,V136,Y136,AB136,AE136,AH136,AK136)</f>
        <v>0</v>
      </c>
      <c r="AO136" s="108" t="n">
        <f aca="false">IFERROR(AN136/AN$5,0)</f>
        <v>0</v>
      </c>
      <c r="AQ136" s="93" t="n">
        <f aca="false">AN136/$AR$1</f>
        <v>0</v>
      </c>
      <c r="AR136" s="94" t="n">
        <f aca="false">IFERROR(AQ136/AQ$5,0)</f>
        <v>0</v>
      </c>
      <c r="AT136" s="116"/>
    </row>
    <row r="137" customFormat="false" ht="14.25" hidden="true" customHeight="false" outlineLevel="1" collapsed="false">
      <c r="B137" s="89" t="s">
        <v>154</v>
      </c>
      <c r="D137" s="75" t="n">
        <f aca="false">SUMIFS('Dados Mov Financeira'!$N:$N,'Dados Mov Financeira'!$O:$O,'DRE 2020'!$B137,'Dados Mov Financeira'!$A:$A,'DRE 2020'!D$1,'Dados Mov Financeira'!$B:$B,'DRE 2020'!D$2)</f>
        <v>0</v>
      </c>
      <c r="E137" s="91" t="n">
        <f aca="false">IFERROR(D137/D$5,0)</f>
        <v>0</v>
      </c>
      <c r="G137" s="75" t="n">
        <f aca="false">SUMIFS('Dados Mov Financeira'!$N:$N,'Dados Mov Financeira'!$O:$O,'DRE 2020'!$B137,'Dados Mov Financeira'!$A:$A,'DRE 2020'!G$1,'Dados Mov Financeira'!$B:$B,'DRE 2020'!G$2)</f>
        <v>0</v>
      </c>
      <c r="H137" s="91" t="n">
        <f aca="false">IFERROR(G137/G$5,0)</f>
        <v>0</v>
      </c>
      <c r="J137" s="75" t="n">
        <f aca="false">SUMIFS('Dados Mov Financeira'!$N:$N,'Dados Mov Financeira'!$O:$O,'DRE 2020'!$B137,'Dados Mov Financeira'!$A:$A,'DRE 2020'!J$1,'Dados Mov Financeira'!$B:$B,'DRE 2020'!J$2)</f>
        <v>0</v>
      </c>
      <c r="K137" s="91" t="n">
        <f aca="false">IFERROR(J137/J$5,0)</f>
        <v>0</v>
      </c>
      <c r="M137" s="75" t="n">
        <f aca="false">SUMIFS('Dados Mov Financeira'!$N:$N,'Dados Mov Financeira'!$O:$O,'DRE 2020'!$B137,'Dados Mov Financeira'!$A:$A,'DRE 2020'!M$1,'Dados Mov Financeira'!$B:$B,'DRE 2020'!M$2)</f>
        <v>0</v>
      </c>
      <c r="N137" s="91" t="n">
        <f aca="false">IFERROR(M137/M$5,0)</f>
        <v>0</v>
      </c>
      <c r="P137" s="75" t="n">
        <f aca="false">SUMIFS('Dados Mov Financeira'!$N:$N,'Dados Mov Financeira'!$O:$O,'DRE 2020'!$B137,'Dados Mov Financeira'!$A:$A,'DRE 2020'!P$1,'Dados Mov Financeira'!$B:$B,'DRE 2020'!P$2)</f>
        <v>0</v>
      </c>
      <c r="Q137" s="91" t="n">
        <f aca="false">IFERROR(P137/P$5,0)</f>
        <v>0</v>
      </c>
      <c r="S137" s="75" t="n">
        <f aca="false">SUMIFS('Dados Mov Financeira'!$N:$N,'Dados Mov Financeira'!$O:$O,'DRE 2020'!$B137,'Dados Mov Financeira'!$A:$A,'DRE 2020'!S$1,'Dados Mov Financeira'!$B:$B,'DRE 2020'!S$2)</f>
        <v>0</v>
      </c>
      <c r="T137" s="91" t="n">
        <f aca="false">IFERROR(S137/S$5,0)</f>
        <v>0</v>
      </c>
      <c r="V137" s="75" t="n">
        <f aca="false">SUMIFS('Dados Mov Financeira'!$N:$N,'Dados Mov Financeira'!$O:$O,'DRE 2020'!$B137,'Dados Mov Financeira'!$A:$A,'DRE 2020'!V$1,'Dados Mov Financeira'!$B:$B,'DRE 2020'!V$2)</f>
        <v>0</v>
      </c>
      <c r="W137" s="91" t="n">
        <f aca="false">IFERROR(V137/V$5,0)</f>
        <v>0</v>
      </c>
      <c r="Y137" s="75" t="n">
        <f aca="false">SUMIFS('Dados Mov Financeira'!$N:$N,'Dados Mov Financeira'!$O:$O,'DRE 2020'!$B137,'Dados Mov Financeira'!$A:$A,'DRE 2020'!Y$1,'Dados Mov Financeira'!$B:$B,'DRE 2020'!Y$2)</f>
        <v>0</v>
      </c>
      <c r="Z137" s="91" t="n">
        <f aca="false">IFERROR(Y137/Y$5,0)</f>
        <v>0</v>
      </c>
      <c r="AB137" s="75" t="n">
        <f aca="false">SUMIFS('Dados Mov Financeira'!$N:$N,'Dados Mov Financeira'!$O:$O,'DRE 2020'!$B137,'Dados Mov Financeira'!$A:$A,'DRE 2020'!AB$1,'Dados Mov Financeira'!$B:$B,'DRE 2020'!AB$2)</f>
        <v>0</v>
      </c>
      <c r="AC137" s="91" t="n">
        <f aca="false">IFERROR(AB137/AB$5,0)</f>
        <v>0</v>
      </c>
      <c r="AE137" s="75" t="n">
        <f aca="false">SUMIFS('Dados Mov Financeira'!$N:$N,'Dados Mov Financeira'!$O:$O,'DRE 2020'!$B137,'Dados Mov Financeira'!$A:$A,'DRE 2020'!AE$1,'Dados Mov Financeira'!$B:$B,'DRE 2020'!AE$2)</f>
        <v>0</v>
      </c>
      <c r="AF137" s="91" t="n">
        <f aca="false">IFERROR(AE137/AE$5,0)</f>
        <v>0</v>
      </c>
      <c r="AH137" s="75" t="n">
        <f aca="false">SUMIFS('Dados Mov Financeira'!$N:$N,'Dados Mov Financeira'!$O:$O,'DRE 2020'!$B137,'Dados Mov Financeira'!$A:$A,'DRE 2020'!AH$1,'Dados Mov Financeira'!$B:$B,'DRE 2020'!AH$2)</f>
        <v>0</v>
      </c>
      <c r="AI137" s="91" t="n">
        <f aca="false">IFERROR(AH137/AH$5,0)</f>
        <v>0</v>
      </c>
      <c r="AK137" s="75" t="n">
        <f aca="false">SUMIFS('Dados Mov Financeira'!$N:$N,'Dados Mov Financeira'!$O:$O,'DRE 2020'!$B137,'Dados Mov Financeira'!$A:$A,'DRE 2020'!AK$1,'Dados Mov Financeira'!$B:$B,'DRE 2020'!AK$2)</f>
        <v>0</v>
      </c>
      <c r="AL137" s="91" t="n">
        <f aca="false">IFERROR(AK137/AK$5,0)</f>
        <v>0</v>
      </c>
      <c r="AN137" s="92" t="n">
        <f aca="false">SUM(D137,G137,J137,M137,P137,S137,V137,Y137,AB137,AE137,AH137,AK137)</f>
        <v>0</v>
      </c>
      <c r="AO137" s="108" t="n">
        <f aca="false">IFERROR(AN137/AN$5,0)</f>
        <v>0</v>
      </c>
      <c r="AQ137" s="93" t="n">
        <f aca="false">AN137/$AR$1</f>
        <v>0</v>
      </c>
      <c r="AR137" s="94" t="n">
        <f aca="false">IFERROR(AQ137/AQ$5,0)</f>
        <v>0</v>
      </c>
      <c r="AT137" s="116"/>
    </row>
    <row r="138" customFormat="false" ht="14.25" hidden="true" customHeight="false" outlineLevel="1" collapsed="false">
      <c r="B138" s="89" t="s">
        <v>155</v>
      </c>
      <c r="D138" s="75" t="n">
        <f aca="false">SUMIFS('Dados Mov Financeira'!$N:$N,'Dados Mov Financeira'!$O:$O,'DRE 2020'!$B138,'Dados Mov Financeira'!$A:$A,'DRE 2020'!D$1,'Dados Mov Financeira'!$B:$B,'DRE 2020'!D$2)</f>
        <v>0</v>
      </c>
      <c r="E138" s="91" t="n">
        <f aca="false">IFERROR(D138/D$5,0)</f>
        <v>0</v>
      </c>
      <c r="G138" s="75" t="n">
        <f aca="false">SUMIFS('Dados Mov Financeira'!$N:$N,'Dados Mov Financeira'!$O:$O,'DRE 2020'!$B138,'Dados Mov Financeira'!$A:$A,'DRE 2020'!G$1,'Dados Mov Financeira'!$B:$B,'DRE 2020'!G$2)</f>
        <v>0</v>
      </c>
      <c r="H138" s="91" t="n">
        <f aca="false">IFERROR(G138/G$5,0)</f>
        <v>0</v>
      </c>
      <c r="J138" s="75" t="n">
        <f aca="false">SUMIFS('Dados Mov Financeira'!$N:$N,'Dados Mov Financeira'!$O:$O,'DRE 2020'!$B138,'Dados Mov Financeira'!$A:$A,'DRE 2020'!J$1,'Dados Mov Financeira'!$B:$B,'DRE 2020'!J$2)</f>
        <v>0</v>
      </c>
      <c r="K138" s="91" t="n">
        <f aca="false">IFERROR(J138/J$5,0)</f>
        <v>0</v>
      </c>
      <c r="M138" s="75" t="n">
        <f aca="false">SUMIFS('Dados Mov Financeira'!$N:$N,'Dados Mov Financeira'!$O:$O,'DRE 2020'!$B138,'Dados Mov Financeira'!$A:$A,'DRE 2020'!M$1,'Dados Mov Financeira'!$B:$B,'DRE 2020'!M$2)</f>
        <v>0</v>
      </c>
      <c r="N138" s="91" t="n">
        <f aca="false">IFERROR(M138/M$5,0)</f>
        <v>0</v>
      </c>
      <c r="P138" s="75" t="n">
        <f aca="false">SUMIFS('Dados Mov Financeira'!$N:$N,'Dados Mov Financeira'!$O:$O,'DRE 2020'!$B138,'Dados Mov Financeira'!$A:$A,'DRE 2020'!P$1,'Dados Mov Financeira'!$B:$B,'DRE 2020'!P$2)</f>
        <v>0</v>
      </c>
      <c r="Q138" s="91" t="n">
        <f aca="false">IFERROR(P138/P$5,0)</f>
        <v>0</v>
      </c>
      <c r="S138" s="75" t="n">
        <f aca="false">SUMIFS('Dados Mov Financeira'!$N:$N,'Dados Mov Financeira'!$O:$O,'DRE 2020'!$B138,'Dados Mov Financeira'!$A:$A,'DRE 2020'!S$1,'Dados Mov Financeira'!$B:$B,'DRE 2020'!S$2)</f>
        <v>0</v>
      </c>
      <c r="T138" s="91" t="n">
        <f aca="false">IFERROR(S138/S$5,0)</f>
        <v>0</v>
      </c>
      <c r="V138" s="75" t="n">
        <f aca="false">SUMIFS('Dados Mov Financeira'!$N:$N,'Dados Mov Financeira'!$O:$O,'DRE 2020'!$B138,'Dados Mov Financeira'!$A:$A,'DRE 2020'!V$1,'Dados Mov Financeira'!$B:$B,'DRE 2020'!V$2)</f>
        <v>0</v>
      </c>
      <c r="W138" s="91" t="n">
        <f aca="false">IFERROR(V138/V$5,0)</f>
        <v>0</v>
      </c>
      <c r="Y138" s="75" t="n">
        <f aca="false">SUMIFS('Dados Mov Financeira'!$N:$N,'Dados Mov Financeira'!$O:$O,'DRE 2020'!$B138,'Dados Mov Financeira'!$A:$A,'DRE 2020'!Y$1,'Dados Mov Financeira'!$B:$B,'DRE 2020'!Y$2)</f>
        <v>0</v>
      </c>
      <c r="Z138" s="91" t="n">
        <f aca="false">IFERROR(Y138/Y$5,0)</f>
        <v>0</v>
      </c>
      <c r="AB138" s="75" t="n">
        <f aca="false">SUMIFS('Dados Mov Financeira'!$N:$N,'Dados Mov Financeira'!$O:$O,'DRE 2020'!$B138,'Dados Mov Financeira'!$A:$A,'DRE 2020'!AB$1,'Dados Mov Financeira'!$B:$B,'DRE 2020'!AB$2)</f>
        <v>0</v>
      </c>
      <c r="AC138" s="91" t="n">
        <f aca="false">IFERROR(AB138/AB$5,0)</f>
        <v>0</v>
      </c>
      <c r="AE138" s="75" t="n">
        <f aca="false">SUMIFS('Dados Mov Financeira'!$N:$N,'Dados Mov Financeira'!$O:$O,'DRE 2020'!$B138,'Dados Mov Financeira'!$A:$A,'DRE 2020'!AE$1,'Dados Mov Financeira'!$B:$B,'DRE 2020'!AE$2)</f>
        <v>0</v>
      </c>
      <c r="AF138" s="91" t="n">
        <f aca="false">IFERROR(AE138/AE$5,0)</f>
        <v>0</v>
      </c>
      <c r="AH138" s="75" t="n">
        <f aca="false">SUMIFS('Dados Mov Financeira'!$N:$N,'Dados Mov Financeira'!$O:$O,'DRE 2020'!$B138,'Dados Mov Financeira'!$A:$A,'DRE 2020'!AH$1,'Dados Mov Financeira'!$B:$B,'DRE 2020'!AH$2)</f>
        <v>0</v>
      </c>
      <c r="AI138" s="91" t="n">
        <f aca="false">IFERROR(AH138/AH$5,0)</f>
        <v>0</v>
      </c>
      <c r="AK138" s="75" t="n">
        <f aca="false">SUMIFS('Dados Mov Financeira'!$N:$N,'Dados Mov Financeira'!$O:$O,'DRE 2020'!$B138,'Dados Mov Financeira'!$A:$A,'DRE 2020'!AK$1,'Dados Mov Financeira'!$B:$B,'DRE 2020'!AK$2)</f>
        <v>0</v>
      </c>
      <c r="AL138" s="91" t="n">
        <f aca="false">IFERROR(AK138/AK$5,0)</f>
        <v>0</v>
      </c>
      <c r="AN138" s="92" t="n">
        <f aca="false">SUM(D138,G138,J138,M138,P138,S138,V138,Y138,AB138,AE138,AH138,AK138)</f>
        <v>0</v>
      </c>
      <c r="AO138" s="108" t="n">
        <f aca="false">IFERROR(AN138/AN$5,0)</f>
        <v>0</v>
      </c>
      <c r="AQ138" s="93" t="n">
        <f aca="false">AN138/$AR$1</f>
        <v>0</v>
      </c>
      <c r="AR138" s="94" t="n">
        <f aca="false">IFERROR(AQ138/AQ$5,0)</f>
        <v>0</v>
      </c>
      <c r="AT138" s="116"/>
    </row>
    <row r="139" customFormat="false" ht="14.25" hidden="true" customHeight="false" outlineLevel="1" collapsed="false">
      <c r="B139" s="89" t="s">
        <v>156</v>
      </c>
      <c r="D139" s="75" t="n">
        <f aca="false">SUMIFS('Dados Mov Financeira'!$N:$N,'Dados Mov Financeira'!$O:$O,'DRE 2020'!$B139,'Dados Mov Financeira'!$A:$A,'DRE 2020'!D$1,'Dados Mov Financeira'!$B:$B,'DRE 2020'!D$2)</f>
        <v>0</v>
      </c>
      <c r="E139" s="91" t="n">
        <f aca="false">IFERROR(D139/D$5,0)</f>
        <v>0</v>
      </c>
      <c r="G139" s="75" t="n">
        <f aca="false">SUMIFS('Dados Mov Financeira'!$N:$N,'Dados Mov Financeira'!$O:$O,'DRE 2020'!$B139,'Dados Mov Financeira'!$A:$A,'DRE 2020'!G$1,'Dados Mov Financeira'!$B:$B,'DRE 2020'!G$2)</f>
        <v>0</v>
      </c>
      <c r="H139" s="91" t="n">
        <f aca="false">IFERROR(G139/G$5,0)</f>
        <v>0</v>
      </c>
      <c r="J139" s="75" t="n">
        <f aca="false">SUMIFS('Dados Mov Financeira'!$N:$N,'Dados Mov Financeira'!$O:$O,'DRE 2020'!$B139,'Dados Mov Financeira'!$A:$A,'DRE 2020'!J$1,'Dados Mov Financeira'!$B:$B,'DRE 2020'!J$2)</f>
        <v>0</v>
      </c>
      <c r="K139" s="91" t="n">
        <f aca="false">IFERROR(J139/J$5,0)</f>
        <v>0</v>
      </c>
      <c r="M139" s="75" t="n">
        <f aca="false">SUMIFS('Dados Mov Financeira'!$N:$N,'Dados Mov Financeira'!$O:$O,'DRE 2020'!$B139,'Dados Mov Financeira'!$A:$A,'DRE 2020'!M$1,'Dados Mov Financeira'!$B:$B,'DRE 2020'!M$2)</f>
        <v>0</v>
      </c>
      <c r="N139" s="91" t="n">
        <f aca="false">IFERROR(M139/M$5,0)</f>
        <v>0</v>
      </c>
      <c r="P139" s="75" t="n">
        <f aca="false">SUMIFS('Dados Mov Financeira'!$N:$N,'Dados Mov Financeira'!$O:$O,'DRE 2020'!$B139,'Dados Mov Financeira'!$A:$A,'DRE 2020'!P$1,'Dados Mov Financeira'!$B:$B,'DRE 2020'!P$2)</f>
        <v>0</v>
      </c>
      <c r="Q139" s="91" t="n">
        <f aca="false">IFERROR(P139/P$5,0)</f>
        <v>0</v>
      </c>
      <c r="S139" s="75" t="n">
        <f aca="false">SUMIFS('Dados Mov Financeira'!$N:$N,'Dados Mov Financeira'!$O:$O,'DRE 2020'!$B139,'Dados Mov Financeira'!$A:$A,'DRE 2020'!S$1,'Dados Mov Financeira'!$B:$B,'DRE 2020'!S$2)</f>
        <v>0</v>
      </c>
      <c r="T139" s="91" t="n">
        <f aca="false">IFERROR(S139/S$5,0)</f>
        <v>0</v>
      </c>
      <c r="V139" s="75" t="n">
        <f aca="false">SUMIFS('Dados Mov Financeira'!$N:$N,'Dados Mov Financeira'!$O:$O,'DRE 2020'!$B139,'Dados Mov Financeira'!$A:$A,'DRE 2020'!V$1,'Dados Mov Financeira'!$B:$B,'DRE 2020'!V$2)</f>
        <v>0</v>
      </c>
      <c r="W139" s="91" t="n">
        <f aca="false">IFERROR(V139/V$5,0)</f>
        <v>0</v>
      </c>
      <c r="Y139" s="75" t="n">
        <f aca="false">SUMIFS('Dados Mov Financeira'!$N:$N,'Dados Mov Financeira'!$O:$O,'DRE 2020'!$B139,'Dados Mov Financeira'!$A:$A,'DRE 2020'!Y$1,'Dados Mov Financeira'!$B:$B,'DRE 2020'!Y$2)</f>
        <v>0</v>
      </c>
      <c r="Z139" s="91" t="n">
        <f aca="false">IFERROR(Y139/Y$5,0)</f>
        <v>0</v>
      </c>
      <c r="AB139" s="75" t="n">
        <f aca="false">SUMIFS('Dados Mov Financeira'!$N:$N,'Dados Mov Financeira'!$O:$O,'DRE 2020'!$B139,'Dados Mov Financeira'!$A:$A,'DRE 2020'!AB$1,'Dados Mov Financeira'!$B:$B,'DRE 2020'!AB$2)</f>
        <v>0</v>
      </c>
      <c r="AC139" s="91" t="n">
        <f aca="false">IFERROR(AB139/AB$5,0)</f>
        <v>0</v>
      </c>
      <c r="AE139" s="75" t="n">
        <f aca="false">SUMIFS('Dados Mov Financeira'!$N:$N,'Dados Mov Financeira'!$O:$O,'DRE 2020'!$B139,'Dados Mov Financeira'!$A:$A,'DRE 2020'!AE$1,'Dados Mov Financeira'!$B:$B,'DRE 2020'!AE$2)</f>
        <v>0</v>
      </c>
      <c r="AF139" s="91" t="n">
        <f aca="false">IFERROR(AE139/AE$5,0)</f>
        <v>0</v>
      </c>
      <c r="AH139" s="75" t="n">
        <f aca="false">SUMIFS('Dados Mov Financeira'!$N:$N,'Dados Mov Financeira'!$O:$O,'DRE 2020'!$B139,'Dados Mov Financeira'!$A:$A,'DRE 2020'!AH$1,'Dados Mov Financeira'!$B:$B,'DRE 2020'!AH$2)</f>
        <v>0</v>
      </c>
      <c r="AI139" s="91" t="n">
        <f aca="false">IFERROR(AH139/AH$5,0)</f>
        <v>0</v>
      </c>
      <c r="AK139" s="75" t="n">
        <f aca="false">SUMIFS('Dados Mov Financeira'!$N:$N,'Dados Mov Financeira'!$O:$O,'DRE 2020'!$B139,'Dados Mov Financeira'!$A:$A,'DRE 2020'!AK$1,'Dados Mov Financeira'!$B:$B,'DRE 2020'!AK$2)</f>
        <v>0</v>
      </c>
      <c r="AL139" s="91" t="n">
        <f aca="false">IFERROR(AK139/AK$5,0)</f>
        <v>0</v>
      </c>
      <c r="AN139" s="92" t="n">
        <f aca="false">SUM(D139,G139,J139,M139,P139,S139,V139,Y139,AB139,AE139,AH139,AK139)</f>
        <v>0</v>
      </c>
      <c r="AO139" s="108" t="n">
        <f aca="false">IFERROR(AN139/AN$5,0)</f>
        <v>0</v>
      </c>
      <c r="AQ139" s="93" t="n">
        <f aca="false">AN139/$AR$1</f>
        <v>0</v>
      </c>
      <c r="AR139" s="94" t="n">
        <f aca="false">IFERROR(AQ139/AQ$5,0)</f>
        <v>0</v>
      </c>
      <c r="AT139" s="116"/>
    </row>
    <row r="140" customFormat="false" ht="14.25" hidden="true" customHeight="false" outlineLevel="1" collapsed="false">
      <c r="B140" s="89" t="s">
        <v>157</v>
      </c>
      <c r="D140" s="75" t="n">
        <f aca="false">SUMIFS('Dados Mov Financeira'!$N:$N,'Dados Mov Financeira'!$O:$O,'DRE 2020'!$B140,'Dados Mov Financeira'!$A:$A,'DRE 2020'!D$1,'Dados Mov Financeira'!$B:$B,'DRE 2020'!D$2)</f>
        <v>0</v>
      </c>
      <c r="E140" s="91" t="n">
        <f aca="false">IFERROR(D140/D$5,0)</f>
        <v>0</v>
      </c>
      <c r="G140" s="75" t="n">
        <f aca="false">SUMIFS('Dados Mov Financeira'!$N:$N,'Dados Mov Financeira'!$O:$O,'DRE 2020'!$B140,'Dados Mov Financeira'!$A:$A,'DRE 2020'!G$1,'Dados Mov Financeira'!$B:$B,'DRE 2020'!G$2)</f>
        <v>0</v>
      </c>
      <c r="H140" s="91" t="n">
        <f aca="false">IFERROR(G140/G$5,0)</f>
        <v>0</v>
      </c>
      <c r="J140" s="75" t="n">
        <f aca="false">SUMIFS('Dados Mov Financeira'!$N:$N,'Dados Mov Financeira'!$O:$O,'DRE 2020'!$B140,'Dados Mov Financeira'!$A:$A,'DRE 2020'!J$1,'Dados Mov Financeira'!$B:$B,'DRE 2020'!J$2)</f>
        <v>0</v>
      </c>
      <c r="K140" s="91" t="n">
        <f aca="false">IFERROR(J140/J$5,0)</f>
        <v>0</v>
      </c>
      <c r="M140" s="75" t="n">
        <f aca="false">SUMIFS('Dados Mov Financeira'!$N:$N,'Dados Mov Financeira'!$O:$O,'DRE 2020'!$B140,'Dados Mov Financeira'!$A:$A,'DRE 2020'!M$1,'Dados Mov Financeira'!$B:$B,'DRE 2020'!M$2)</f>
        <v>0</v>
      </c>
      <c r="N140" s="91" t="n">
        <f aca="false">IFERROR(M140/M$5,0)</f>
        <v>0</v>
      </c>
      <c r="P140" s="75" t="n">
        <f aca="false">SUMIFS('Dados Mov Financeira'!$N:$N,'Dados Mov Financeira'!$O:$O,'DRE 2020'!$B140,'Dados Mov Financeira'!$A:$A,'DRE 2020'!P$1,'Dados Mov Financeira'!$B:$B,'DRE 2020'!P$2)</f>
        <v>0</v>
      </c>
      <c r="Q140" s="91" t="n">
        <f aca="false">IFERROR(P140/P$5,0)</f>
        <v>0</v>
      </c>
      <c r="S140" s="75" t="n">
        <f aca="false">SUMIFS('Dados Mov Financeira'!$N:$N,'Dados Mov Financeira'!$O:$O,'DRE 2020'!$B140,'Dados Mov Financeira'!$A:$A,'DRE 2020'!S$1,'Dados Mov Financeira'!$B:$B,'DRE 2020'!S$2)</f>
        <v>0</v>
      </c>
      <c r="T140" s="91" t="n">
        <f aca="false">IFERROR(S140/S$5,0)</f>
        <v>0</v>
      </c>
      <c r="V140" s="75" t="n">
        <f aca="false">SUMIFS('Dados Mov Financeira'!$N:$N,'Dados Mov Financeira'!$O:$O,'DRE 2020'!$B140,'Dados Mov Financeira'!$A:$A,'DRE 2020'!V$1,'Dados Mov Financeira'!$B:$B,'DRE 2020'!V$2)</f>
        <v>0</v>
      </c>
      <c r="W140" s="91" t="n">
        <f aca="false">IFERROR(V140/V$5,0)</f>
        <v>0</v>
      </c>
      <c r="Y140" s="75" t="n">
        <f aca="false">SUMIFS('Dados Mov Financeira'!$N:$N,'Dados Mov Financeira'!$O:$O,'DRE 2020'!$B140,'Dados Mov Financeira'!$A:$A,'DRE 2020'!Y$1,'Dados Mov Financeira'!$B:$B,'DRE 2020'!Y$2)</f>
        <v>0</v>
      </c>
      <c r="Z140" s="91" t="n">
        <f aca="false">IFERROR(Y140/Y$5,0)</f>
        <v>0</v>
      </c>
      <c r="AB140" s="75" t="n">
        <f aca="false">SUMIFS('Dados Mov Financeira'!$N:$N,'Dados Mov Financeira'!$O:$O,'DRE 2020'!$B140,'Dados Mov Financeira'!$A:$A,'DRE 2020'!AB$1,'Dados Mov Financeira'!$B:$B,'DRE 2020'!AB$2)</f>
        <v>0</v>
      </c>
      <c r="AC140" s="91" t="n">
        <f aca="false">IFERROR(AB140/AB$5,0)</f>
        <v>0</v>
      </c>
      <c r="AE140" s="75" t="n">
        <f aca="false">SUMIFS('Dados Mov Financeira'!$N:$N,'Dados Mov Financeira'!$O:$O,'DRE 2020'!$B140,'Dados Mov Financeira'!$A:$A,'DRE 2020'!AE$1,'Dados Mov Financeira'!$B:$B,'DRE 2020'!AE$2)</f>
        <v>0</v>
      </c>
      <c r="AF140" s="91" t="n">
        <f aca="false">IFERROR(AE140/AE$5,0)</f>
        <v>0</v>
      </c>
      <c r="AH140" s="75" t="n">
        <f aca="false">SUMIFS('Dados Mov Financeira'!$N:$N,'Dados Mov Financeira'!$O:$O,'DRE 2020'!$B140,'Dados Mov Financeira'!$A:$A,'DRE 2020'!AH$1,'Dados Mov Financeira'!$B:$B,'DRE 2020'!AH$2)</f>
        <v>0</v>
      </c>
      <c r="AI140" s="91" t="n">
        <f aca="false">IFERROR(AH140/AH$5,0)</f>
        <v>0</v>
      </c>
      <c r="AK140" s="75" t="n">
        <f aca="false">SUMIFS('Dados Mov Financeira'!$N:$N,'Dados Mov Financeira'!$O:$O,'DRE 2020'!$B140,'Dados Mov Financeira'!$A:$A,'DRE 2020'!AK$1,'Dados Mov Financeira'!$B:$B,'DRE 2020'!AK$2)</f>
        <v>0</v>
      </c>
      <c r="AL140" s="91" t="n">
        <f aca="false">IFERROR(AK140/AK$5,0)</f>
        <v>0</v>
      </c>
      <c r="AN140" s="92" t="n">
        <f aca="false">SUM(D140,G140,J140,M140,P140,S140,V140,Y140,AB140,AE140,AH140,AK140)</f>
        <v>0</v>
      </c>
      <c r="AO140" s="108" t="n">
        <f aca="false">IFERROR(AN140/AN$5,0)</f>
        <v>0</v>
      </c>
      <c r="AQ140" s="93" t="n">
        <f aca="false">AN140/$AR$1</f>
        <v>0</v>
      </c>
      <c r="AR140" s="94" t="n">
        <f aca="false">IFERROR(AQ140/AQ$5,0)</f>
        <v>0</v>
      </c>
      <c r="AT140" s="116"/>
    </row>
    <row r="141" customFormat="false" ht="14.25" hidden="true" customHeight="false" outlineLevel="1" collapsed="false">
      <c r="B141" s="89" t="s">
        <v>158</v>
      </c>
      <c r="D141" s="75" t="n">
        <f aca="false">SUMIFS('Dados Mov Financeira'!$N:$N,'Dados Mov Financeira'!$O:$O,'DRE 2020'!$B141,'Dados Mov Financeira'!$A:$A,'DRE 2020'!D$1,'Dados Mov Financeira'!$B:$B,'DRE 2020'!D$2)</f>
        <v>0</v>
      </c>
      <c r="E141" s="91" t="n">
        <f aca="false">IFERROR(D141/D$5,0)</f>
        <v>0</v>
      </c>
      <c r="G141" s="75" t="n">
        <f aca="false">SUMIFS('Dados Mov Financeira'!$N:$N,'Dados Mov Financeira'!$O:$O,'DRE 2020'!$B141,'Dados Mov Financeira'!$A:$A,'DRE 2020'!G$1,'Dados Mov Financeira'!$B:$B,'DRE 2020'!G$2)</f>
        <v>0</v>
      </c>
      <c r="H141" s="91" t="n">
        <f aca="false">IFERROR(G141/G$5,0)</f>
        <v>0</v>
      </c>
      <c r="J141" s="75" t="n">
        <f aca="false">SUMIFS('Dados Mov Financeira'!$N:$N,'Dados Mov Financeira'!$O:$O,'DRE 2020'!$B141,'Dados Mov Financeira'!$A:$A,'DRE 2020'!J$1,'Dados Mov Financeira'!$B:$B,'DRE 2020'!J$2)</f>
        <v>0</v>
      </c>
      <c r="K141" s="91" t="n">
        <f aca="false">IFERROR(J141/J$5,0)</f>
        <v>0</v>
      </c>
      <c r="M141" s="75" t="n">
        <f aca="false">SUMIFS('Dados Mov Financeira'!$N:$N,'Dados Mov Financeira'!$O:$O,'DRE 2020'!$B141,'Dados Mov Financeira'!$A:$A,'DRE 2020'!M$1,'Dados Mov Financeira'!$B:$B,'DRE 2020'!M$2)</f>
        <v>0</v>
      </c>
      <c r="N141" s="91" t="n">
        <f aca="false">IFERROR(M141/M$5,0)</f>
        <v>0</v>
      </c>
      <c r="P141" s="75" t="n">
        <f aca="false">SUMIFS('Dados Mov Financeira'!$N:$N,'Dados Mov Financeira'!$O:$O,'DRE 2020'!$B141,'Dados Mov Financeira'!$A:$A,'DRE 2020'!P$1,'Dados Mov Financeira'!$B:$B,'DRE 2020'!P$2)</f>
        <v>0</v>
      </c>
      <c r="Q141" s="91" t="n">
        <f aca="false">IFERROR(P141/P$5,0)</f>
        <v>0</v>
      </c>
      <c r="S141" s="75" t="n">
        <f aca="false">SUMIFS('Dados Mov Financeira'!$N:$N,'Dados Mov Financeira'!$O:$O,'DRE 2020'!$B141,'Dados Mov Financeira'!$A:$A,'DRE 2020'!S$1,'Dados Mov Financeira'!$B:$B,'DRE 2020'!S$2)</f>
        <v>0</v>
      </c>
      <c r="T141" s="91" t="n">
        <f aca="false">IFERROR(S141/S$5,0)</f>
        <v>0</v>
      </c>
      <c r="V141" s="75" t="n">
        <f aca="false">SUMIFS('Dados Mov Financeira'!$N:$N,'Dados Mov Financeira'!$O:$O,'DRE 2020'!$B141,'Dados Mov Financeira'!$A:$A,'DRE 2020'!V$1,'Dados Mov Financeira'!$B:$B,'DRE 2020'!V$2)</f>
        <v>0</v>
      </c>
      <c r="W141" s="91" t="n">
        <f aca="false">IFERROR(V141/V$5,0)</f>
        <v>0</v>
      </c>
      <c r="Y141" s="75" t="n">
        <f aca="false">SUMIFS('Dados Mov Financeira'!$N:$N,'Dados Mov Financeira'!$O:$O,'DRE 2020'!$B141,'Dados Mov Financeira'!$A:$A,'DRE 2020'!Y$1,'Dados Mov Financeira'!$B:$B,'DRE 2020'!Y$2)</f>
        <v>0</v>
      </c>
      <c r="Z141" s="91" t="n">
        <f aca="false">IFERROR(Y141/Y$5,0)</f>
        <v>0</v>
      </c>
      <c r="AB141" s="75" t="n">
        <f aca="false">SUMIFS('Dados Mov Financeira'!$N:$N,'Dados Mov Financeira'!$O:$O,'DRE 2020'!$B141,'Dados Mov Financeira'!$A:$A,'DRE 2020'!AB$1,'Dados Mov Financeira'!$B:$B,'DRE 2020'!AB$2)</f>
        <v>0</v>
      </c>
      <c r="AC141" s="91" t="n">
        <f aca="false">IFERROR(AB141/AB$5,0)</f>
        <v>0</v>
      </c>
      <c r="AE141" s="75" t="n">
        <f aca="false">SUMIFS('Dados Mov Financeira'!$N:$N,'Dados Mov Financeira'!$O:$O,'DRE 2020'!$B141,'Dados Mov Financeira'!$A:$A,'DRE 2020'!AE$1,'Dados Mov Financeira'!$B:$B,'DRE 2020'!AE$2)</f>
        <v>0</v>
      </c>
      <c r="AF141" s="91" t="n">
        <f aca="false">IFERROR(AE141/AE$5,0)</f>
        <v>0</v>
      </c>
      <c r="AH141" s="75" t="n">
        <f aca="false">SUMIFS('Dados Mov Financeira'!$N:$N,'Dados Mov Financeira'!$O:$O,'DRE 2020'!$B141,'Dados Mov Financeira'!$A:$A,'DRE 2020'!AH$1,'Dados Mov Financeira'!$B:$B,'DRE 2020'!AH$2)</f>
        <v>0</v>
      </c>
      <c r="AI141" s="91" t="n">
        <f aca="false">IFERROR(AH141/AH$5,0)</f>
        <v>0</v>
      </c>
      <c r="AK141" s="75" t="n">
        <f aca="false">SUMIFS('Dados Mov Financeira'!$N:$N,'Dados Mov Financeira'!$O:$O,'DRE 2020'!$B141,'Dados Mov Financeira'!$A:$A,'DRE 2020'!AK$1,'Dados Mov Financeira'!$B:$B,'DRE 2020'!AK$2)</f>
        <v>0</v>
      </c>
      <c r="AL141" s="91" t="n">
        <f aca="false">IFERROR(AK141/AK$5,0)</f>
        <v>0</v>
      </c>
      <c r="AN141" s="92" t="n">
        <f aca="false">SUM(D141,G141,J141,M141,P141,S141,V141,Y141,AB141,AE141,AH141,AK141)</f>
        <v>0</v>
      </c>
      <c r="AO141" s="108" t="n">
        <f aca="false">IFERROR(AN141/AN$5,0)</f>
        <v>0</v>
      </c>
      <c r="AQ141" s="93" t="n">
        <f aca="false">AN141/$AR$1</f>
        <v>0</v>
      </c>
      <c r="AR141" s="94" t="n">
        <f aca="false">IFERROR(AQ141/AQ$5,0)</f>
        <v>0</v>
      </c>
      <c r="AT141" s="116"/>
    </row>
    <row r="142" customFormat="false" ht="15.75" hidden="true" customHeight="true" outlineLevel="1" collapsed="false">
      <c r="B142" s="89" t="s">
        <v>159</v>
      </c>
      <c r="D142" s="75" t="n">
        <f aca="false">SUMIFS('Dados Mov Financeira'!$N:$N,'Dados Mov Financeira'!$O:$O,'DRE 2020'!$B142,'Dados Mov Financeira'!$A:$A,'DRE 2020'!D$1,'Dados Mov Financeira'!$B:$B,'DRE 2020'!D$2)</f>
        <v>0</v>
      </c>
      <c r="E142" s="91" t="n">
        <f aca="false">IFERROR(D142/D$5,0)</f>
        <v>0</v>
      </c>
      <c r="G142" s="75" t="n">
        <f aca="false">SUMIFS('Dados Mov Financeira'!$N:$N,'Dados Mov Financeira'!$O:$O,'DRE 2020'!$B142,'Dados Mov Financeira'!$A:$A,'DRE 2020'!G$1,'Dados Mov Financeira'!$B:$B,'DRE 2020'!G$2)</f>
        <v>0</v>
      </c>
      <c r="H142" s="91" t="n">
        <f aca="false">IFERROR(G142/G$5,0)</f>
        <v>0</v>
      </c>
      <c r="J142" s="75" t="n">
        <f aca="false">SUMIFS('Dados Mov Financeira'!$N:$N,'Dados Mov Financeira'!$O:$O,'DRE 2020'!$B142,'Dados Mov Financeira'!$A:$A,'DRE 2020'!J$1,'Dados Mov Financeira'!$B:$B,'DRE 2020'!J$2)</f>
        <v>0</v>
      </c>
      <c r="K142" s="91" t="n">
        <f aca="false">IFERROR(J142/J$5,0)</f>
        <v>0</v>
      </c>
      <c r="M142" s="75" t="n">
        <f aca="false">SUMIFS('Dados Mov Financeira'!$N:$N,'Dados Mov Financeira'!$O:$O,'DRE 2020'!$B142,'Dados Mov Financeira'!$A:$A,'DRE 2020'!M$1,'Dados Mov Financeira'!$B:$B,'DRE 2020'!M$2)</f>
        <v>0</v>
      </c>
      <c r="N142" s="91" t="n">
        <f aca="false">IFERROR(M142/M$5,0)</f>
        <v>0</v>
      </c>
      <c r="P142" s="75" t="n">
        <f aca="false">SUMIFS('Dados Mov Financeira'!$N:$N,'Dados Mov Financeira'!$O:$O,'DRE 2020'!$B142,'Dados Mov Financeira'!$A:$A,'DRE 2020'!P$1,'Dados Mov Financeira'!$B:$B,'DRE 2020'!P$2)</f>
        <v>0</v>
      </c>
      <c r="Q142" s="91" t="n">
        <f aca="false">IFERROR(P142/P$5,0)</f>
        <v>0</v>
      </c>
      <c r="S142" s="75" t="n">
        <f aca="false">SUMIFS('Dados Mov Financeira'!$N:$N,'Dados Mov Financeira'!$O:$O,'DRE 2020'!$B142,'Dados Mov Financeira'!$A:$A,'DRE 2020'!S$1,'Dados Mov Financeira'!$B:$B,'DRE 2020'!S$2)</f>
        <v>0</v>
      </c>
      <c r="T142" s="91" t="n">
        <f aca="false">IFERROR(S142/S$5,0)</f>
        <v>0</v>
      </c>
      <c r="V142" s="75" t="n">
        <f aca="false">SUMIFS('Dados Mov Financeira'!$N:$N,'Dados Mov Financeira'!$O:$O,'DRE 2020'!$B142,'Dados Mov Financeira'!$A:$A,'DRE 2020'!V$1,'Dados Mov Financeira'!$B:$B,'DRE 2020'!V$2)</f>
        <v>0</v>
      </c>
      <c r="W142" s="91" t="n">
        <f aca="false">IFERROR(V142/V$5,0)</f>
        <v>0</v>
      </c>
      <c r="Y142" s="75" t="n">
        <f aca="false">SUMIFS('Dados Mov Financeira'!$N:$N,'Dados Mov Financeira'!$O:$O,'DRE 2020'!$B142,'Dados Mov Financeira'!$A:$A,'DRE 2020'!Y$1,'Dados Mov Financeira'!$B:$B,'DRE 2020'!Y$2)</f>
        <v>0</v>
      </c>
      <c r="Z142" s="91" t="n">
        <f aca="false">IFERROR(Y142/Y$5,0)</f>
        <v>0</v>
      </c>
      <c r="AB142" s="75" t="n">
        <f aca="false">SUMIFS('Dados Mov Financeira'!$N:$N,'Dados Mov Financeira'!$O:$O,'DRE 2020'!$B142,'Dados Mov Financeira'!$A:$A,'DRE 2020'!AB$1,'Dados Mov Financeira'!$B:$B,'DRE 2020'!AB$2)</f>
        <v>0</v>
      </c>
      <c r="AC142" s="91" t="n">
        <f aca="false">IFERROR(AB142/AB$5,0)</f>
        <v>0</v>
      </c>
      <c r="AE142" s="75" t="n">
        <f aca="false">SUMIFS('Dados Mov Financeira'!$N:$N,'Dados Mov Financeira'!$O:$O,'DRE 2020'!$B142,'Dados Mov Financeira'!$A:$A,'DRE 2020'!AE$1,'Dados Mov Financeira'!$B:$B,'DRE 2020'!AE$2)</f>
        <v>0</v>
      </c>
      <c r="AF142" s="91" t="n">
        <f aca="false">IFERROR(AE142/AE$5,0)</f>
        <v>0</v>
      </c>
      <c r="AH142" s="75" t="n">
        <f aca="false">SUMIFS('Dados Mov Financeira'!$N:$N,'Dados Mov Financeira'!$O:$O,'DRE 2020'!$B142,'Dados Mov Financeira'!$A:$A,'DRE 2020'!AH$1,'Dados Mov Financeira'!$B:$B,'DRE 2020'!AH$2)</f>
        <v>0</v>
      </c>
      <c r="AI142" s="91" t="n">
        <f aca="false">IFERROR(AH142/AH$5,0)</f>
        <v>0</v>
      </c>
      <c r="AK142" s="75" t="n">
        <f aca="false">SUMIFS('Dados Mov Financeira'!$N:$N,'Dados Mov Financeira'!$O:$O,'DRE 2020'!$B142,'Dados Mov Financeira'!$A:$A,'DRE 2020'!AK$1,'Dados Mov Financeira'!$B:$B,'DRE 2020'!AK$2)</f>
        <v>0</v>
      </c>
      <c r="AL142" s="91" t="n">
        <f aca="false">IFERROR(AK142/AK$5,0)</f>
        <v>0</v>
      </c>
      <c r="AN142" s="92" t="n">
        <f aca="false">SUM(D142,G142,J142,M142,P142,S142,V142,Y142,AB142,AE142,AH142,AK142)</f>
        <v>0</v>
      </c>
      <c r="AO142" s="91" t="n">
        <f aca="false">IFERROR(AN142/AN$5,0)</f>
        <v>0</v>
      </c>
      <c r="AQ142" s="93" t="n">
        <f aca="false">AN142/$AR$1</f>
        <v>0</v>
      </c>
      <c r="AR142" s="94" t="n">
        <f aca="false">IFERROR(AQ142/AQ$5,0)</f>
        <v>0</v>
      </c>
      <c r="AT142" s="116"/>
    </row>
    <row r="143" customFormat="false" ht="14.25" hidden="true" customHeight="false" outlineLevel="1" collapsed="false">
      <c r="B143" s="89" t="s">
        <v>160</v>
      </c>
      <c r="D143" s="75" t="n">
        <f aca="false">SUMIFS('Dados Mov Financeira'!$N:$N,'Dados Mov Financeira'!$O:$O,'DRE 2020'!$B143,'Dados Mov Financeira'!$A:$A,'DRE 2020'!D$1,'Dados Mov Financeira'!$B:$B,'DRE 2020'!D$2)</f>
        <v>0</v>
      </c>
      <c r="E143" s="91" t="n">
        <f aca="false">IFERROR(D143/D$5,0)</f>
        <v>0</v>
      </c>
      <c r="G143" s="75" t="n">
        <f aca="false">SUMIFS('Dados Mov Financeira'!$N:$N,'Dados Mov Financeira'!$O:$O,'DRE 2020'!$B143,'Dados Mov Financeira'!$A:$A,'DRE 2020'!G$1,'Dados Mov Financeira'!$B:$B,'DRE 2020'!G$2)</f>
        <v>0</v>
      </c>
      <c r="H143" s="91" t="n">
        <f aca="false">IFERROR(G143/G$5,0)</f>
        <v>0</v>
      </c>
      <c r="J143" s="75" t="n">
        <f aca="false">SUMIFS('Dados Mov Financeira'!$N:$N,'Dados Mov Financeira'!$O:$O,'DRE 2020'!$B143,'Dados Mov Financeira'!$A:$A,'DRE 2020'!J$1,'Dados Mov Financeira'!$B:$B,'DRE 2020'!J$2)</f>
        <v>0</v>
      </c>
      <c r="K143" s="91" t="n">
        <f aca="false">IFERROR(J143/J$5,0)</f>
        <v>0</v>
      </c>
      <c r="M143" s="75" t="n">
        <f aca="false">SUMIFS('Dados Mov Financeira'!$N:$N,'Dados Mov Financeira'!$O:$O,'DRE 2020'!$B143,'Dados Mov Financeira'!$A:$A,'DRE 2020'!M$1,'Dados Mov Financeira'!$B:$B,'DRE 2020'!M$2)</f>
        <v>0</v>
      </c>
      <c r="N143" s="91" t="n">
        <f aca="false">IFERROR(M143/M$5,0)</f>
        <v>0</v>
      </c>
      <c r="P143" s="75" t="n">
        <f aca="false">SUMIFS('Dados Mov Financeira'!$N:$N,'Dados Mov Financeira'!$O:$O,'DRE 2020'!$B143,'Dados Mov Financeira'!$A:$A,'DRE 2020'!P$1,'Dados Mov Financeira'!$B:$B,'DRE 2020'!P$2)</f>
        <v>0</v>
      </c>
      <c r="Q143" s="91" t="n">
        <f aca="false">IFERROR(P143/P$5,0)</f>
        <v>0</v>
      </c>
      <c r="S143" s="75" t="n">
        <f aca="false">SUMIFS('Dados Mov Financeira'!$N:$N,'Dados Mov Financeira'!$O:$O,'DRE 2020'!$B143,'Dados Mov Financeira'!$A:$A,'DRE 2020'!S$1,'Dados Mov Financeira'!$B:$B,'DRE 2020'!S$2)</f>
        <v>0</v>
      </c>
      <c r="T143" s="91" t="n">
        <f aca="false">IFERROR(S143/S$5,0)</f>
        <v>0</v>
      </c>
      <c r="V143" s="75" t="n">
        <f aca="false">SUMIFS('Dados Mov Financeira'!$N:$N,'Dados Mov Financeira'!$O:$O,'DRE 2020'!$B143,'Dados Mov Financeira'!$A:$A,'DRE 2020'!V$1,'Dados Mov Financeira'!$B:$B,'DRE 2020'!V$2)</f>
        <v>0</v>
      </c>
      <c r="W143" s="91" t="n">
        <f aca="false">IFERROR(V143/V$5,0)</f>
        <v>0</v>
      </c>
      <c r="Y143" s="75" t="n">
        <f aca="false">SUMIFS('Dados Mov Financeira'!$N:$N,'Dados Mov Financeira'!$O:$O,'DRE 2020'!$B143,'Dados Mov Financeira'!$A:$A,'DRE 2020'!Y$1,'Dados Mov Financeira'!$B:$B,'DRE 2020'!Y$2)</f>
        <v>0</v>
      </c>
      <c r="Z143" s="91" t="n">
        <f aca="false">IFERROR(Y143/Y$5,0)</f>
        <v>0</v>
      </c>
      <c r="AB143" s="75" t="n">
        <f aca="false">SUMIFS('Dados Mov Financeira'!$N:$N,'Dados Mov Financeira'!$O:$O,'DRE 2020'!$B143,'Dados Mov Financeira'!$A:$A,'DRE 2020'!AB$1,'Dados Mov Financeira'!$B:$B,'DRE 2020'!AB$2)</f>
        <v>0</v>
      </c>
      <c r="AC143" s="91" t="n">
        <f aca="false">IFERROR(AB143/AB$5,0)</f>
        <v>0</v>
      </c>
      <c r="AE143" s="75" t="n">
        <f aca="false">SUMIFS('Dados Mov Financeira'!$N:$N,'Dados Mov Financeira'!$O:$O,'DRE 2020'!$B143,'Dados Mov Financeira'!$A:$A,'DRE 2020'!AE$1,'Dados Mov Financeira'!$B:$B,'DRE 2020'!AE$2)</f>
        <v>0</v>
      </c>
      <c r="AF143" s="91" t="n">
        <f aca="false">IFERROR(AE143/AE$5,0)</f>
        <v>0</v>
      </c>
      <c r="AH143" s="75" t="n">
        <f aca="false">SUMIFS('Dados Mov Financeira'!$N:$N,'Dados Mov Financeira'!$O:$O,'DRE 2020'!$B143,'Dados Mov Financeira'!$A:$A,'DRE 2020'!AH$1,'Dados Mov Financeira'!$B:$B,'DRE 2020'!AH$2)</f>
        <v>0</v>
      </c>
      <c r="AI143" s="91" t="n">
        <f aca="false">IFERROR(AH143/AH$5,0)</f>
        <v>0</v>
      </c>
      <c r="AK143" s="75" t="n">
        <f aca="false">SUMIFS('Dados Mov Financeira'!$N:$N,'Dados Mov Financeira'!$O:$O,'DRE 2020'!$B143,'Dados Mov Financeira'!$A:$A,'DRE 2020'!AK$1,'Dados Mov Financeira'!$B:$B,'DRE 2020'!AK$2)</f>
        <v>0</v>
      </c>
      <c r="AL143" s="91" t="n">
        <f aca="false">IFERROR(AK143/AK$5,0)</f>
        <v>0</v>
      </c>
      <c r="AN143" s="92" t="n">
        <f aca="false">SUM(D143,G143,J143,M143,P143,S143,V143,Y143,AB143,AE143,AH143,AK143)</f>
        <v>0</v>
      </c>
      <c r="AO143" s="108" t="n">
        <f aca="false">IFERROR(AN143/AN$5,0)</f>
        <v>0</v>
      </c>
      <c r="AQ143" s="93" t="n">
        <f aca="false">AN143/$AR$1</f>
        <v>0</v>
      </c>
      <c r="AR143" s="94" t="n">
        <f aca="false">IFERROR(AQ143/AQ$5,0)</f>
        <v>0</v>
      </c>
      <c r="AT143" s="116"/>
    </row>
    <row r="144" customFormat="false" ht="14.25" hidden="true" customHeight="false" outlineLevel="1" collapsed="false">
      <c r="B144" s="89" t="s">
        <v>161</v>
      </c>
      <c r="D144" s="75" t="n">
        <f aca="false">SUMIFS('Dados Mov Financeira'!$N:$N,'Dados Mov Financeira'!$O:$O,'DRE 2020'!$B144,'Dados Mov Financeira'!$A:$A,'DRE 2020'!D$1,'Dados Mov Financeira'!$B:$B,'DRE 2020'!D$2)</f>
        <v>0</v>
      </c>
      <c r="E144" s="91" t="n">
        <f aca="false">IFERROR(D144/D$5,0)</f>
        <v>0</v>
      </c>
      <c r="G144" s="75" t="n">
        <f aca="false">SUMIFS('Dados Mov Financeira'!$N:$N,'Dados Mov Financeira'!$O:$O,'DRE 2020'!$B144,'Dados Mov Financeira'!$A:$A,'DRE 2020'!G$1,'Dados Mov Financeira'!$B:$B,'DRE 2020'!G$2)</f>
        <v>0</v>
      </c>
      <c r="H144" s="91" t="n">
        <f aca="false">IFERROR(G144/G$5,0)</f>
        <v>0</v>
      </c>
      <c r="J144" s="75" t="n">
        <f aca="false">SUMIFS('Dados Mov Financeira'!$N:$N,'Dados Mov Financeira'!$O:$O,'DRE 2020'!$B144,'Dados Mov Financeira'!$A:$A,'DRE 2020'!J$1,'Dados Mov Financeira'!$B:$B,'DRE 2020'!J$2)</f>
        <v>0</v>
      </c>
      <c r="K144" s="91" t="n">
        <f aca="false">IFERROR(J144/J$5,0)</f>
        <v>0</v>
      </c>
      <c r="M144" s="75" t="n">
        <f aca="false">SUMIFS('Dados Mov Financeira'!$N:$N,'Dados Mov Financeira'!$O:$O,'DRE 2020'!$B144,'Dados Mov Financeira'!$A:$A,'DRE 2020'!M$1,'Dados Mov Financeira'!$B:$B,'DRE 2020'!M$2)</f>
        <v>0</v>
      </c>
      <c r="N144" s="91" t="n">
        <f aca="false">IFERROR(M144/M$5,0)</f>
        <v>0</v>
      </c>
      <c r="P144" s="75" t="n">
        <f aca="false">SUMIFS('Dados Mov Financeira'!$N:$N,'Dados Mov Financeira'!$O:$O,'DRE 2020'!$B144,'Dados Mov Financeira'!$A:$A,'DRE 2020'!P$1,'Dados Mov Financeira'!$B:$B,'DRE 2020'!P$2)</f>
        <v>0</v>
      </c>
      <c r="Q144" s="91" t="n">
        <f aca="false">IFERROR(P144/P$5,0)</f>
        <v>0</v>
      </c>
      <c r="S144" s="75" t="n">
        <f aca="false">SUMIFS('Dados Mov Financeira'!$N:$N,'Dados Mov Financeira'!$O:$O,'DRE 2020'!$B144,'Dados Mov Financeira'!$A:$A,'DRE 2020'!S$1,'Dados Mov Financeira'!$B:$B,'DRE 2020'!S$2)</f>
        <v>0</v>
      </c>
      <c r="T144" s="91" t="n">
        <f aca="false">IFERROR(S144/S$5,0)</f>
        <v>0</v>
      </c>
      <c r="V144" s="75" t="n">
        <f aca="false">SUMIFS('Dados Mov Financeira'!$N:$N,'Dados Mov Financeira'!$O:$O,'DRE 2020'!$B144,'Dados Mov Financeira'!$A:$A,'DRE 2020'!V$1,'Dados Mov Financeira'!$B:$B,'DRE 2020'!V$2)</f>
        <v>0</v>
      </c>
      <c r="W144" s="91" t="n">
        <f aca="false">IFERROR(V144/V$5,0)</f>
        <v>0</v>
      </c>
      <c r="Y144" s="75" t="n">
        <f aca="false">SUMIFS('Dados Mov Financeira'!$N:$N,'Dados Mov Financeira'!$O:$O,'DRE 2020'!$B144,'Dados Mov Financeira'!$A:$A,'DRE 2020'!Y$1,'Dados Mov Financeira'!$B:$B,'DRE 2020'!Y$2)</f>
        <v>0</v>
      </c>
      <c r="Z144" s="91" t="n">
        <f aca="false">IFERROR(Y144/Y$5,0)</f>
        <v>0</v>
      </c>
      <c r="AB144" s="75" t="n">
        <f aca="false">SUMIFS('Dados Mov Financeira'!$N:$N,'Dados Mov Financeira'!$O:$O,'DRE 2020'!$B144,'Dados Mov Financeira'!$A:$A,'DRE 2020'!AB$1,'Dados Mov Financeira'!$B:$B,'DRE 2020'!AB$2)</f>
        <v>0</v>
      </c>
      <c r="AC144" s="91" t="n">
        <f aca="false">IFERROR(AB144/AB$5,0)</f>
        <v>0</v>
      </c>
      <c r="AE144" s="75" t="n">
        <f aca="false">SUMIFS('Dados Mov Financeira'!$N:$N,'Dados Mov Financeira'!$O:$O,'DRE 2020'!$B144,'Dados Mov Financeira'!$A:$A,'DRE 2020'!AE$1,'Dados Mov Financeira'!$B:$B,'DRE 2020'!AE$2)</f>
        <v>0</v>
      </c>
      <c r="AF144" s="91" t="n">
        <f aca="false">IFERROR(AE144/AE$5,0)</f>
        <v>0</v>
      </c>
      <c r="AH144" s="75" t="n">
        <f aca="false">SUMIFS('Dados Mov Financeira'!$N:$N,'Dados Mov Financeira'!$O:$O,'DRE 2020'!$B144,'Dados Mov Financeira'!$A:$A,'DRE 2020'!AH$1,'Dados Mov Financeira'!$B:$B,'DRE 2020'!AH$2)</f>
        <v>0</v>
      </c>
      <c r="AI144" s="91" t="n">
        <f aca="false">IFERROR(AH144/AH$5,0)</f>
        <v>0</v>
      </c>
      <c r="AK144" s="75" t="n">
        <f aca="false">SUMIFS('Dados Mov Financeira'!$N:$N,'Dados Mov Financeira'!$O:$O,'DRE 2020'!$B144,'Dados Mov Financeira'!$A:$A,'DRE 2020'!AK$1,'Dados Mov Financeira'!$B:$B,'DRE 2020'!AK$2)</f>
        <v>0</v>
      </c>
      <c r="AL144" s="91" t="n">
        <f aca="false">IFERROR(AK144/AK$5,0)</f>
        <v>0</v>
      </c>
      <c r="AN144" s="92" t="n">
        <f aca="false">SUM(D144,G144,J144,M144,P144,S144,V144,Y144,AB144,AE144,AH144,AK144)</f>
        <v>0</v>
      </c>
      <c r="AO144" s="108" t="n">
        <f aca="false">IFERROR(AN144/AN$5,0)</f>
        <v>0</v>
      </c>
      <c r="AQ144" s="93" t="n">
        <f aca="false">AN144/$AR$1</f>
        <v>0</v>
      </c>
      <c r="AR144" s="94" t="n">
        <f aca="false">IFERROR(AQ144/AQ$5,0)</f>
        <v>0</v>
      </c>
      <c r="AT144" s="116"/>
    </row>
    <row r="145" s="57" customFormat="true" ht="9" hidden="false" customHeight="true" outlineLevel="0" collapsed="false">
      <c r="B145" s="48"/>
      <c r="C145" s="58"/>
      <c r="D145" s="59"/>
      <c r="E145" s="60"/>
      <c r="F145" s="58"/>
      <c r="G145" s="59"/>
      <c r="H145" s="60"/>
      <c r="I145" s="58"/>
      <c r="J145" s="59"/>
      <c r="K145" s="60"/>
      <c r="L145" s="58"/>
      <c r="M145" s="59"/>
      <c r="N145" s="60"/>
      <c r="O145" s="58"/>
      <c r="P145" s="59"/>
      <c r="Q145" s="60"/>
      <c r="R145" s="58"/>
      <c r="S145" s="59"/>
      <c r="T145" s="60"/>
      <c r="U145" s="58"/>
      <c r="V145" s="59"/>
      <c r="W145" s="60"/>
      <c r="X145" s="58"/>
      <c r="Y145" s="59"/>
      <c r="Z145" s="60"/>
      <c r="AA145" s="58"/>
      <c r="AB145" s="59"/>
      <c r="AC145" s="60"/>
      <c r="AD145" s="58"/>
      <c r="AE145" s="59"/>
      <c r="AF145" s="60"/>
      <c r="AG145" s="58"/>
      <c r="AH145" s="59"/>
      <c r="AI145" s="60"/>
      <c r="AJ145" s="58"/>
      <c r="AK145" s="59"/>
      <c r="AL145" s="60"/>
      <c r="AM145" s="58"/>
      <c r="AN145" s="59"/>
      <c r="AO145" s="60"/>
      <c r="AP145" s="58"/>
      <c r="AQ145" s="61"/>
      <c r="AR145" s="60"/>
      <c r="AS145" s="58"/>
      <c r="AT145" s="62"/>
    </row>
    <row r="146" s="63" customFormat="true" ht="20.85" hidden="false" customHeight="false" outlineLevel="0" collapsed="false">
      <c r="A146" s="36"/>
      <c r="B146" s="102" t="s">
        <v>162</v>
      </c>
      <c r="D146" s="103" t="n">
        <f aca="false">D126+D128</f>
        <v>0</v>
      </c>
      <c r="E146" s="104" t="n">
        <f aca="false">IFERROR(D146/D$5,0)</f>
        <v>0</v>
      </c>
      <c r="G146" s="103" t="n">
        <f aca="false">G126+G128</f>
        <v>0</v>
      </c>
      <c r="H146" s="104" t="n">
        <f aca="false">IFERROR(G146/G$5,0)</f>
        <v>0</v>
      </c>
      <c r="J146" s="103" t="n">
        <f aca="false">J126+J128</f>
        <v>0</v>
      </c>
      <c r="K146" s="104" t="n">
        <f aca="false">IFERROR(J146/J$5,0)</f>
        <v>0</v>
      </c>
      <c r="M146" s="103" t="n">
        <f aca="false">M126+M128</f>
        <v>0</v>
      </c>
      <c r="N146" s="104" t="n">
        <f aca="false">IFERROR(M146/M$5,0)</f>
        <v>0</v>
      </c>
      <c r="P146" s="103" t="n">
        <f aca="false">P126+P128</f>
        <v>0</v>
      </c>
      <c r="Q146" s="104" t="n">
        <f aca="false">IFERROR(P146/P$5,0)</f>
        <v>0</v>
      </c>
      <c r="S146" s="103" t="n">
        <f aca="false">S126+S128</f>
        <v>0</v>
      </c>
      <c r="T146" s="104" t="n">
        <f aca="false">IFERROR(S146/S$5,0)</f>
        <v>0</v>
      </c>
      <c r="V146" s="103" t="n">
        <f aca="false">V126+V128</f>
        <v>0</v>
      </c>
      <c r="W146" s="104" t="n">
        <f aca="false">IFERROR(V146/V$5,0)</f>
        <v>0</v>
      </c>
      <c r="Y146" s="103" t="n">
        <f aca="false">Y126+Y128</f>
        <v>0</v>
      </c>
      <c r="Z146" s="104" t="n">
        <f aca="false">IFERROR(Y146/Y$5,0)</f>
        <v>0</v>
      </c>
      <c r="AB146" s="103" t="n">
        <f aca="false">AB126+AB128</f>
        <v>0</v>
      </c>
      <c r="AC146" s="104" t="n">
        <f aca="false">IFERROR(AB146/AB$5,0)</f>
        <v>0</v>
      </c>
      <c r="AE146" s="103" t="n">
        <f aca="false">AE126+AE128</f>
        <v>0</v>
      </c>
      <c r="AF146" s="104" t="n">
        <f aca="false">IFERROR(AE146/AE$5,0)</f>
        <v>0</v>
      </c>
      <c r="AH146" s="103" t="n">
        <f aca="false">AH126+AH128</f>
        <v>0</v>
      </c>
      <c r="AI146" s="104" t="n">
        <f aca="false">IFERROR(AH146/AH$5,0)</f>
        <v>0</v>
      </c>
      <c r="AK146" s="103" t="n">
        <f aca="false">AK126+AK128</f>
        <v>0</v>
      </c>
      <c r="AL146" s="104" t="n">
        <f aca="false">IFERROR(AK146/AK$5,0)</f>
        <v>0</v>
      </c>
      <c r="AN146" s="103" t="n">
        <f aca="false">AN126+AN128</f>
        <v>0</v>
      </c>
      <c r="AO146" s="104" t="n">
        <f aca="false">IFERROR(AN146/AN$5,0)</f>
        <v>0</v>
      </c>
      <c r="AQ146" s="103" t="n">
        <f aca="false">AQ126+AQ128</f>
        <v>0</v>
      </c>
      <c r="AR146" s="104" t="n">
        <f aca="false">IFERROR(AQ146/AQ$5,0)</f>
        <v>0</v>
      </c>
      <c r="AT146" s="123"/>
    </row>
    <row r="147" customFormat="false" ht="14.25" hidden="true" customHeight="false" outlineLevel="0" collapsed="false">
      <c r="B147" s="106" t="s">
        <v>163</v>
      </c>
      <c r="D147" s="99" t="e">
        <f aca="false">-D43/(E41)</f>
        <v>#DIV/0!</v>
      </c>
      <c r="E147" s="95" t="n">
        <f aca="false">IFERROR(D147/D$5,0)</f>
        <v>0</v>
      </c>
      <c r="G147" s="99" t="e">
        <f aca="false">-G43/(H41)</f>
        <v>#DIV/0!</v>
      </c>
      <c r="H147" s="95" t="n">
        <f aca="false">IFERROR(G147/G$5,0)</f>
        <v>0</v>
      </c>
      <c r="J147" s="99" t="e">
        <f aca="false">-J43/(K41)</f>
        <v>#DIV/0!</v>
      </c>
      <c r="K147" s="95" t="n">
        <f aca="false">IFERROR(J147/J$5,0)</f>
        <v>0</v>
      </c>
      <c r="M147" s="99" t="e">
        <f aca="false">-M43/(N41)</f>
        <v>#DIV/0!</v>
      </c>
      <c r="N147" s="95" t="n">
        <f aca="false">IFERROR(M147/M$5,0)</f>
        <v>0</v>
      </c>
      <c r="P147" s="99" t="e">
        <f aca="false">-P43/(Q41)</f>
        <v>#DIV/0!</v>
      </c>
      <c r="Q147" s="95" t="n">
        <f aca="false">IFERROR(P147/P$5,0)</f>
        <v>0</v>
      </c>
      <c r="S147" s="99" t="e">
        <f aca="false">-S43/(T41)</f>
        <v>#DIV/0!</v>
      </c>
      <c r="T147" s="95" t="n">
        <f aca="false">IFERROR(S147/S$5,0)</f>
        <v>0</v>
      </c>
      <c r="V147" s="99" t="e">
        <f aca="false">-V43/(W41)</f>
        <v>#DIV/0!</v>
      </c>
      <c r="W147" s="95" t="n">
        <f aca="false">IFERROR(V147/V$5,0)</f>
        <v>0</v>
      </c>
      <c r="Y147" s="99" t="e">
        <f aca="false">-Y43/(Z41)</f>
        <v>#DIV/0!</v>
      </c>
      <c r="Z147" s="95" t="n">
        <f aca="false">IFERROR(Y147/Y$5,0)</f>
        <v>0</v>
      </c>
      <c r="AB147" s="99" t="e">
        <f aca="false">-AB43/(AC41)</f>
        <v>#DIV/0!</v>
      </c>
      <c r="AC147" s="95" t="n">
        <f aca="false">IFERROR(AB147/AB$5,0)</f>
        <v>0</v>
      </c>
      <c r="AE147" s="99" t="e">
        <f aca="false">-AE43/(AF41)</f>
        <v>#DIV/0!</v>
      </c>
      <c r="AF147" s="95" t="n">
        <f aca="false">IFERROR(AE147/AE$5,0)</f>
        <v>0</v>
      </c>
      <c r="AH147" s="99" t="e">
        <f aca="false">-AH43/(AI41)</f>
        <v>#DIV/0!</v>
      </c>
      <c r="AI147" s="95" t="n">
        <f aca="false">IFERROR(AH147/AH$5,0)</f>
        <v>0</v>
      </c>
      <c r="AK147" s="99" t="e">
        <f aca="false">-AK43/(AL41)</f>
        <v>#DIV/0!</v>
      </c>
      <c r="AL147" s="95" t="n">
        <f aca="false">IFERROR(AK147/AK$5,0)</f>
        <v>0</v>
      </c>
      <c r="AN147" s="99" t="e">
        <f aca="false">-AN43/(AO41)</f>
        <v>#DIV/0!</v>
      </c>
      <c r="AO147" s="95" t="n">
        <f aca="false">IFERROR(AN147/AN$5,0)</f>
        <v>0</v>
      </c>
      <c r="AQ147" s="99" t="e">
        <f aca="false">-AQ43/(AR41)</f>
        <v>#DIV/0!</v>
      </c>
      <c r="AR147" s="95" t="n">
        <f aca="false">IFERROR(AQ147/AQ$5,0)</f>
        <v>0</v>
      </c>
      <c r="AT147" s="78"/>
    </row>
    <row r="148" customFormat="false" ht="14.25" hidden="true" customHeight="false" outlineLevel="0" collapsed="false">
      <c r="B148" s="106" t="s">
        <v>164</v>
      </c>
      <c r="D148" s="99" t="e">
        <f aca="false">-(D43-D112+D128)/E41</f>
        <v>#DIV/0!</v>
      </c>
      <c r="E148" s="95" t="n">
        <f aca="false">IFERROR(D148/D$5,0)</f>
        <v>0</v>
      </c>
      <c r="G148" s="99" t="e">
        <f aca="false">-(G43-G112+G128)/H41</f>
        <v>#DIV/0!</v>
      </c>
      <c r="H148" s="95" t="n">
        <f aca="false">IFERROR(G148/G$5,0)</f>
        <v>0</v>
      </c>
      <c r="J148" s="99" t="e">
        <f aca="false">-(J43-J112+J128)/K41</f>
        <v>#DIV/0!</v>
      </c>
      <c r="K148" s="95" t="n">
        <f aca="false">IFERROR(J148/J$5,0)</f>
        <v>0</v>
      </c>
      <c r="M148" s="99" t="e">
        <f aca="false">-(M43-M112+M128)/N41</f>
        <v>#DIV/0!</v>
      </c>
      <c r="N148" s="95" t="n">
        <f aca="false">IFERROR(M148/M$5,0)</f>
        <v>0</v>
      </c>
      <c r="P148" s="99" t="e">
        <f aca="false">-(P43-P112+P128)/Q41</f>
        <v>#DIV/0!</v>
      </c>
      <c r="Q148" s="95" t="n">
        <f aca="false">IFERROR(P148/P$5,0)</f>
        <v>0</v>
      </c>
      <c r="S148" s="99" t="e">
        <f aca="false">-(S43-S112+S128)/T41</f>
        <v>#DIV/0!</v>
      </c>
      <c r="T148" s="95" t="n">
        <f aca="false">IFERROR(S148/S$5,0)</f>
        <v>0</v>
      </c>
      <c r="V148" s="99" t="e">
        <f aca="false">-(V43-V112+V128)/W41</f>
        <v>#DIV/0!</v>
      </c>
      <c r="W148" s="95" t="n">
        <f aca="false">IFERROR(V148/V$5,0)</f>
        <v>0</v>
      </c>
      <c r="Y148" s="99" t="e">
        <f aca="false">-(Y43-Y112+Y128)/Z41</f>
        <v>#DIV/0!</v>
      </c>
      <c r="Z148" s="95" t="n">
        <f aca="false">IFERROR(Y148/Y$5,0)</f>
        <v>0</v>
      </c>
      <c r="AB148" s="99" t="e">
        <f aca="false">-(AB43-AB112+AB128)/AC41</f>
        <v>#DIV/0!</v>
      </c>
      <c r="AC148" s="95" t="n">
        <f aca="false">IFERROR(AB148/AB$5,0)</f>
        <v>0</v>
      </c>
      <c r="AE148" s="99" t="e">
        <f aca="false">-(AE43-AE112+AE128)/AF41</f>
        <v>#DIV/0!</v>
      </c>
      <c r="AF148" s="95" t="n">
        <f aca="false">IFERROR(AE148/AE$5,0)</f>
        <v>0</v>
      </c>
      <c r="AH148" s="99" t="e">
        <f aca="false">-(AH43-AH112+AH128)/AI41</f>
        <v>#DIV/0!</v>
      </c>
      <c r="AI148" s="95" t="n">
        <f aca="false">IFERROR(AH148/AH$5,0)</f>
        <v>0</v>
      </c>
      <c r="AK148" s="99" t="e">
        <f aca="false">-(AK43-AK112+AK128)/AL41</f>
        <v>#DIV/0!</v>
      </c>
      <c r="AL148" s="95" t="n">
        <f aca="false">IFERROR(AK148/AK$5,0)</f>
        <v>0</v>
      </c>
      <c r="AN148" s="99" t="e">
        <f aca="false">-(AN43-AN112+AN128)/AO41</f>
        <v>#DIV/0!</v>
      </c>
      <c r="AO148" s="95" t="n">
        <f aca="false">IFERROR(AN148/AN$5,0)</f>
        <v>0</v>
      </c>
      <c r="AQ148" s="99" t="e">
        <f aca="false">-(AQ43-AQ112+AQ128)/AR41</f>
        <v>#DIV/0!</v>
      </c>
      <c r="AR148" s="95" t="n">
        <f aca="false">IFERROR(AQ148/AQ$5,0)</f>
        <v>0</v>
      </c>
      <c r="AT148" s="78"/>
    </row>
  </sheetData>
  <conditionalFormatting sqref="B33:AT33">
    <cfRule type="cellIs" priority="2" operator="lessThan" aboveAverage="0" equalAverage="0" bottom="0" percent="0" rank="0" text="" dxfId="14">
      <formula>0</formula>
    </cfRule>
  </conditionalFormatting>
  <conditionalFormatting sqref="B146:AT146">
    <cfRule type="cellIs" priority="3" operator="lessThan" aboveAverage="0" equalAverage="0" bottom="0" percent="0" rank="0" text="" dxfId="15">
      <formula>0</formula>
    </cfRule>
  </conditionalFormatting>
  <conditionalFormatting sqref="B110:AT110">
    <cfRule type="cellIs" priority="4" operator="lessThan" aboveAverage="0" equalAverage="0" bottom="0" percent="0" rank="0" text="" dxfId="16">
      <formula>0</formula>
    </cfRule>
  </conditionalFormatting>
  <conditionalFormatting sqref="B112:AT112">
    <cfRule type="cellIs" priority="5" operator="lessThan" aboveAverage="0" equalAverage="0" bottom="0" percent="0" rank="0" text="" dxfId="17">
      <formula>0</formula>
    </cfRule>
  </conditionalFormatting>
  <conditionalFormatting sqref="B126:AT126">
    <cfRule type="cellIs" priority="6" operator="lessThan" aboveAverage="0" equalAverage="0" bottom="0" percent="0" rank="0" text="" dxfId="18">
      <formula>0</formula>
    </cfRule>
  </conditionalFormatting>
  <conditionalFormatting sqref="B128:AT128">
    <cfRule type="cellIs" priority="7" operator="lessThan" aboveAverage="0" equalAverage="0" bottom="0" percent="0" rank="0" text="" dxfId="19">
      <formula>0</formula>
    </cfRule>
  </conditionalFormatting>
  <conditionalFormatting sqref="B41:AT41">
    <cfRule type="cellIs" priority="8" operator="lessThan" aboveAverage="0" equalAverage="0" bottom="0" percent="0" rank="0" text="" dxfId="20">
      <formula>0</formula>
    </cfRule>
  </conditionalFormatting>
  <printOptions headings="false" gridLines="false" gridLinesSet="true" horizontalCentered="false" verticalCentered="false"/>
  <pageMargins left="0.315277777777778" right="0.315277777777778" top="0.7875" bottom="0.7875" header="0.511811023622047" footer="0.511811023622047"/>
  <pageSetup paperSize="9" scale="100" fitToWidth="1" fitToHeight="3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5968"/>
    <pageSetUpPr fitToPage="true"/>
  </sheetPr>
  <dimension ref="A1:AT14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K156" activeCellId="1" sqref="O2:O308 AK156"/>
    </sheetView>
  </sheetViews>
  <sheetFormatPr defaultColWidth="9.11328125" defaultRowHeight="14.25" zeroHeight="false" outlineLevelRow="1" outlineLevelCol="0"/>
  <cols>
    <col collapsed="false" customWidth="true" hidden="false" outlineLevel="0" max="1" min="1" style="36" width="5.56"/>
    <col collapsed="false" customWidth="true" hidden="false" outlineLevel="0" max="2" min="2" style="36" width="66"/>
    <col collapsed="false" customWidth="true" hidden="false" outlineLevel="0" max="3" min="3" style="36" width="1.11"/>
    <col collapsed="false" customWidth="true" hidden="true" outlineLevel="0" max="4" min="4" style="37" width="13"/>
    <col collapsed="false" customWidth="true" hidden="true" outlineLevel="0" max="5" min="5" style="38" width="8"/>
    <col collapsed="false" customWidth="true" hidden="true" outlineLevel="0" max="6" min="6" style="36" width="1"/>
    <col collapsed="false" customWidth="true" hidden="true" outlineLevel="0" max="7" min="7" style="37" width="15.67"/>
    <col collapsed="false" customWidth="true" hidden="true" outlineLevel="0" max="8" min="8" style="38" width="7.45"/>
    <col collapsed="false" customWidth="true" hidden="true" outlineLevel="0" max="9" min="9" style="36" width="1"/>
    <col collapsed="false" customWidth="true" hidden="true" outlineLevel="0" max="10" min="10" style="37" width="13.11"/>
    <col collapsed="false" customWidth="true" hidden="true" outlineLevel="0" max="11" min="11" style="38" width="7.45"/>
    <col collapsed="false" customWidth="true" hidden="true" outlineLevel="0" max="12" min="12" style="36" width="1"/>
    <col collapsed="false" customWidth="true" hidden="true" outlineLevel="0" max="13" min="13" style="37" width="13.11"/>
    <col collapsed="false" customWidth="true" hidden="true" outlineLevel="0" max="14" min="14" style="38" width="7.45"/>
    <col collapsed="false" customWidth="true" hidden="true" outlineLevel="0" max="15" min="15" style="36" width="1"/>
    <col collapsed="false" customWidth="true" hidden="true" outlineLevel="0" max="16" min="16" style="37" width="13.11"/>
    <col collapsed="false" customWidth="true" hidden="true" outlineLevel="0" max="17" min="17" style="38" width="7.45"/>
    <col collapsed="false" customWidth="true" hidden="true" outlineLevel="0" max="18" min="18" style="36" width="1"/>
    <col collapsed="false" customWidth="true" hidden="true" outlineLevel="0" max="19" min="19" style="37" width="13.11"/>
    <col collapsed="false" customWidth="true" hidden="true" outlineLevel="0" max="20" min="20" style="38" width="7.45"/>
    <col collapsed="false" customWidth="true" hidden="true" outlineLevel="0" max="21" min="21" style="36" width="1"/>
    <col collapsed="false" customWidth="true" hidden="true" outlineLevel="0" max="22" min="22" style="37" width="13.89"/>
    <col collapsed="false" customWidth="true" hidden="true" outlineLevel="0" max="23" min="23" style="38" width="7.45"/>
    <col collapsed="false" customWidth="true" hidden="true" outlineLevel="0" max="24" min="24" style="36" width="1"/>
    <col collapsed="false" customWidth="true" hidden="true" outlineLevel="0" max="25" min="25" style="37" width="12.55"/>
    <col collapsed="false" customWidth="true" hidden="true" outlineLevel="0" max="26" min="26" style="38" width="7.45"/>
    <col collapsed="false" customWidth="true" hidden="true" outlineLevel="0" max="27" min="27" style="36" width="1"/>
    <col collapsed="false" customWidth="true" hidden="true" outlineLevel="0" max="28" min="28" style="37" width="16.11"/>
    <col collapsed="false" customWidth="true" hidden="true" outlineLevel="0" max="29" min="29" style="38" width="7.45"/>
    <col collapsed="false" customWidth="true" hidden="true" outlineLevel="0" max="30" min="30" style="36" width="1"/>
    <col collapsed="false" customWidth="true" hidden="true" outlineLevel="0" max="31" min="31" style="37" width="14.34"/>
    <col collapsed="false" customWidth="true" hidden="true" outlineLevel="0" max="32" min="32" style="38" width="7.45"/>
    <col collapsed="false" customWidth="true" hidden="false" outlineLevel="0" max="33" min="33" style="36" width="1"/>
    <col collapsed="false" customWidth="true" hidden="false" outlineLevel="0" max="34" min="34" style="37" width="16.67"/>
    <col collapsed="false" customWidth="true" hidden="false" outlineLevel="0" max="35" min="35" style="38" width="7.45"/>
    <col collapsed="false" customWidth="true" hidden="false" outlineLevel="0" max="36" min="36" style="36" width="1"/>
    <col collapsed="false" customWidth="true" hidden="false" outlineLevel="0" max="37" min="37" style="37" width="16.55"/>
    <col collapsed="false" customWidth="true" hidden="false" outlineLevel="0" max="38" min="38" style="38" width="7.45"/>
    <col collapsed="false" customWidth="true" hidden="false" outlineLevel="0" max="39" min="39" style="36" width="1.11"/>
    <col collapsed="false" customWidth="true" hidden="false" outlineLevel="0" max="40" min="40" style="37" width="18"/>
    <col collapsed="false" customWidth="true" hidden="false" outlineLevel="0" max="41" min="41" style="38" width="7.45"/>
    <col collapsed="false" customWidth="true" hidden="false" outlineLevel="0" max="42" min="42" style="36" width="1"/>
    <col collapsed="false" customWidth="true" hidden="false" outlineLevel="0" max="43" min="43" style="37" width="13.11"/>
    <col collapsed="false" customWidth="true" hidden="false" outlineLevel="0" max="44" min="44" style="38" width="7.45"/>
    <col collapsed="false" customWidth="true" hidden="false" outlineLevel="0" max="45" min="45" style="36" width="1"/>
    <col collapsed="false" customWidth="false" hidden="false" outlineLevel="0" max="16384" min="46" style="36" width="9.11"/>
  </cols>
  <sheetData>
    <row r="1" s="42" customFormat="true" ht="15" hidden="false" customHeight="true" outlineLevel="0" collapsed="false">
      <c r="A1" s="40"/>
      <c r="B1" s="41"/>
      <c r="D1" s="43" t="n">
        <f aca="false">MONTH(D3)</f>
        <v>1</v>
      </c>
      <c r="E1" s="44"/>
      <c r="G1" s="43" t="n">
        <f aca="false">MONTH(G3)</f>
        <v>2</v>
      </c>
      <c r="H1" s="44"/>
      <c r="J1" s="43" t="n">
        <f aca="false">MONTH(J3)</f>
        <v>3</v>
      </c>
      <c r="K1" s="44"/>
      <c r="M1" s="43" t="n">
        <f aca="false">MONTH(M3)</f>
        <v>4</v>
      </c>
      <c r="N1" s="44"/>
      <c r="P1" s="43" t="n">
        <f aca="false">MONTH(P3)</f>
        <v>5</v>
      </c>
      <c r="Q1" s="44"/>
      <c r="S1" s="43" t="n">
        <f aca="false">MONTH(S3)</f>
        <v>6</v>
      </c>
      <c r="T1" s="44"/>
      <c r="V1" s="43" t="n">
        <f aca="false">MONTH(V3)</f>
        <v>7</v>
      </c>
      <c r="W1" s="44"/>
      <c r="Y1" s="43" t="n">
        <f aca="false">MONTH(Y3)</f>
        <v>8</v>
      </c>
      <c r="Z1" s="44"/>
      <c r="AB1" s="43" t="n">
        <f aca="false">MONTH(AB3)</f>
        <v>9</v>
      </c>
      <c r="AC1" s="44"/>
      <c r="AE1" s="43" t="n">
        <f aca="false">MONTH(AE3)</f>
        <v>10</v>
      </c>
      <c r="AF1" s="44"/>
      <c r="AH1" s="43" t="n">
        <f aca="false">MONTH(AH3)</f>
        <v>11</v>
      </c>
      <c r="AI1" s="44"/>
      <c r="AK1" s="43" t="n">
        <f aca="false">MONTH(AK3)</f>
        <v>12</v>
      </c>
      <c r="AL1" s="44"/>
      <c r="AN1" s="43"/>
      <c r="AO1" s="44"/>
      <c r="AQ1" s="43"/>
      <c r="AR1" s="45" t="n">
        <v>7</v>
      </c>
    </row>
    <row r="2" s="42" customFormat="true" ht="15" hidden="false" customHeight="true" outlineLevel="0" collapsed="false">
      <c r="A2" s="40"/>
      <c r="B2" s="47" t="s">
        <v>30</v>
      </c>
      <c r="D2" s="43" t="n">
        <f aca="false">YEAR(D3)</f>
        <v>2021</v>
      </c>
      <c r="E2" s="44"/>
      <c r="G2" s="43" t="n">
        <f aca="false">YEAR(G3)</f>
        <v>2021</v>
      </c>
      <c r="H2" s="44"/>
      <c r="J2" s="43" t="n">
        <f aca="false">YEAR(J3)</f>
        <v>2021</v>
      </c>
      <c r="K2" s="44"/>
      <c r="M2" s="43" t="n">
        <f aca="false">YEAR(M3)</f>
        <v>2021</v>
      </c>
      <c r="N2" s="44"/>
      <c r="P2" s="43" t="n">
        <f aca="false">YEAR(P3)</f>
        <v>2021</v>
      </c>
      <c r="Q2" s="44"/>
      <c r="S2" s="43" t="n">
        <f aca="false">YEAR(S3)</f>
        <v>2021</v>
      </c>
      <c r="T2" s="44"/>
      <c r="V2" s="43" t="n">
        <f aca="false">YEAR(V3)</f>
        <v>2021</v>
      </c>
      <c r="W2" s="44"/>
      <c r="Y2" s="43" t="n">
        <f aca="false">YEAR(Y3)</f>
        <v>2021</v>
      </c>
      <c r="Z2" s="44"/>
      <c r="AB2" s="43" t="n">
        <f aca="false">YEAR(AB3)</f>
        <v>2021</v>
      </c>
      <c r="AC2" s="44"/>
      <c r="AE2" s="43" t="n">
        <f aca="false">YEAR(AE3)</f>
        <v>2021</v>
      </c>
      <c r="AF2" s="44"/>
      <c r="AH2" s="43" t="n">
        <f aca="false">YEAR(AH3)</f>
        <v>2021</v>
      </c>
      <c r="AI2" s="44"/>
      <c r="AK2" s="43" t="n">
        <f aca="false">YEAR(AK3)</f>
        <v>2021</v>
      </c>
      <c r="AL2" s="44"/>
      <c r="AN2" s="43"/>
      <c r="AO2" s="44"/>
      <c r="AQ2" s="43"/>
      <c r="AR2" s="45"/>
    </row>
    <row r="3" customFormat="false" ht="18.75" hidden="false" customHeight="true" outlineLevel="0" collapsed="false">
      <c r="B3" s="48"/>
      <c r="C3" s="49"/>
      <c r="D3" s="50" t="n">
        <v>44197</v>
      </c>
      <c r="E3" s="51" t="s">
        <v>31</v>
      </c>
      <c r="F3" s="49"/>
      <c r="G3" s="50" t="n">
        <f aca="false">D3+31</f>
        <v>44228</v>
      </c>
      <c r="H3" s="51" t="s">
        <v>31</v>
      </c>
      <c r="I3" s="49"/>
      <c r="J3" s="50" t="n">
        <f aca="false">G3+31</f>
        <v>44259</v>
      </c>
      <c r="K3" s="51" t="s">
        <v>31</v>
      </c>
      <c r="L3" s="49"/>
      <c r="M3" s="50" t="n">
        <f aca="false">J3+31</f>
        <v>44290</v>
      </c>
      <c r="N3" s="51" t="s">
        <v>31</v>
      </c>
      <c r="O3" s="49"/>
      <c r="P3" s="50" t="n">
        <f aca="false">M3+31</f>
        <v>44321</v>
      </c>
      <c r="Q3" s="51" t="s">
        <v>31</v>
      </c>
      <c r="R3" s="49"/>
      <c r="S3" s="50" t="n">
        <f aca="false">P3+31</f>
        <v>44352</v>
      </c>
      <c r="T3" s="51" t="s">
        <v>31</v>
      </c>
      <c r="U3" s="49"/>
      <c r="V3" s="50" t="n">
        <f aca="false">S3+31</f>
        <v>44383</v>
      </c>
      <c r="W3" s="51" t="s">
        <v>31</v>
      </c>
      <c r="X3" s="49"/>
      <c r="Y3" s="50" t="n">
        <f aca="false">V3+31</f>
        <v>44414</v>
      </c>
      <c r="Z3" s="51" t="s">
        <v>31</v>
      </c>
      <c r="AA3" s="49"/>
      <c r="AB3" s="50" t="n">
        <f aca="false">Y3+31</f>
        <v>44445</v>
      </c>
      <c r="AC3" s="51" t="s">
        <v>31</v>
      </c>
      <c r="AD3" s="49"/>
      <c r="AE3" s="50" t="n">
        <f aca="false">AB3+31</f>
        <v>44476</v>
      </c>
      <c r="AF3" s="51" t="s">
        <v>31</v>
      </c>
      <c r="AG3" s="49"/>
      <c r="AH3" s="50" t="n">
        <f aca="false">AE3+31</f>
        <v>44507</v>
      </c>
      <c r="AI3" s="51" t="s">
        <v>31</v>
      </c>
      <c r="AJ3" s="49"/>
      <c r="AK3" s="50" t="n">
        <f aca="false">AH3+31</f>
        <v>44538</v>
      </c>
      <c r="AL3" s="51" t="s">
        <v>31</v>
      </c>
      <c r="AM3" s="49"/>
      <c r="AN3" s="52" t="s">
        <v>169</v>
      </c>
      <c r="AO3" s="53" t="s">
        <v>31</v>
      </c>
      <c r="AP3" s="49"/>
      <c r="AQ3" s="54" t="s">
        <v>170</v>
      </c>
      <c r="AR3" s="55" t="s">
        <v>31</v>
      </c>
      <c r="AS3" s="49"/>
    </row>
    <row r="4" s="57" customFormat="true" ht="18.75" hidden="false" customHeight="true" outlineLevel="0" collapsed="false">
      <c r="B4" s="48"/>
      <c r="C4" s="58"/>
      <c r="D4" s="59"/>
      <c r="E4" s="60"/>
      <c r="F4" s="58"/>
      <c r="G4" s="59"/>
      <c r="H4" s="60"/>
      <c r="I4" s="58"/>
      <c r="J4" s="59"/>
      <c r="K4" s="60"/>
      <c r="L4" s="58"/>
      <c r="M4" s="59"/>
      <c r="N4" s="60"/>
      <c r="O4" s="58"/>
      <c r="P4" s="59"/>
      <c r="Q4" s="60"/>
      <c r="R4" s="58"/>
      <c r="S4" s="59"/>
      <c r="T4" s="60"/>
      <c r="U4" s="58"/>
      <c r="V4" s="59"/>
      <c r="W4" s="60"/>
      <c r="X4" s="58"/>
      <c r="Y4" s="59"/>
      <c r="Z4" s="60"/>
      <c r="AA4" s="58"/>
      <c r="AB4" s="59"/>
      <c r="AC4" s="60"/>
      <c r="AD4" s="58"/>
      <c r="AE4" s="59"/>
      <c r="AF4" s="60"/>
      <c r="AG4" s="58"/>
      <c r="AH4" s="59"/>
      <c r="AI4" s="60"/>
      <c r="AJ4" s="58"/>
      <c r="AK4" s="59"/>
      <c r="AL4" s="60"/>
      <c r="AM4" s="58"/>
      <c r="AN4" s="59"/>
      <c r="AO4" s="60"/>
      <c r="AP4" s="58"/>
      <c r="AQ4" s="61"/>
      <c r="AR4" s="60"/>
      <c r="AS4" s="58"/>
    </row>
    <row r="5" s="63" customFormat="true" ht="17.35" hidden="false" customHeight="false" outlineLevel="0" collapsed="false">
      <c r="B5" s="64" t="s">
        <v>35</v>
      </c>
      <c r="C5" s="65"/>
      <c r="D5" s="66" t="n">
        <f aca="false">SUM(D6:D7)</f>
        <v>0</v>
      </c>
      <c r="E5" s="67" t="n">
        <f aca="false">IFERROR(D5/D$5,0)</f>
        <v>0</v>
      </c>
      <c r="F5" s="65"/>
      <c r="G5" s="66" t="n">
        <f aca="false">SUM(G6:G7)</f>
        <v>0</v>
      </c>
      <c r="H5" s="67" t="n">
        <f aca="false">IFERROR(G5/G$5,0)</f>
        <v>0</v>
      </c>
      <c r="I5" s="65"/>
      <c r="J5" s="66" t="n">
        <f aca="false">SUM(J6:J7)</f>
        <v>0</v>
      </c>
      <c r="K5" s="67" t="n">
        <f aca="false">IFERROR(J5/J$5,0)</f>
        <v>0</v>
      </c>
      <c r="L5" s="65"/>
      <c r="M5" s="66" t="n">
        <f aca="false">SUM(M6:M7)</f>
        <v>0</v>
      </c>
      <c r="N5" s="67" t="n">
        <f aca="false">IFERROR(M5/M$5,0)</f>
        <v>0</v>
      </c>
      <c r="O5" s="65"/>
      <c r="P5" s="66" t="n">
        <f aca="false">SUM(P6:P7)</f>
        <v>0</v>
      </c>
      <c r="Q5" s="67" t="n">
        <f aca="false">IFERROR(P5/P$5,0)</f>
        <v>0</v>
      </c>
      <c r="R5" s="65"/>
      <c r="S5" s="66" t="n">
        <f aca="false">SUM(S6:S7)</f>
        <v>0</v>
      </c>
      <c r="T5" s="67" t="n">
        <f aca="false">IFERROR(S5/S$5,0)</f>
        <v>0</v>
      </c>
      <c r="U5" s="65"/>
      <c r="V5" s="66" t="n">
        <f aca="false">SUM(V6:V7)</f>
        <v>0</v>
      </c>
      <c r="W5" s="67" t="n">
        <f aca="false">IFERROR(V5/V$5,0)</f>
        <v>0</v>
      </c>
      <c r="X5" s="65"/>
      <c r="Y5" s="66" t="n">
        <f aca="false">SUM(Y6:Y7)</f>
        <v>0</v>
      </c>
      <c r="Z5" s="67" t="n">
        <f aca="false">IFERROR(Y5/Y$5,0)</f>
        <v>0</v>
      </c>
      <c r="AA5" s="65"/>
      <c r="AB5" s="66" t="n">
        <f aca="false">SUM(AB6:AB7)</f>
        <v>0</v>
      </c>
      <c r="AC5" s="67" t="n">
        <f aca="false">IFERROR(AB5/AB$5,0)</f>
        <v>0</v>
      </c>
      <c r="AD5" s="65"/>
      <c r="AE5" s="66" t="n">
        <f aca="false">SUM(AE6:AE7)</f>
        <v>0</v>
      </c>
      <c r="AF5" s="67" t="n">
        <f aca="false">IFERROR(AE5/AE$5,0)</f>
        <v>0</v>
      </c>
      <c r="AG5" s="65"/>
      <c r="AH5" s="66" t="n">
        <f aca="false">SUM(AH6:AH7)</f>
        <v>0</v>
      </c>
      <c r="AI5" s="67" t="n">
        <f aca="false">IFERROR(AH5/AH$5,0)</f>
        <v>0</v>
      </c>
      <c r="AJ5" s="65"/>
      <c r="AK5" s="66" t="n">
        <f aca="false">SUM(AK6:AK7)</f>
        <v>0</v>
      </c>
      <c r="AL5" s="67" t="n">
        <f aca="false">IFERROR(AK5/AK$5,0)</f>
        <v>0</v>
      </c>
      <c r="AM5" s="65"/>
      <c r="AN5" s="68" t="n">
        <f aca="false">SUM(AN6:AN7)</f>
        <v>0</v>
      </c>
      <c r="AO5" s="69" t="n">
        <f aca="false">IFERROR(AN5/AN$5,0)</f>
        <v>0</v>
      </c>
      <c r="AP5" s="65"/>
      <c r="AQ5" s="70" t="n">
        <f aca="false">SUM(AQ6:AQ7)</f>
        <v>0</v>
      </c>
      <c r="AR5" s="71" t="n">
        <f aca="false">IFERROR(AQ5/AQ$5,0)</f>
        <v>0</v>
      </c>
      <c r="AS5" s="65"/>
    </row>
    <row r="6" s="63" customFormat="true" ht="14.25" hidden="false" customHeight="false" outlineLevel="0" collapsed="false">
      <c r="B6" s="73" t="s">
        <v>167</v>
      </c>
      <c r="C6" s="74"/>
      <c r="D6" s="75" t="n">
        <f aca="false">SUMIFS('Dados Mov Financeira'!$N:$N,'Dados Mov Financeira'!$O:$O,'DRE 2021'!$B6,'Dados Mov Financeira'!$A:$A,'DRE 2021'!D$1,'Dados Mov Financeira'!$B:$B,'DRE 2021'!D$2)</f>
        <v>0</v>
      </c>
      <c r="E6" s="76" t="n">
        <f aca="false">IFERROR(D6/D$5,0)</f>
        <v>0</v>
      </c>
      <c r="F6" s="74"/>
      <c r="G6" s="75" t="n">
        <f aca="false">SUMIFS('Dados Mov Financeira'!$N:$N,'Dados Mov Financeira'!$O:$O,'DRE 2021'!$B6,'Dados Mov Financeira'!$A:$A,'DRE 2021'!G$1,'Dados Mov Financeira'!$B:$B,'DRE 2021'!G$2)</f>
        <v>0</v>
      </c>
      <c r="H6" s="76" t="n">
        <f aca="false">IFERROR(G6/G$5,0)</f>
        <v>0</v>
      </c>
      <c r="I6" s="74"/>
      <c r="J6" s="75" t="n">
        <f aca="false">SUMIFS('Dados Mov Financeira'!$N:$N,'Dados Mov Financeira'!$O:$O,'DRE 2021'!$B6,'Dados Mov Financeira'!$A:$A,'DRE 2021'!J$1,'Dados Mov Financeira'!$B:$B,'DRE 2021'!J$2)</f>
        <v>0</v>
      </c>
      <c r="K6" s="76" t="n">
        <f aca="false">IFERROR(J6/J$5,0)</f>
        <v>0</v>
      </c>
      <c r="L6" s="74"/>
      <c r="M6" s="75" t="n">
        <f aca="false">SUMIFS('Dados Mov Financeira'!$N:$N,'Dados Mov Financeira'!$O:$O,'DRE 2021'!$B6,'Dados Mov Financeira'!$A:$A,'DRE 2021'!M$1,'Dados Mov Financeira'!$B:$B,'DRE 2021'!M$2)</f>
        <v>0</v>
      </c>
      <c r="N6" s="76" t="n">
        <f aca="false">IFERROR(M6/M$5,0)</f>
        <v>0</v>
      </c>
      <c r="O6" s="74"/>
      <c r="P6" s="75" t="n">
        <f aca="false">SUMIFS('Dados Mov Financeira'!$N:$N,'Dados Mov Financeira'!$O:$O,'DRE 2021'!$B6,'Dados Mov Financeira'!$A:$A,'DRE 2021'!P$1,'Dados Mov Financeira'!$B:$B,'DRE 2021'!P$2)</f>
        <v>0</v>
      </c>
      <c r="Q6" s="76" t="n">
        <f aca="false">IFERROR(P6/P$5,0)</f>
        <v>0</v>
      </c>
      <c r="R6" s="74"/>
      <c r="S6" s="75" t="n">
        <f aca="false">SUMIFS('Dados Mov Financeira'!$N:$N,'Dados Mov Financeira'!$O:$O,'DRE 2021'!$B6,'Dados Mov Financeira'!$A:$A,'DRE 2021'!S$1,'Dados Mov Financeira'!$B:$B,'DRE 2021'!S$2)</f>
        <v>0</v>
      </c>
      <c r="T6" s="76" t="n">
        <f aca="false">IFERROR(S6/S$5,0)</f>
        <v>0</v>
      </c>
      <c r="U6" s="74"/>
      <c r="V6" s="75" t="n">
        <f aca="false">SUMIFS('Dados Mov Financeira'!$N:$N,'Dados Mov Financeira'!$O:$O,'DRE 2021'!$B6,'Dados Mov Financeira'!$A:$A,'DRE 2021'!V$1,'Dados Mov Financeira'!$B:$B,'DRE 2021'!V$2)</f>
        <v>0</v>
      </c>
      <c r="W6" s="76" t="n">
        <f aca="false">IFERROR(V6/V$5,0)</f>
        <v>0</v>
      </c>
      <c r="X6" s="74"/>
      <c r="Y6" s="75" t="n">
        <f aca="false">SUMIFS('Dados Mov Financeira'!$N:$N,'Dados Mov Financeira'!$O:$O,'DRE 2021'!$B6,'Dados Mov Financeira'!$A:$A,'DRE 2021'!Y$1,'Dados Mov Financeira'!$B:$B,'DRE 2021'!Y$2)</f>
        <v>0</v>
      </c>
      <c r="Z6" s="76" t="n">
        <f aca="false">IFERROR(Y6/Y$5,0)</f>
        <v>0</v>
      </c>
      <c r="AA6" s="74"/>
      <c r="AB6" s="75" t="n">
        <f aca="false">SUMIFS('Dados Mov Financeira'!$N:$N,'Dados Mov Financeira'!$O:$O,'DRE 2021'!$B6,'Dados Mov Financeira'!$A:$A,'DRE 2021'!AB$1,'Dados Mov Financeira'!$B:$B,'DRE 2021'!AB$2)</f>
        <v>0</v>
      </c>
      <c r="AC6" s="76" t="n">
        <f aca="false">IFERROR(AB6/AB$5,0)</f>
        <v>0</v>
      </c>
      <c r="AD6" s="74"/>
      <c r="AE6" s="75" t="n">
        <f aca="false">SUMIFS('Dados Mov Financeira'!$N:$N,'Dados Mov Financeira'!$O:$O,'DRE 2021'!$B6,'Dados Mov Financeira'!$A:$A,'DRE 2021'!AE$1,'Dados Mov Financeira'!$B:$B,'DRE 2021'!AE$2)</f>
        <v>0</v>
      </c>
      <c r="AF6" s="76" t="n">
        <f aca="false">IFERROR(AE6/AE$5,0)</f>
        <v>0</v>
      </c>
      <c r="AG6" s="74"/>
      <c r="AH6" s="75" t="n">
        <f aca="false">SUMIFS('Dados Mov Financeira'!$N:$N,'Dados Mov Financeira'!$O:$O,'DRE 2021'!$B6,'Dados Mov Financeira'!$A:$A,'DRE 2021'!AH$1,'Dados Mov Financeira'!$B:$B,'DRE 2021'!AH$2)</f>
        <v>0</v>
      </c>
      <c r="AI6" s="76" t="n">
        <f aca="false">IFERROR(AH6/AH$5,0)</f>
        <v>0</v>
      </c>
      <c r="AJ6" s="74"/>
      <c r="AK6" s="75" t="n">
        <f aca="false">SUMIFS('Dados Mov Financeira'!$N:$N,'Dados Mov Financeira'!$O:$O,'DRE 2021'!$B6,'Dados Mov Financeira'!$A:$A,'DRE 2021'!AK$1,'Dados Mov Financeira'!$B:$B,'DRE 2021'!AK$2)</f>
        <v>0</v>
      </c>
      <c r="AL6" s="76" t="n">
        <f aca="false">IFERROR(AK6/AK$5,0)</f>
        <v>0</v>
      </c>
      <c r="AM6" s="74"/>
      <c r="AN6" s="92" t="n">
        <f aca="false">SUM(D6,G6,J6,M6,P6,S6,V6,Y6,AB6,AE6,AH6,AK6)</f>
        <v>0</v>
      </c>
      <c r="AO6" s="76" t="n">
        <f aca="false">IFERROR(AN6/AN$5,0)</f>
        <v>0</v>
      </c>
      <c r="AP6" s="74"/>
      <c r="AQ6" s="77" t="n">
        <f aca="false">AN6/$AR$1</f>
        <v>0</v>
      </c>
      <c r="AR6" s="76" t="n">
        <f aca="false">IFERROR(AQ6/AQ$5,0)</f>
        <v>0</v>
      </c>
      <c r="AS6" s="74"/>
    </row>
    <row r="7" s="63" customFormat="true" ht="14.25" hidden="false" customHeight="false" outlineLevel="0" collapsed="false">
      <c r="B7" s="73" t="s">
        <v>168</v>
      </c>
      <c r="C7" s="74"/>
      <c r="D7" s="75" t="n">
        <f aca="false">SUMIFS('Dados Mov Financeira'!$N:$N,'Dados Mov Financeira'!$O:$O,'DRE 2021'!$B7,'Dados Mov Financeira'!$A:$A,'DRE 2021'!D$1,'Dados Mov Financeira'!$B:$B,'DRE 2021'!D$2)</f>
        <v>0</v>
      </c>
      <c r="E7" s="76" t="n">
        <f aca="false">IFERROR(D7/D$5,0)</f>
        <v>0</v>
      </c>
      <c r="F7" s="74"/>
      <c r="G7" s="75" t="n">
        <f aca="false">SUMIFS('Dados Mov Financeira'!$N:$N,'Dados Mov Financeira'!$O:$O,'DRE 2021'!$B7,'Dados Mov Financeira'!$A:$A,'DRE 2021'!G$1,'Dados Mov Financeira'!$B:$B,'DRE 2021'!G$2)</f>
        <v>0</v>
      </c>
      <c r="H7" s="76" t="n">
        <f aca="false">IFERROR(G7/G$5,0)</f>
        <v>0</v>
      </c>
      <c r="I7" s="74"/>
      <c r="J7" s="75" t="n">
        <f aca="false">SUMIFS('Dados Mov Financeira'!$N:$N,'Dados Mov Financeira'!$O:$O,'DRE 2021'!$B7,'Dados Mov Financeira'!$A:$A,'DRE 2021'!J$1,'Dados Mov Financeira'!$B:$B,'DRE 2021'!J$2)</f>
        <v>0</v>
      </c>
      <c r="K7" s="76" t="n">
        <f aca="false">IFERROR(J7/J$5,0)</f>
        <v>0</v>
      </c>
      <c r="L7" s="74"/>
      <c r="M7" s="75" t="n">
        <f aca="false">SUMIFS('Dados Mov Financeira'!$N:$N,'Dados Mov Financeira'!$O:$O,'DRE 2021'!$B7,'Dados Mov Financeira'!$A:$A,'DRE 2021'!M$1,'Dados Mov Financeira'!$B:$B,'DRE 2021'!M$2)</f>
        <v>0</v>
      </c>
      <c r="N7" s="76" t="n">
        <f aca="false">IFERROR(M7/M$5,0)</f>
        <v>0</v>
      </c>
      <c r="O7" s="74"/>
      <c r="P7" s="75" t="n">
        <f aca="false">SUMIFS('Dados Mov Financeira'!$N:$N,'Dados Mov Financeira'!$O:$O,'DRE 2021'!$B7,'Dados Mov Financeira'!$A:$A,'DRE 2021'!P$1,'Dados Mov Financeira'!$B:$B,'DRE 2021'!P$2)</f>
        <v>0</v>
      </c>
      <c r="Q7" s="76" t="n">
        <f aca="false">IFERROR(P7/P$5,0)</f>
        <v>0</v>
      </c>
      <c r="R7" s="74"/>
      <c r="S7" s="75" t="n">
        <f aca="false">SUMIFS('Dados Mov Financeira'!$N:$N,'Dados Mov Financeira'!$O:$O,'DRE 2021'!$B7,'Dados Mov Financeira'!$A:$A,'DRE 2021'!S$1,'Dados Mov Financeira'!$B:$B,'DRE 2021'!S$2)</f>
        <v>0</v>
      </c>
      <c r="T7" s="76" t="n">
        <f aca="false">IFERROR(S7/S$5,0)</f>
        <v>0</v>
      </c>
      <c r="U7" s="74"/>
      <c r="V7" s="75" t="n">
        <f aca="false">SUMIFS('Dados Mov Financeira'!$N:$N,'Dados Mov Financeira'!$O:$O,'DRE 2021'!$B7,'Dados Mov Financeira'!$A:$A,'DRE 2021'!V$1,'Dados Mov Financeira'!$B:$B,'DRE 2021'!V$2)</f>
        <v>0</v>
      </c>
      <c r="W7" s="76" t="n">
        <f aca="false">IFERROR(V7/V$5,0)</f>
        <v>0</v>
      </c>
      <c r="X7" s="74"/>
      <c r="Y7" s="75" t="n">
        <f aca="false">SUMIFS('Dados Mov Financeira'!$N:$N,'Dados Mov Financeira'!$O:$O,'DRE 2021'!$B7,'Dados Mov Financeira'!$A:$A,'DRE 2021'!Y$1,'Dados Mov Financeira'!$B:$B,'DRE 2021'!Y$2)</f>
        <v>0</v>
      </c>
      <c r="Z7" s="76" t="n">
        <f aca="false">IFERROR(Y7/Y$5,0)</f>
        <v>0</v>
      </c>
      <c r="AA7" s="74"/>
      <c r="AB7" s="75" t="n">
        <f aca="false">SUMIFS('Dados Mov Financeira'!$N:$N,'Dados Mov Financeira'!$O:$O,'DRE 2021'!$B7,'Dados Mov Financeira'!$A:$A,'DRE 2021'!AB$1,'Dados Mov Financeira'!$B:$B,'DRE 2021'!AB$2)</f>
        <v>0</v>
      </c>
      <c r="AC7" s="76" t="n">
        <f aca="false">IFERROR(AB7/AB$5,0)</f>
        <v>0</v>
      </c>
      <c r="AD7" s="74"/>
      <c r="AE7" s="75" t="n">
        <f aca="false">SUMIFS('Dados Mov Financeira'!$N:$N,'Dados Mov Financeira'!$O:$O,'DRE 2021'!$B7,'Dados Mov Financeira'!$A:$A,'DRE 2021'!AE$1,'Dados Mov Financeira'!$B:$B,'DRE 2021'!AE$2)</f>
        <v>0</v>
      </c>
      <c r="AF7" s="76" t="n">
        <f aca="false">IFERROR(AE7/AE$5,0)</f>
        <v>0</v>
      </c>
      <c r="AG7" s="74"/>
      <c r="AH7" s="75" t="n">
        <f aca="false">SUMIFS('Dados Mov Financeira'!$N:$N,'Dados Mov Financeira'!$O:$O,'DRE 2021'!$B7,'Dados Mov Financeira'!$A:$A,'DRE 2021'!AH$1,'Dados Mov Financeira'!$B:$B,'DRE 2021'!AH$2)</f>
        <v>0</v>
      </c>
      <c r="AI7" s="76" t="n">
        <f aca="false">IFERROR(AH7/AH$5,0)</f>
        <v>0</v>
      </c>
      <c r="AJ7" s="74"/>
      <c r="AK7" s="75" t="n">
        <f aca="false">SUMIFS('Dados Mov Financeira'!$N:$N,'Dados Mov Financeira'!$O:$O,'DRE 2021'!$B7,'Dados Mov Financeira'!$A:$A,'DRE 2021'!AK$1,'Dados Mov Financeira'!$B:$B,'DRE 2021'!AK$2)</f>
        <v>0</v>
      </c>
      <c r="AL7" s="76" t="n">
        <f aca="false">IFERROR(AK7/AK$5,0)</f>
        <v>0</v>
      </c>
      <c r="AM7" s="74"/>
      <c r="AN7" s="92" t="n">
        <f aca="false">SUM(D7,G7,J7,M7,P7,S7,V7,Y7,AB7,AE7,AH7,AK7)</f>
        <v>0</v>
      </c>
      <c r="AO7" s="76" t="n">
        <f aca="false">IFERROR(AN7/AN$5,0)</f>
        <v>0</v>
      </c>
      <c r="AP7" s="74"/>
      <c r="AQ7" s="77" t="n">
        <f aca="false">AN7/$AR$1</f>
        <v>0</v>
      </c>
      <c r="AR7" s="76" t="n">
        <f aca="false">IFERROR(AQ7/AQ$5,0)</f>
        <v>0</v>
      </c>
      <c r="AS7" s="74"/>
    </row>
    <row r="8" s="57" customFormat="true" ht="7.5" hidden="false" customHeight="true" outlineLevel="0" collapsed="false">
      <c r="B8" s="48"/>
      <c r="C8" s="58"/>
      <c r="D8" s="59"/>
      <c r="E8" s="60"/>
      <c r="F8" s="58"/>
      <c r="G8" s="59"/>
      <c r="H8" s="60"/>
      <c r="I8" s="58"/>
      <c r="J8" s="59"/>
      <c r="K8" s="60"/>
      <c r="L8" s="58"/>
      <c r="M8" s="59"/>
      <c r="N8" s="60"/>
      <c r="O8" s="58"/>
      <c r="P8" s="59"/>
      <c r="Q8" s="60"/>
      <c r="R8" s="58"/>
      <c r="S8" s="59"/>
      <c r="T8" s="60"/>
      <c r="U8" s="58"/>
      <c r="V8" s="59"/>
      <c r="W8" s="60"/>
      <c r="X8" s="58"/>
      <c r="Y8" s="59"/>
      <c r="Z8" s="60"/>
      <c r="AA8" s="58"/>
      <c r="AB8" s="59"/>
      <c r="AC8" s="60"/>
      <c r="AD8" s="58"/>
      <c r="AE8" s="59"/>
      <c r="AF8" s="60"/>
      <c r="AG8" s="58"/>
      <c r="AH8" s="59"/>
      <c r="AI8" s="60"/>
      <c r="AJ8" s="58"/>
      <c r="AK8" s="59"/>
      <c r="AL8" s="60"/>
      <c r="AM8" s="58"/>
      <c r="AN8" s="59"/>
      <c r="AO8" s="60"/>
      <c r="AP8" s="58"/>
      <c r="AQ8" s="61"/>
      <c r="AR8" s="60"/>
      <c r="AS8" s="58"/>
    </row>
    <row r="9" s="63" customFormat="true" ht="17.35" hidden="false" customHeight="false" outlineLevel="0" collapsed="false">
      <c r="A9" s="36"/>
      <c r="B9" s="79" t="s">
        <v>38</v>
      </c>
      <c r="D9" s="80" t="n">
        <f aca="false">D10+D15</f>
        <v>0</v>
      </c>
      <c r="E9" s="81" t="n">
        <f aca="false">IFERROR(D9/D$5,0)</f>
        <v>0</v>
      </c>
      <c r="G9" s="80" t="n">
        <f aca="false">G10+G15</f>
        <v>0</v>
      </c>
      <c r="H9" s="81" t="n">
        <f aca="false">IFERROR(G9/G$5,0)</f>
        <v>0</v>
      </c>
      <c r="J9" s="80" t="n">
        <f aca="false">J10+J15</f>
        <v>0</v>
      </c>
      <c r="K9" s="81" t="n">
        <f aca="false">IFERROR(J9/J$5,0)</f>
        <v>0</v>
      </c>
      <c r="M9" s="80" t="n">
        <f aca="false">M10+M15</f>
        <v>0</v>
      </c>
      <c r="N9" s="81" t="n">
        <f aca="false">IFERROR(M9/M$5,0)</f>
        <v>0</v>
      </c>
      <c r="P9" s="80" t="n">
        <f aca="false">P10+P15</f>
        <v>0</v>
      </c>
      <c r="Q9" s="81" t="n">
        <f aca="false">IFERROR(P9/P$5,0)</f>
        <v>0</v>
      </c>
      <c r="S9" s="80" t="n">
        <f aca="false">S10+S15</f>
        <v>0</v>
      </c>
      <c r="T9" s="81" t="n">
        <f aca="false">IFERROR(S9/S$5,0)</f>
        <v>0</v>
      </c>
      <c r="V9" s="80" t="n">
        <f aca="false">V10+V15</f>
        <v>0</v>
      </c>
      <c r="W9" s="81" t="n">
        <f aca="false">IFERROR(V9/V$5,0)</f>
        <v>0</v>
      </c>
      <c r="Y9" s="80" t="n">
        <f aca="false">Y10+Y15</f>
        <v>0</v>
      </c>
      <c r="Z9" s="81" t="n">
        <f aca="false">IFERROR(Y9/Y$5,0)</f>
        <v>0</v>
      </c>
      <c r="AB9" s="80" t="n">
        <f aca="false">AB10+AB15</f>
        <v>0</v>
      </c>
      <c r="AC9" s="81" t="n">
        <f aca="false">IFERROR(AB9/AB$5,0)</f>
        <v>0</v>
      </c>
      <c r="AE9" s="80" t="n">
        <f aca="false">AE10+AE15</f>
        <v>0</v>
      </c>
      <c r="AF9" s="81" t="n">
        <f aca="false">IFERROR(AE9/AE$5,0)</f>
        <v>0</v>
      </c>
      <c r="AH9" s="80" t="n">
        <f aca="false">AH10+AH15</f>
        <v>0</v>
      </c>
      <c r="AI9" s="81" t="n">
        <f aca="false">IFERROR(AH9/AH$5,0)</f>
        <v>0</v>
      </c>
      <c r="AK9" s="80" t="n">
        <f aca="false">AK10+AK15</f>
        <v>0</v>
      </c>
      <c r="AL9" s="81" t="n">
        <f aca="false">IFERROR(AK9/AK$5,0)</f>
        <v>0</v>
      </c>
      <c r="AN9" s="80" t="n">
        <f aca="false">AN10+AN15</f>
        <v>0</v>
      </c>
      <c r="AO9" s="81" t="n">
        <f aca="false">IFERROR(AN9/AN$5,0)</f>
        <v>0</v>
      </c>
      <c r="AQ9" s="82" t="n">
        <f aca="false">AQ10+AQ15</f>
        <v>0</v>
      </c>
      <c r="AR9" s="83" t="n">
        <f aca="false">IFERROR(AQ9/AQ$5,0)</f>
        <v>0</v>
      </c>
    </row>
    <row r="10" s="63" customFormat="true" ht="14.25" hidden="false" customHeight="false" outlineLevel="0" collapsed="false">
      <c r="B10" s="85" t="s">
        <v>39</v>
      </c>
      <c r="C10" s="86"/>
      <c r="D10" s="87" t="n">
        <f aca="false">SUM(D11:D14)</f>
        <v>0</v>
      </c>
      <c r="E10" s="88" t="n">
        <f aca="false">IFERROR(D10/D$5,0)</f>
        <v>0</v>
      </c>
      <c r="F10" s="86"/>
      <c r="G10" s="87" t="n">
        <f aca="false">SUM(G11:G14)</f>
        <v>0</v>
      </c>
      <c r="H10" s="88" t="n">
        <f aca="false">IFERROR(G10/G$5,0)</f>
        <v>0</v>
      </c>
      <c r="I10" s="86"/>
      <c r="J10" s="87" t="n">
        <f aca="false">SUM(J11:J14)</f>
        <v>0</v>
      </c>
      <c r="K10" s="88" t="n">
        <f aca="false">IFERROR(J10/J$5,0)</f>
        <v>0</v>
      </c>
      <c r="L10" s="86"/>
      <c r="M10" s="87" t="n">
        <f aca="false">SUM(M11:M14)</f>
        <v>0</v>
      </c>
      <c r="N10" s="88" t="n">
        <f aca="false">IFERROR(M10/M$5,0)</f>
        <v>0</v>
      </c>
      <c r="O10" s="86"/>
      <c r="P10" s="87" t="n">
        <f aca="false">SUM(P11:P14)</f>
        <v>0</v>
      </c>
      <c r="Q10" s="88" t="n">
        <f aca="false">IFERROR(P10/P$5,0)</f>
        <v>0</v>
      </c>
      <c r="R10" s="86"/>
      <c r="S10" s="87" t="n">
        <f aca="false">SUM(S11:S14)</f>
        <v>0</v>
      </c>
      <c r="T10" s="88" t="n">
        <f aca="false">IFERROR(S10/S$5,0)</f>
        <v>0</v>
      </c>
      <c r="U10" s="86"/>
      <c r="V10" s="87" t="n">
        <f aca="false">SUM(V11:V14)</f>
        <v>0</v>
      </c>
      <c r="W10" s="88" t="n">
        <f aca="false">IFERROR(V10/V$5,0)</f>
        <v>0</v>
      </c>
      <c r="X10" s="86"/>
      <c r="Y10" s="87" t="n">
        <f aca="false">SUM(Y11:Y14)</f>
        <v>0</v>
      </c>
      <c r="Z10" s="88" t="n">
        <f aca="false">IFERROR(Y10/Y$5,0)</f>
        <v>0</v>
      </c>
      <c r="AA10" s="86"/>
      <c r="AB10" s="87" t="n">
        <f aca="false">SUM(AB11:AB14)</f>
        <v>0</v>
      </c>
      <c r="AC10" s="88" t="n">
        <f aca="false">IFERROR(AB10/AB$5,0)</f>
        <v>0</v>
      </c>
      <c r="AD10" s="86"/>
      <c r="AE10" s="87" t="n">
        <f aca="false">SUM(AE11:AE14)</f>
        <v>0</v>
      </c>
      <c r="AF10" s="88" t="n">
        <f aca="false">IFERROR(AE10/AE$5,0)</f>
        <v>0</v>
      </c>
      <c r="AG10" s="86"/>
      <c r="AH10" s="87" t="n">
        <f aca="false">SUM(AH11:AH14)</f>
        <v>0</v>
      </c>
      <c r="AI10" s="88" t="n">
        <f aca="false">IFERROR(AH10/AH$5,0)</f>
        <v>0</v>
      </c>
      <c r="AJ10" s="86"/>
      <c r="AK10" s="87" t="n">
        <f aca="false">SUM(AK11:AK14)</f>
        <v>0</v>
      </c>
      <c r="AL10" s="88" t="n">
        <f aca="false">IFERROR(AK10/AK$5,0)</f>
        <v>0</v>
      </c>
      <c r="AM10" s="86"/>
      <c r="AN10" s="92" t="n">
        <f aca="false">SUM(D10,G10,J10,M10,P10,S10,V10,Y10,AB10,AE10,AH10,AK10)</f>
        <v>0</v>
      </c>
      <c r="AO10" s="88" t="n">
        <f aca="false">IFERROR(AN10/AN$5,0)</f>
        <v>0</v>
      </c>
      <c r="AP10" s="86"/>
      <c r="AQ10" s="77" t="n">
        <f aca="false">AN10/$AR$1</f>
        <v>0</v>
      </c>
      <c r="AR10" s="76" t="n">
        <f aca="false">IFERROR(AQ10/AQ$5,0)</f>
        <v>0</v>
      </c>
      <c r="AS10" s="86"/>
    </row>
    <row r="11" customFormat="false" ht="14.25" hidden="false" customHeight="false" outlineLevel="1" collapsed="false">
      <c r="B11" s="89" t="s">
        <v>40</v>
      </c>
      <c r="C11" s="90"/>
      <c r="D11" s="75" t="n">
        <f aca="false">SUMIFS('Dados Mov Financeira'!$N:$N,'Dados Mov Financeira'!$O:$O,'DRE 2021'!$B11,'Dados Mov Financeira'!$A:$A,'DRE 2021'!D$1,'Dados Mov Financeira'!$B:$B,'DRE 2021'!D$2)</f>
        <v>0</v>
      </c>
      <c r="E11" s="91" t="n">
        <f aca="false">IFERROR(D11/D$5,0)</f>
        <v>0</v>
      </c>
      <c r="F11" s="90"/>
      <c r="G11" s="75" t="n">
        <f aca="false">SUMIFS('Dados Mov Financeira'!$N:$N,'Dados Mov Financeira'!$O:$O,'DRE 2021'!$B11,'Dados Mov Financeira'!$A:$A,'DRE 2021'!G$1,'Dados Mov Financeira'!$B:$B,'DRE 2021'!G$2)</f>
        <v>0</v>
      </c>
      <c r="H11" s="91" t="n">
        <f aca="false">IFERROR(G11/G$5,0)</f>
        <v>0</v>
      </c>
      <c r="I11" s="90"/>
      <c r="J11" s="75" t="n">
        <f aca="false">SUMIFS('Dados Mov Financeira'!$N:$N,'Dados Mov Financeira'!$O:$O,'DRE 2021'!$B11,'Dados Mov Financeira'!$A:$A,'DRE 2021'!J$1,'Dados Mov Financeira'!$B:$B,'DRE 2021'!J$2)</f>
        <v>0</v>
      </c>
      <c r="K11" s="91" t="n">
        <f aca="false">IFERROR(J11/J$5,0)</f>
        <v>0</v>
      </c>
      <c r="L11" s="90"/>
      <c r="M11" s="75" t="n">
        <f aca="false">SUMIFS('Dados Mov Financeira'!$N:$N,'Dados Mov Financeira'!$O:$O,'DRE 2021'!$B11,'Dados Mov Financeira'!$A:$A,'DRE 2021'!M$1,'Dados Mov Financeira'!$B:$B,'DRE 2021'!M$2)</f>
        <v>0</v>
      </c>
      <c r="N11" s="91" t="n">
        <f aca="false">IFERROR(M11/M$5,0)</f>
        <v>0</v>
      </c>
      <c r="O11" s="90"/>
      <c r="P11" s="75" t="n">
        <f aca="false">SUMIFS('Dados Mov Financeira'!$N:$N,'Dados Mov Financeira'!$O:$O,'DRE 2021'!$B11,'Dados Mov Financeira'!$A:$A,'DRE 2021'!P$1,'Dados Mov Financeira'!$B:$B,'DRE 2021'!P$2)</f>
        <v>0</v>
      </c>
      <c r="Q11" s="91" t="n">
        <f aca="false">IFERROR(P11/P$5,0)</f>
        <v>0</v>
      </c>
      <c r="R11" s="90"/>
      <c r="S11" s="75" t="n">
        <f aca="false">SUMIFS('Dados Mov Financeira'!$N:$N,'Dados Mov Financeira'!$O:$O,'DRE 2021'!$B11,'Dados Mov Financeira'!$A:$A,'DRE 2021'!S$1,'Dados Mov Financeira'!$B:$B,'DRE 2021'!S$2)</f>
        <v>0</v>
      </c>
      <c r="T11" s="91" t="n">
        <f aca="false">IFERROR(S11/S$5,0)</f>
        <v>0</v>
      </c>
      <c r="U11" s="90"/>
      <c r="V11" s="75" t="n">
        <f aca="false">SUMIFS('Dados Mov Financeira'!$N:$N,'Dados Mov Financeira'!$O:$O,'DRE 2021'!$B11,'Dados Mov Financeira'!$A:$A,'DRE 2021'!V$1,'Dados Mov Financeira'!$B:$B,'DRE 2021'!V$2)</f>
        <v>0</v>
      </c>
      <c r="W11" s="91" t="n">
        <f aca="false">IFERROR(V11/V$5,0)</f>
        <v>0</v>
      </c>
      <c r="X11" s="90"/>
      <c r="Y11" s="75" t="n">
        <f aca="false">SUMIFS('Dados Mov Financeira'!$N:$N,'Dados Mov Financeira'!$O:$O,'DRE 2021'!$B11,'Dados Mov Financeira'!$A:$A,'DRE 2021'!Y$1,'Dados Mov Financeira'!$B:$B,'DRE 2021'!Y$2)</f>
        <v>0</v>
      </c>
      <c r="Z11" s="91" t="n">
        <f aca="false">IFERROR(Y11/Y$5,0)</f>
        <v>0</v>
      </c>
      <c r="AA11" s="90"/>
      <c r="AB11" s="75" t="n">
        <f aca="false">SUMIFS('Dados Mov Financeira'!$N:$N,'Dados Mov Financeira'!$O:$O,'DRE 2021'!$B11,'Dados Mov Financeira'!$A:$A,'DRE 2021'!AB$1,'Dados Mov Financeira'!$B:$B,'DRE 2021'!AB$2)</f>
        <v>0</v>
      </c>
      <c r="AC11" s="91" t="n">
        <f aca="false">IFERROR(AB11/AB$5,0)</f>
        <v>0</v>
      </c>
      <c r="AD11" s="90"/>
      <c r="AE11" s="75" t="n">
        <f aca="false">SUMIFS('Dados Mov Financeira'!$N:$N,'Dados Mov Financeira'!$O:$O,'DRE 2021'!$B11,'Dados Mov Financeira'!$A:$A,'DRE 2021'!AE$1,'Dados Mov Financeira'!$B:$B,'DRE 2021'!AE$2)</f>
        <v>0</v>
      </c>
      <c r="AF11" s="91" t="n">
        <f aca="false">IFERROR(AE11/AE$5,0)</f>
        <v>0</v>
      </c>
      <c r="AG11" s="90"/>
      <c r="AH11" s="75" t="n">
        <f aca="false">SUMIFS('Dados Mov Financeira'!$N:$N,'Dados Mov Financeira'!$O:$O,'DRE 2021'!$B11,'Dados Mov Financeira'!$A:$A,'DRE 2021'!AH$1,'Dados Mov Financeira'!$B:$B,'DRE 2021'!AH$2)</f>
        <v>0</v>
      </c>
      <c r="AI11" s="91" t="n">
        <f aca="false">IFERROR(AH11/AH$5,0)</f>
        <v>0</v>
      </c>
      <c r="AJ11" s="90"/>
      <c r="AK11" s="75" t="n">
        <f aca="false">SUMIFS('Dados Mov Financeira'!$N:$N,'Dados Mov Financeira'!$O:$O,'DRE 2021'!$B11,'Dados Mov Financeira'!$A:$A,'DRE 2021'!AK$1,'Dados Mov Financeira'!$B:$B,'DRE 2021'!AK$2)</f>
        <v>0</v>
      </c>
      <c r="AL11" s="91" t="n">
        <f aca="false">IFERROR(AK11/AK$5,0)</f>
        <v>0</v>
      </c>
      <c r="AM11" s="90"/>
      <c r="AN11" s="92" t="n">
        <f aca="false">SUM(D11,G11,J11,M11,P11,S11,V11,Y11,AB11,AE11,AH11,AK11)</f>
        <v>0</v>
      </c>
      <c r="AO11" s="91" t="n">
        <f aca="false">IFERROR(AN11/AN$5,0)</f>
        <v>0</v>
      </c>
      <c r="AP11" s="90"/>
      <c r="AQ11" s="93" t="n">
        <f aca="false">AN11/$AR$1</f>
        <v>0</v>
      </c>
      <c r="AR11" s="94" t="n">
        <f aca="false">IFERROR(AQ11/AQ$5,0)</f>
        <v>0</v>
      </c>
      <c r="AS11" s="90"/>
    </row>
    <row r="12" customFormat="false" ht="14.25" hidden="false" customHeight="false" outlineLevel="1" collapsed="false">
      <c r="B12" s="89" t="s">
        <v>41</v>
      </c>
      <c r="C12" s="90"/>
      <c r="D12" s="75" t="n">
        <f aca="false">SUMIFS('Dados Mov Financeira'!$N:$N,'Dados Mov Financeira'!$O:$O,'DRE 2021'!$B12,'Dados Mov Financeira'!$A:$A,'DRE 2021'!D$1,'Dados Mov Financeira'!$B:$B,'DRE 2021'!D$2)</f>
        <v>0</v>
      </c>
      <c r="E12" s="91" t="n">
        <f aca="false">IFERROR(D12/D$5,0)</f>
        <v>0</v>
      </c>
      <c r="F12" s="90"/>
      <c r="G12" s="75" t="n">
        <f aca="false">SUMIFS('Dados Mov Financeira'!$N:$N,'Dados Mov Financeira'!$O:$O,'DRE 2021'!$B12,'Dados Mov Financeira'!$A:$A,'DRE 2021'!G$1,'Dados Mov Financeira'!$B:$B,'DRE 2021'!G$2)</f>
        <v>0</v>
      </c>
      <c r="H12" s="91" t="n">
        <f aca="false">IFERROR(G12/G$5,0)</f>
        <v>0</v>
      </c>
      <c r="I12" s="90"/>
      <c r="J12" s="75" t="n">
        <f aca="false">SUMIFS('Dados Mov Financeira'!$N:$N,'Dados Mov Financeira'!$O:$O,'DRE 2021'!$B12,'Dados Mov Financeira'!$A:$A,'DRE 2021'!J$1,'Dados Mov Financeira'!$B:$B,'DRE 2021'!J$2)</f>
        <v>0</v>
      </c>
      <c r="K12" s="91" t="n">
        <f aca="false">IFERROR(J12/J$5,0)</f>
        <v>0</v>
      </c>
      <c r="L12" s="90"/>
      <c r="M12" s="75" t="n">
        <f aca="false">SUMIFS('Dados Mov Financeira'!$N:$N,'Dados Mov Financeira'!$O:$O,'DRE 2021'!$B12,'Dados Mov Financeira'!$A:$A,'DRE 2021'!M$1,'Dados Mov Financeira'!$B:$B,'DRE 2021'!M$2)</f>
        <v>0</v>
      </c>
      <c r="N12" s="91" t="n">
        <f aca="false">IFERROR(M12/M$5,0)</f>
        <v>0</v>
      </c>
      <c r="O12" s="90"/>
      <c r="P12" s="75" t="n">
        <f aca="false">SUMIFS('Dados Mov Financeira'!$N:$N,'Dados Mov Financeira'!$O:$O,'DRE 2021'!$B12,'Dados Mov Financeira'!$A:$A,'DRE 2021'!P$1,'Dados Mov Financeira'!$B:$B,'DRE 2021'!P$2)</f>
        <v>0</v>
      </c>
      <c r="Q12" s="91" t="n">
        <f aca="false">IFERROR(P12/P$5,0)</f>
        <v>0</v>
      </c>
      <c r="R12" s="90"/>
      <c r="S12" s="75" t="n">
        <f aca="false">SUMIFS('Dados Mov Financeira'!$N:$N,'Dados Mov Financeira'!$O:$O,'DRE 2021'!$B12,'Dados Mov Financeira'!$A:$A,'DRE 2021'!S$1,'Dados Mov Financeira'!$B:$B,'DRE 2021'!S$2)</f>
        <v>0</v>
      </c>
      <c r="T12" s="91" t="n">
        <f aca="false">IFERROR(S12/S$5,0)</f>
        <v>0</v>
      </c>
      <c r="U12" s="90"/>
      <c r="V12" s="75" t="n">
        <f aca="false">SUMIFS('Dados Mov Financeira'!$N:$N,'Dados Mov Financeira'!$O:$O,'DRE 2021'!$B12,'Dados Mov Financeira'!$A:$A,'DRE 2021'!V$1,'Dados Mov Financeira'!$B:$B,'DRE 2021'!V$2)</f>
        <v>0</v>
      </c>
      <c r="W12" s="91" t="n">
        <f aca="false">IFERROR(V12/V$5,0)</f>
        <v>0</v>
      </c>
      <c r="X12" s="90"/>
      <c r="Y12" s="75" t="n">
        <f aca="false">SUMIFS('Dados Mov Financeira'!$N:$N,'Dados Mov Financeira'!$O:$O,'DRE 2021'!$B12,'Dados Mov Financeira'!$A:$A,'DRE 2021'!Y$1,'Dados Mov Financeira'!$B:$B,'DRE 2021'!Y$2)</f>
        <v>0</v>
      </c>
      <c r="Z12" s="91" t="n">
        <f aca="false">IFERROR(Y12/Y$5,0)</f>
        <v>0</v>
      </c>
      <c r="AA12" s="90"/>
      <c r="AB12" s="75" t="n">
        <f aca="false">SUMIFS('Dados Mov Financeira'!$N:$N,'Dados Mov Financeira'!$O:$O,'DRE 2021'!$B12,'Dados Mov Financeira'!$A:$A,'DRE 2021'!AB$1,'Dados Mov Financeira'!$B:$B,'DRE 2021'!AB$2)</f>
        <v>0</v>
      </c>
      <c r="AC12" s="91" t="n">
        <f aca="false">IFERROR(AB12/AB$5,0)</f>
        <v>0</v>
      </c>
      <c r="AD12" s="90"/>
      <c r="AE12" s="75" t="n">
        <f aca="false">SUMIFS('Dados Mov Financeira'!$N:$N,'Dados Mov Financeira'!$O:$O,'DRE 2021'!$B12,'Dados Mov Financeira'!$A:$A,'DRE 2021'!AE$1,'Dados Mov Financeira'!$B:$B,'DRE 2021'!AE$2)</f>
        <v>0</v>
      </c>
      <c r="AF12" s="91" t="n">
        <f aca="false">IFERROR(AE12/AE$5,0)</f>
        <v>0</v>
      </c>
      <c r="AG12" s="90"/>
      <c r="AH12" s="75" t="n">
        <f aca="false">SUMIFS('Dados Mov Financeira'!$N:$N,'Dados Mov Financeira'!$O:$O,'DRE 2021'!$B12,'Dados Mov Financeira'!$A:$A,'DRE 2021'!AH$1,'Dados Mov Financeira'!$B:$B,'DRE 2021'!AH$2)</f>
        <v>0</v>
      </c>
      <c r="AI12" s="91" t="n">
        <f aca="false">IFERROR(AH12/AH$5,0)</f>
        <v>0</v>
      </c>
      <c r="AJ12" s="90"/>
      <c r="AK12" s="75" t="n">
        <f aca="false">SUMIFS('Dados Mov Financeira'!$N:$N,'Dados Mov Financeira'!$O:$O,'DRE 2021'!$B12,'Dados Mov Financeira'!$A:$A,'DRE 2021'!AK$1,'Dados Mov Financeira'!$B:$B,'DRE 2021'!AK$2)</f>
        <v>0</v>
      </c>
      <c r="AL12" s="91" t="n">
        <f aca="false">IFERROR(AK12/AK$5,0)</f>
        <v>0</v>
      </c>
      <c r="AM12" s="90"/>
      <c r="AN12" s="92" t="n">
        <f aca="false">SUM(D12,G12,J12,M12,P12,S12,V12,Y12,AB12,AE12,AH12,AK12)</f>
        <v>0</v>
      </c>
      <c r="AO12" s="91" t="n">
        <f aca="false">IFERROR(AN12/AN$5,0)</f>
        <v>0</v>
      </c>
      <c r="AP12" s="90"/>
      <c r="AQ12" s="93" t="n">
        <f aca="false">AN12/$AR$1</f>
        <v>0</v>
      </c>
      <c r="AR12" s="94" t="n">
        <f aca="false">IFERROR(AQ12/AQ$5,0)</f>
        <v>0</v>
      </c>
      <c r="AS12" s="90"/>
    </row>
    <row r="13" customFormat="false" ht="14.25" hidden="false" customHeight="false" outlineLevel="1" collapsed="false">
      <c r="B13" s="89" t="s">
        <v>42</v>
      </c>
      <c r="C13" s="90"/>
      <c r="D13" s="75" t="n">
        <f aca="false">SUMIFS('Dados Mov Financeira'!$N:$N,'Dados Mov Financeira'!$O:$O,'DRE 2021'!$B13,'Dados Mov Financeira'!$A:$A,'DRE 2021'!D$1,'Dados Mov Financeira'!$B:$B,'DRE 2021'!D$2)</f>
        <v>0</v>
      </c>
      <c r="E13" s="91" t="n">
        <f aca="false">IFERROR(D13/D$5,0)</f>
        <v>0</v>
      </c>
      <c r="F13" s="90"/>
      <c r="G13" s="75" t="n">
        <f aca="false">SUMIFS('Dados Mov Financeira'!$N:$N,'Dados Mov Financeira'!$O:$O,'DRE 2021'!$B13,'Dados Mov Financeira'!$A:$A,'DRE 2021'!G$1,'Dados Mov Financeira'!$B:$B,'DRE 2021'!G$2)</f>
        <v>0</v>
      </c>
      <c r="H13" s="91" t="n">
        <f aca="false">IFERROR(G13/G$5,0)</f>
        <v>0</v>
      </c>
      <c r="I13" s="90"/>
      <c r="J13" s="75" t="n">
        <f aca="false">SUMIFS('Dados Mov Financeira'!$N:$N,'Dados Mov Financeira'!$O:$O,'DRE 2021'!$B13,'Dados Mov Financeira'!$A:$A,'DRE 2021'!J$1,'Dados Mov Financeira'!$B:$B,'DRE 2021'!J$2)</f>
        <v>0</v>
      </c>
      <c r="K13" s="91" t="n">
        <f aca="false">IFERROR(J13/J$5,0)</f>
        <v>0</v>
      </c>
      <c r="L13" s="90"/>
      <c r="M13" s="75" t="n">
        <f aca="false">SUMIFS('Dados Mov Financeira'!$N:$N,'Dados Mov Financeira'!$O:$O,'DRE 2021'!$B13,'Dados Mov Financeira'!$A:$A,'DRE 2021'!M$1,'Dados Mov Financeira'!$B:$B,'DRE 2021'!M$2)</f>
        <v>0</v>
      </c>
      <c r="N13" s="91" t="n">
        <f aca="false">IFERROR(M13/M$5,0)</f>
        <v>0</v>
      </c>
      <c r="O13" s="90"/>
      <c r="P13" s="75" t="n">
        <f aca="false">SUMIFS('Dados Mov Financeira'!$N:$N,'Dados Mov Financeira'!$O:$O,'DRE 2021'!$B13,'Dados Mov Financeira'!$A:$A,'DRE 2021'!P$1,'Dados Mov Financeira'!$B:$B,'DRE 2021'!P$2)</f>
        <v>0</v>
      </c>
      <c r="Q13" s="91" t="n">
        <f aca="false">IFERROR(P13/P$5,0)</f>
        <v>0</v>
      </c>
      <c r="R13" s="90"/>
      <c r="S13" s="75" t="n">
        <f aca="false">SUMIFS('Dados Mov Financeira'!$N:$N,'Dados Mov Financeira'!$O:$O,'DRE 2021'!$B13,'Dados Mov Financeira'!$A:$A,'DRE 2021'!S$1,'Dados Mov Financeira'!$B:$B,'DRE 2021'!S$2)</f>
        <v>0</v>
      </c>
      <c r="T13" s="91" t="n">
        <f aca="false">IFERROR(S13/S$5,0)</f>
        <v>0</v>
      </c>
      <c r="U13" s="90"/>
      <c r="V13" s="75" t="n">
        <f aca="false">SUMIFS('Dados Mov Financeira'!$N:$N,'Dados Mov Financeira'!$O:$O,'DRE 2021'!$B13,'Dados Mov Financeira'!$A:$A,'DRE 2021'!V$1,'Dados Mov Financeira'!$B:$B,'DRE 2021'!V$2)</f>
        <v>0</v>
      </c>
      <c r="W13" s="91" t="n">
        <f aca="false">IFERROR(V13/V$5,0)</f>
        <v>0</v>
      </c>
      <c r="X13" s="90"/>
      <c r="Y13" s="75" t="n">
        <f aca="false">SUMIFS('Dados Mov Financeira'!$N:$N,'Dados Mov Financeira'!$O:$O,'DRE 2021'!$B13,'Dados Mov Financeira'!$A:$A,'DRE 2021'!Y$1,'Dados Mov Financeira'!$B:$B,'DRE 2021'!Y$2)</f>
        <v>0</v>
      </c>
      <c r="Z13" s="91" t="n">
        <f aca="false">IFERROR(Y13/Y$5,0)</f>
        <v>0</v>
      </c>
      <c r="AA13" s="90"/>
      <c r="AB13" s="75" t="n">
        <f aca="false">SUMIFS('Dados Mov Financeira'!$N:$N,'Dados Mov Financeira'!$O:$O,'DRE 2021'!$B13,'Dados Mov Financeira'!$A:$A,'DRE 2021'!AB$1,'Dados Mov Financeira'!$B:$B,'DRE 2021'!AB$2)</f>
        <v>0</v>
      </c>
      <c r="AC13" s="91" t="n">
        <f aca="false">IFERROR(AB13/AB$5,0)</f>
        <v>0</v>
      </c>
      <c r="AD13" s="90"/>
      <c r="AE13" s="75" t="n">
        <f aca="false">SUMIFS('Dados Mov Financeira'!$N:$N,'Dados Mov Financeira'!$O:$O,'DRE 2021'!$B13,'Dados Mov Financeira'!$A:$A,'DRE 2021'!AE$1,'Dados Mov Financeira'!$B:$B,'DRE 2021'!AE$2)</f>
        <v>0</v>
      </c>
      <c r="AF13" s="91" t="n">
        <f aca="false">IFERROR(AE13/AE$5,0)</f>
        <v>0</v>
      </c>
      <c r="AG13" s="90"/>
      <c r="AH13" s="99" t="n">
        <f aca="false">SUMIFS('Dados Mov Financeira'!$N:$N,'Dados Mov Financeira'!$O:$O,'DRE 2021'!$B13,'Dados Mov Financeira'!$A:$A,'DRE 2021'!AH$1,'Dados Mov Financeira'!$B:$B,'DRE 2021'!AH$2)</f>
        <v>0</v>
      </c>
      <c r="AI13" s="91" t="n">
        <f aca="false">IFERROR(AH13/AH$5,0)</f>
        <v>0</v>
      </c>
      <c r="AJ13" s="90"/>
      <c r="AK13" s="75" t="n">
        <f aca="false">SUMIFS('Dados Mov Financeira'!$N:$N,'Dados Mov Financeira'!$O:$O,'DRE 2021'!$B13,'Dados Mov Financeira'!$A:$A,'DRE 2021'!AK$1,'Dados Mov Financeira'!$B:$B,'DRE 2021'!AK$2)</f>
        <v>0</v>
      </c>
      <c r="AL13" s="91" t="n">
        <f aca="false">IFERROR(AK13/AK$5,0)</f>
        <v>0</v>
      </c>
      <c r="AM13" s="90"/>
      <c r="AN13" s="92" t="n">
        <f aca="false">SUM(D13,G13,J13,M13,P13,S13,V13,Y13,AB13,AE13,AH13,AK13)</f>
        <v>0</v>
      </c>
      <c r="AO13" s="91" t="n">
        <f aca="false">IFERROR(AN13/AN$5,0)</f>
        <v>0</v>
      </c>
      <c r="AP13" s="90"/>
      <c r="AQ13" s="93" t="n">
        <f aca="false">AN13/$AR$1</f>
        <v>0</v>
      </c>
      <c r="AR13" s="94" t="n">
        <f aca="false">IFERROR(AQ13/AQ$5,0)</f>
        <v>0</v>
      </c>
      <c r="AS13" s="90"/>
    </row>
    <row r="14" customFormat="false" ht="14.25" hidden="false" customHeight="false" outlineLevel="1" collapsed="false">
      <c r="B14" s="89" t="s">
        <v>43</v>
      </c>
      <c r="C14" s="90"/>
      <c r="D14" s="75" t="n">
        <f aca="false">SUMIFS('Dados Mov Financeira'!$N:$N,'Dados Mov Financeira'!$O:$O,'DRE 2021'!$B14,'Dados Mov Financeira'!$A:$A,'DRE 2021'!D$1,'Dados Mov Financeira'!$B:$B,'DRE 2021'!D$2)</f>
        <v>0</v>
      </c>
      <c r="E14" s="91" t="n">
        <f aca="false">IFERROR(D14/D$5,0)</f>
        <v>0</v>
      </c>
      <c r="F14" s="90"/>
      <c r="G14" s="75" t="n">
        <f aca="false">SUMIFS('Dados Mov Financeira'!$N:$N,'Dados Mov Financeira'!$O:$O,'DRE 2021'!$B14,'Dados Mov Financeira'!$A:$A,'DRE 2021'!G$1,'Dados Mov Financeira'!$B:$B,'DRE 2021'!G$2)</f>
        <v>0</v>
      </c>
      <c r="H14" s="91" t="n">
        <f aca="false">IFERROR(G14/G$5,0)</f>
        <v>0</v>
      </c>
      <c r="I14" s="90"/>
      <c r="J14" s="75" t="n">
        <f aca="false">SUMIFS('Dados Mov Financeira'!$N:$N,'Dados Mov Financeira'!$O:$O,'DRE 2021'!$B14,'Dados Mov Financeira'!$A:$A,'DRE 2021'!J$1,'Dados Mov Financeira'!$B:$B,'DRE 2021'!J$2)</f>
        <v>0</v>
      </c>
      <c r="K14" s="91" t="n">
        <f aca="false">IFERROR(J14/J$5,0)</f>
        <v>0</v>
      </c>
      <c r="L14" s="90"/>
      <c r="M14" s="75" t="n">
        <f aca="false">SUMIFS('Dados Mov Financeira'!$N:$N,'Dados Mov Financeira'!$O:$O,'DRE 2021'!$B14,'Dados Mov Financeira'!$A:$A,'DRE 2021'!M$1,'Dados Mov Financeira'!$B:$B,'DRE 2021'!M$2)</f>
        <v>0</v>
      </c>
      <c r="N14" s="91" t="n">
        <f aca="false">IFERROR(M14/M$5,0)</f>
        <v>0</v>
      </c>
      <c r="O14" s="90"/>
      <c r="P14" s="75" t="n">
        <f aca="false">SUMIFS('Dados Mov Financeira'!$N:$N,'Dados Mov Financeira'!$O:$O,'DRE 2021'!$B14,'Dados Mov Financeira'!$A:$A,'DRE 2021'!P$1,'Dados Mov Financeira'!$B:$B,'DRE 2021'!P$2)</f>
        <v>0</v>
      </c>
      <c r="Q14" s="91" t="n">
        <f aca="false">IFERROR(P14/P$5,0)</f>
        <v>0</v>
      </c>
      <c r="R14" s="90"/>
      <c r="S14" s="75" t="n">
        <f aca="false">SUMIFS('Dados Mov Financeira'!$N:$N,'Dados Mov Financeira'!$O:$O,'DRE 2021'!$B14,'Dados Mov Financeira'!$A:$A,'DRE 2021'!S$1,'Dados Mov Financeira'!$B:$B,'DRE 2021'!S$2)</f>
        <v>0</v>
      </c>
      <c r="T14" s="91" t="n">
        <f aca="false">IFERROR(S14/S$5,0)</f>
        <v>0</v>
      </c>
      <c r="U14" s="90"/>
      <c r="V14" s="75" t="n">
        <f aca="false">SUMIFS('Dados Mov Financeira'!$N:$N,'Dados Mov Financeira'!$O:$O,'DRE 2021'!$B14,'Dados Mov Financeira'!$A:$A,'DRE 2021'!V$1,'Dados Mov Financeira'!$B:$B,'DRE 2021'!V$2)</f>
        <v>0</v>
      </c>
      <c r="W14" s="91" t="n">
        <f aca="false">IFERROR(V14/V$5,0)</f>
        <v>0</v>
      </c>
      <c r="X14" s="90"/>
      <c r="Y14" s="75" t="n">
        <f aca="false">SUMIFS('Dados Mov Financeira'!$N:$N,'Dados Mov Financeira'!$O:$O,'DRE 2021'!$B14,'Dados Mov Financeira'!$A:$A,'DRE 2021'!Y$1,'Dados Mov Financeira'!$B:$B,'DRE 2021'!Y$2)</f>
        <v>0</v>
      </c>
      <c r="Z14" s="91" t="n">
        <f aca="false">IFERROR(Y14/Y$5,0)</f>
        <v>0</v>
      </c>
      <c r="AA14" s="90"/>
      <c r="AB14" s="75" t="n">
        <f aca="false">SUMIFS('Dados Mov Financeira'!$N:$N,'Dados Mov Financeira'!$O:$O,'DRE 2021'!$B14,'Dados Mov Financeira'!$A:$A,'DRE 2021'!AB$1,'Dados Mov Financeira'!$B:$B,'DRE 2021'!AB$2)</f>
        <v>0</v>
      </c>
      <c r="AC14" s="91" t="n">
        <f aca="false">IFERROR(AB14/AB$5,0)</f>
        <v>0</v>
      </c>
      <c r="AD14" s="90"/>
      <c r="AE14" s="75" t="n">
        <f aca="false">SUMIFS('Dados Mov Financeira'!$N:$N,'Dados Mov Financeira'!$O:$O,'DRE 2021'!$B14,'Dados Mov Financeira'!$A:$A,'DRE 2021'!AE$1,'Dados Mov Financeira'!$B:$B,'DRE 2021'!AE$2)</f>
        <v>0</v>
      </c>
      <c r="AF14" s="91" t="n">
        <f aca="false">IFERROR(AE14/AE$5,0)</f>
        <v>0</v>
      </c>
      <c r="AG14" s="90"/>
      <c r="AH14" s="75" t="n">
        <f aca="false">SUMIFS('Dados Mov Financeira'!$N:$N,'Dados Mov Financeira'!$O:$O,'DRE 2021'!$B14,'Dados Mov Financeira'!$A:$A,'DRE 2021'!AH$1,'Dados Mov Financeira'!$B:$B,'DRE 2021'!AH$2)</f>
        <v>0</v>
      </c>
      <c r="AI14" s="91" t="n">
        <f aca="false">IFERROR(AH14/AH$5,0)</f>
        <v>0</v>
      </c>
      <c r="AJ14" s="90"/>
      <c r="AK14" s="75" t="n">
        <f aca="false">SUMIFS('Dados Mov Financeira'!$N:$N,'Dados Mov Financeira'!$O:$O,'DRE 2021'!$B14,'Dados Mov Financeira'!$A:$A,'DRE 2021'!AK$1,'Dados Mov Financeira'!$B:$B,'DRE 2021'!AK$2)</f>
        <v>0</v>
      </c>
      <c r="AL14" s="91" t="n">
        <f aca="false">IFERROR(AK14/AK$5,0)</f>
        <v>0</v>
      </c>
      <c r="AM14" s="90"/>
      <c r="AN14" s="92" t="n">
        <f aca="false">SUM(D14,G14,J14,M14,P14,S14,V14,Y14,AB14,AE14,AH14,AK14)</f>
        <v>0</v>
      </c>
      <c r="AO14" s="91" t="n">
        <f aca="false">IFERROR(AN14/AN$5,0)</f>
        <v>0</v>
      </c>
      <c r="AP14" s="90"/>
      <c r="AQ14" s="93" t="n">
        <f aca="false">AN14/$AR$1</f>
        <v>0</v>
      </c>
      <c r="AR14" s="94" t="n">
        <f aca="false">IFERROR(AQ14/AQ$5,0)</f>
        <v>0</v>
      </c>
      <c r="AS14" s="90"/>
    </row>
    <row r="15" s="63" customFormat="true" ht="14.25" hidden="false" customHeight="false" outlineLevel="0" collapsed="false">
      <c r="B15" s="85" t="s">
        <v>44</v>
      </c>
      <c r="C15" s="86"/>
      <c r="D15" s="75" t="n">
        <f aca="false">SUM(D16:D19)</f>
        <v>0</v>
      </c>
      <c r="E15" s="95" t="n">
        <f aca="false">IFERROR(D15/D$5,0)</f>
        <v>0</v>
      </c>
      <c r="F15" s="86"/>
      <c r="G15" s="75" t="n">
        <f aca="false">SUM(G16:G19)</f>
        <v>0</v>
      </c>
      <c r="H15" s="95" t="n">
        <f aca="false">IFERROR(G15/G$5,0)</f>
        <v>0</v>
      </c>
      <c r="I15" s="86"/>
      <c r="J15" s="75" t="n">
        <f aca="false">SUM(J16:J19)</f>
        <v>0</v>
      </c>
      <c r="K15" s="95" t="n">
        <f aca="false">IFERROR(J15/J$5,0)</f>
        <v>0</v>
      </c>
      <c r="L15" s="86"/>
      <c r="M15" s="75" t="n">
        <f aca="false">SUM(M16:M19)</f>
        <v>0</v>
      </c>
      <c r="N15" s="95" t="n">
        <f aca="false">IFERROR(M15/M$5,0)</f>
        <v>0</v>
      </c>
      <c r="O15" s="86"/>
      <c r="P15" s="75" t="n">
        <f aca="false">SUM(P16:P19)</f>
        <v>0</v>
      </c>
      <c r="Q15" s="95" t="n">
        <f aca="false">IFERROR(P15/P$5,0)</f>
        <v>0</v>
      </c>
      <c r="R15" s="86"/>
      <c r="S15" s="75" t="n">
        <f aca="false">SUM(S16:S19)</f>
        <v>0</v>
      </c>
      <c r="T15" s="95" t="n">
        <f aca="false">IFERROR(S15/S$5,0)</f>
        <v>0</v>
      </c>
      <c r="U15" s="86"/>
      <c r="V15" s="75" t="n">
        <f aca="false">SUM(V16:V19)</f>
        <v>0</v>
      </c>
      <c r="W15" s="95" t="n">
        <f aca="false">IFERROR(V15/V$5,0)</f>
        <v>0</v>
      </c>
      <c r="X15" s="86"/>
      <c r="Y15" s="75" t="n">
        <f aca="false">SUM(Y16:Y19)</f>
        <v>0</v>
      </c>
      <c r="Z15" s="95" t="n">
        <f aca="false">IFERROR(Y15/Y$5,0)</f>
        <v>0</v>
      </c>
      <c r="AA15" s="86"/>
      <c r="AB15" s="75" t="n">
        <f aca="false">SUM(AB16:AB19)</f>
        <v>0</v>
      </c>
      <c r="AC15" s="95" t="n">
        <f aca="false">IFERROR(AB15/AB$5,0)</f>
        <v>0</v>
      </c>
      <c r="AD15" s="86"/>
      <c r="AE15" s="75" t="n">
        <f aca="false">SUM(AE16:AE19)</f>
        <v>0</v>
      </c>
      <c r="AF15" s="95" t="n">
        <f aca="false">IFERROR(AE15/AE$5,0)</f>
        <v>0</v>
      </c>
      <c r="AG15" s="86"/>
      <c r="AH15" s="75" t="n">
        <f aca="false">SUM(AH16:AH19)</f>
        <v>0</v>
      </c>
      <c r="AI15" s="95" t="n">
        <f aca="false">IFERROR(AH15/AH$5,0)</f>
        <v>0</v>
      </c>
      <c r="AJ15" s="86"/>
      <c r="AK15" s="75" t="n">
        <f aca="false">SUM(AK16:AK19)</f>
        <v>0</v>
      </c>
      <c r="AL15" s="95" t="n">
        <f aca="false">IFERROR(AK15/AK$5,0)</f>
        <v>0</v>
      </c>
      <c r="AM15" s="86"/>
      <c r="AN15" s="92" t="n">
        <f aca="false">SUM(D15,G15,J15,M15,P15,S15,V15,Y15,AB15,AE15,AH15,AK15)</f>
        <v>0</v>
      </c>
      <c r="AO15" s="88" t="n">
        <f aca="false">IFERROR(AN15/AN$5,0)</f>
        <v>0</v>
      </c>
      <c r="AP15" s="86"/>
      <c r="AQ15" s="77" t="n">
        <f aca="false">AN15/$AR$1</f>
        <v>0</v>
      </c>
      <c r="AR15" s="76" t="n">
        <f aca="false">IFERROR(AQ15/AQ$5,0)</f>
        <v>0</v>
      </c>
      <c r="AS15" s="86"/>
    </row>
    <row r="16" customFormat="false" ht="14.25" hidden="false" customHeight="false" outlineLevel="1" collapsed="false">
      <c r="B16" s="89" t="s">
        <v>45</v>
      </c>
      <c r="D16" s="75" t="n">
        <f aca="false">SUMIFS('Dados Mov Financeira'!$N:$N,'Dados Mov Financeira'!$O:$O,'DRE 2021'!$B16,'Dados Mov Financeira'!$A:$A,'DRE 2021'!D$1,'Dados Mov Financeira'!$B:$B,'DRE 2021'!D$2)</f>
        <v>0</v>
      </c>
      <c r="E16" s="91" t="n">
        <f aca="false">IFERROR(D16/D$5,0)</f>
        <v>0</v>
      </c>
      <c r="G16" s="75" t="n">
        <f aca="false">SUMIFS('Dados Mov Financeira'!$N:$N,'Dados Mov Financeira'!$O:$O,'DRE 2021'!$B16,'Dados Mov Financeira'!$A:$A,'DRE 2021'!G$1,'Dados Mov Financeira'!$B:$B,'DRE 2021'!G$2)</f>
        <v>0</v>
      </c>
      <c r="H16" s="91" t="n">
        <f aca="false">IFERROR(G16/G$5,0)</f>
        <v>0</v>
      </c>
      <c r="J16" s="75" t="n">
        <f aca="false">SUMIFS('Dados Mov Financeira'!$N:$N,'Dados Mov Financeira'!$O:$O,'DRE 2021'!$B16,'Dados Mov Financeira'!$A:$A,'DRE 2021'!J$1,'Dados Mov Financeira'!$B:$B,'DRE 2021'!J$2)</f>
        <v>0</v>
      </c>
      <c r="K16" s="91" t="n">
        <f aca="false">IFERROR(J16/J$5,0)</f>
        <v>0</v>
      </c>
      <c r="M16" s="75" t="n">
        <f aca="false">SUMIFS('Dados Mov Financeira'!$N:$N,'Dados Mov Financeira'!$O:$O,'DRE 2021'!$B16,'Dados Mov Financeira'!$A:$A,'DRE 2021'!M$1,'Dados Mov Financeira'!$B:$B,'DRE 2021'!M$2)</f>
        <v>0</v>
      </c>
      <c r="N16" s="91" t="n">
        <f aca="false">IFERROR(M16/M$5,0)</f>
        <v>0</v>
      </c>
      <c r="P16" s="75" t="n">
        <f aca="false">SUMIFS('Dados Mov Financeira'!$N:$N,'Dados Mov Financeira'!$O:$O,'DRE 2021'!$B16,'Dados Mov Financeira'!$A:$A,'DRE 2021'!P$1,'Dados Mov Financeira'!$B:$B,'DRE 2021'!P$2)</f>
        <v>0</v>
      </c>
      <c r="Q16" s="91" t="n">
        <f aca="false">IFERROR(P16/P$5,0)</f>
        <v>0</v>
      </c>
      <c r="S16" s="75" t="n">
        <f aca="false">SUMIFS('Dados Mov Financeira'!$N:$N,'Dados Mov Financeira'!$O:$O,'DRE 2021'!$B16,'Dados Mov Financeira'!$A:$A,'DRE 2021'!S$1,'Dados Mov Financeira'!$B:$B,'DRE 2021'!S$2)</f>
        <v>0</v>
      </c>
      <c r="T16" s="91" t="n">
        <f aca="false">IFERROR(S16/S$5,0)</f>
        <v>0</v>
      </c>
      <c r="V16" s="75" t="n">
        <f aca="false">SUMIFS('Dados Mov Financeira'!$N:$N,'Dados Mov Financeira'!$O:$O,'DRE 2021'!$B16,'Dados Mov Financeira'!$A:$A,'DRE 2021'!V$1,'Dados Mov Financeira'!$B:$B,'DRE 2021'!V$2)</f>
        <v>0</v>
      </c>
      <c r="W16" s="91" t="n">
        <f aca="false">IFERROR(V16/V$5,0)</f>
        <v>0</v>
      </c>
      <c r="Y16" s="75" t="n">
        <f aca="false">SUMIFS('Dados Mov Financeira'!$N:$N,'Dados Mov Financeira'!$O:$O,'DRE 2021'!$B16,'Dados Mov Financeira'!$A:$A,'DRE 2021'!Y$1,'Dados Mov Financeira'!$B:$B,'DRE 2021'!Y$2)</f>
        <v>0</v>
      </c>
      <c r="Z16" s="91" t="n">
        <f aca="false">IFERROR(Y16/Y$5,0)</f>
        <v>0</v>
      </c>
      <c r="AB16" s="75" t="n">
        <f aca="false">SUMIFS('Dados Mov Financeira'!$N:$N,'Dados Mov Financeira'!$O:$O,'DRE 2021'!$B16,'Dados Mov Financeira'!$A:$A,'DRE 2021'!AB$1,'Dados Mov Financeira'!$B:$B,'DRE 2021'!AB$2)</f>
        <v>0</v>
      </c>
      <c r="AC16" s="91" t="n">
        <f aca="false">IFERROR(AB16/AB$5,0)</f>
        <v>0</v>
      </c>
      <c r="AE16" s="75" t="n">
        <f aca="false">SUMIFS('Dados Mov Financeira'!$N:$N,'Dados Mov Financeira'!$O:$O,'DRE 2021'!$B16,'Dados Mov Financeira'!$A:$A,'DRE 2021'!AE$1,'Dados Mov Financeira'!$B:$B,'DRE 2021'!AE$2)</f>
        <v>0</v>
      </c>
      <c r="AF16" s="91" t="n">
        <f aca="false">IFERROR(AE16/AE$5,0)</f>
        <v>0</v>
      </c>
      <c r="AH16" s="75" t="n">
        <f aca="false">SUMIFS('Dados Mov Financeira'!$N:$N,'Dados Mov Financeira'!$O:$O,'DRE 2021'!$B16,'Dados Mov Financeira'!$A:$A,'DRE 2021'!AH$1,'Dados Mov Financeira'!$B:$B,'DRE 2021'!AH$2)</f>
        <v>0</v>
      </c>
      <c r="AI16" s="91" t="n">
        <f aca="false">IFERROR(AH16/AH$5,0)</f>
        <v>0</v>
      </c>
      <c r="AK16" s="75" t="n">
        <f aca="false">SUMIFS('Dados Mov Financeira'!$N:$N,'Dados Mov Financeira'!$O:$O,'DRE 2021'!$B16,'Dados Mov Financeira'!$A:$A,'DRE 2021'!AK$1,'Dados Mov Financeira'!$B:$B,'DRE 2021'!AK$2)</f>
        <v>0</v>
      </c>
      <c r="AL16" s="91" t="n">
        <f aca="false">IFERROR(AK16/AK$5,0)</f>
        <v>0</v>
      </c>
      <c r="AN16" s="92" t="n">
        <f aca="false">SUM(D16,G16,J16,M16,P16,S16,V16,Y16,AB16,AE16,AH16,AK16)</f>
        <v>0</v>
      </c>
      <c r="AO16" s="91" t="n">
        <f aca="false">IFERROR(AN16/AN$5,0)</f>
        <v>0</v>
      </c>
      <c r="AQ16" s="93" t="n">
        <f aca="false">AN16/$AR$1</f>
        <v>0</v>
      </c>
      <c r="AR16" s="94" t="n">
        <f aca="false">IFERROR(AQ16/AQ$5,0)</f>
        <v>0</v>
      </c>
    </row>
    <row r="17" customFormat="false" ht="14.25" hidden="false" customHeight="false" outlineLevel="1" collapsed="false">
      <c r="B17" s="89" t="s">
        <v>46</v>
      </c>
      <c r="C17" s="92"/>
      <c r="D17" s="75" t="n">
        <f aca="false">SUMIFS('Dados Mov Financeira'!$N:$N,'Dados Mov Financeira'!$O:$O,'DRE 2021'!$B17,'Dados Mov Financeira'!$A:$A,'DRE 2021'!D$1,'Dados Mov Financeira'!$B:$B,'DRE 2021'!D$2)</f>
        <v>0</v>
      </c>
      <c r="E17" s="91" t="n">
        <f aca="false">IFERROR(D17/D$5,0)</f>
        <v>0</v>
      </c>
      <c r="F17" s="96"/>
      <c r="G17" s="75" t="n">
        <f aca="false">SUMIFS('Dados Mov Financeira'!$N:$N,'Dados Mov Financeira'!$O:$O,'DRE 2021'!$B17,'Dados Mov Financeira'!$A:$A,'DRE 2021'!G$1,'Dados Mov Financeira'!$B:$B,'DRE 2021'!G$2)</f>
        <v>0</v>
      </c>
      <c r="H17" s="91" t="n">
        <f aca="false">IFERROR(G17/G$5,0)</f>
        <v>0</v>
      </c>
      <c r="I17" s="96"/>
      <c r="J17" s="75" t="n">
        <f aca="false">SUMIFS('Dados Mov Financeira'!$N:$N,'Dados Mov Financeira'!$O:$O,'DRE 2021'!$B17,'Dados Mov Financeira'!$A:$A,'DRE 2021'!J$1,'Dados Mov Financeira'!$B:$B,'DRE 2021'!J$2)</f>
        <v>0</v>
      </c>
      <c r="K17" s="91" t="n">
        <f aca="false">IFERROR(J17/J$5,0)</f>
        <v>0</v>
      </c>
      <c r="L17" s="96"/>
      <c r="M17" s="75" t="n">
        <f aca="false">SUMIFS('Dados Mov Financeira'!$N:$N,'Dados Mov Financeira'!$O:$O,'DRE 2021'!$B17,'Dados Mov Financeira'!$A:$A,'DRE 2021'!M$1,'Dados Mov Financeira'!$B:$B,'DRE 2021'!M$2)</f>
        <v>0</v>
      </c>
      <c r="N17" s="91" t="n">
        <f aca="false">IFERROR(M17/M$5,0)</f>
        <v>0</v>
      </c>
      <c r="O17" s="96"/>
      <c r="P17" s="75" t="n">
        <f aca="false">SUMIFS('Dados Mov Financeira'!$N:$N,'Dados Mov Financeira'!$O:$O,'DRE 2021'!$B17,'Dados Mov Financeira'!$A:$A,'DRE 2021'!P$1,'Dados Mov Financeira'!$B:$B,'DRE 2021'!P$2)</f>
        <v>0</v>
      </c>
      <c r="Q17" s="91" t="n">
        <f aca="false">IFERROR(P17/P$5,0)</f>
        <v>0</v>
      </c>
      <c r="R17" s="96"/>
      <c r="S17" s="75" t="n">
        <f aca="false">SUMIFS('Dados Mov Financeira'!$N:$N,'Dados Mov Financeira'!$O:$O,'DRE 2021'!$B17,'Dados Mov Financeira'!$A:$A,'DRE 2021'!S$1,'Dados Mov Financeira'!$B:$B,'DRE 2021'!S$2)</f>
        <v>0</v>
      </c>
      <c r="T17" s="91" t="n">
        <f aca="false">IFERROR(S17/S$5,0)</f>
        <v>0</v>
      </c>
      <c r="U17" s="96"/>
      <c r="V17" s="75" t="n">
        <f aca="false">SUMIFS('Dados Mov Financeira'!$N:$N,'Dados Mov Financeira'!$O:$O,'DRE 2021'!$B17,'Dados Mov Financeira'!$A:$A,'DRE 2021'!V$1,'Dados Mov Financeira'!$B:$B,'DRE 2021'!V$2)</f>
        <v>0</v>
      </c>
      <c r="W17" s="91" t="n">
        <f aca="false">IFERROR(V17/V$5,0)</f>
        <v>0</v>
      </c>
      <c r="X17" s="96"/>
      <c r="Y17" s="75" t="n">
        <f aca="false">SUMIFS('Dados Mov Financeira'!$N:$N,'Dados Mov Financeira'!$O:$O,'DRE 2021'!$B17,'Dados Mov Financeira'!$A:$A,'DRE 2021'!Y$1,'Dados Mov Financeira'!$B:$B,'DRE 2021'!Y$2)</f>
        <v>0</v>
      </c>
      <c r="Z17" s="91" t="n">
        <f aca="false">IFERROR(Y17/Y$5,0)</f>
        <v>0</v>
      </c>
      <c r="AA17" s="96"/>
      <c r="AB17" s="75" t="n">
        <f aca="false">SUMIFS('Dados Mov Financeira'!$N:$N,'Dados Mov Financeira'!$O:$O,'DRE 2021'!$B17,'Dados Mov Financeira'!$A:$A,'DRE 2021'!AB$1,'Dados Mov Financeira'!$B:$B,'DRE 2021'!AB$2)</f>
        <v>0</v>
      </c>
      <c r="AC17" s="91" t="n">
        <f aca="false">IFERROR(AB17/AB$5,0)</f>
        <v>0</v>
      </c>
      <c r="AD17" s="96"/>
      <c r="AE17" s="75" t="n">
        <f aca="false">SUMIFS('Dados Mov Financeira'!$N:$N,'Dados Mov Financeira'!$O:$O,'DRE 2021'!$B17,'Dados Mov Financeira'!$A:$A,'DRE 2021'!AE$1,'Dados Mov Financeira'!$B:$B,'DRE 2021'!AE$2)</f>
        <v>0</v>
      </c>
      <c r="AF17" s="91" t="n">
        <f aca="false">IFERROR(AE17/AE$5,0)</f>
        <v>0</v>
      </c>
      <c r="AG17" s="96"/>
      <c r="AH17" s="75" t="n">
        <f aca="false">SUMIFS('Dados Mov Financeira'!$N:$N,'Dados Mov Financeira'!$O:$O,'DRE 2021'!$B17,'Dados Mov Financeira'!$A:$A,'DRE 2021'!AH$1,'Dados Mov Financeira'!$B:$B,'DRE 2021'!AH$2)</f>
        <v>0</v>
      </c>
      <c r="AI17" s="91" t="n">
        <f aca="false">IFERROR(AH17/AH$5,0)</f>
        <v>0</v>
      </c>
      <c r="AJ17" s="96"/>
      <c r="AK17" s="75" t="n">
        <f aca="false">SUMIFS('Dados Mov Financeira'!$N:$N,'Dados Mov Financeira'!$O:$O,'DRE 2021'!$B17,'Dados Mov Financeira'!$A:$A,'DRE 2021'!AK$1,'Dados Mov Financeira'!$B:$B,'DRE 2021'!AK$2)</f>
        <v>0</v>
      </c>
      <c r="AL17" s="91" t="n">
        <f aca="false">IFERROR(AK17/AK$5,0)</f>
        <v>0</v>
      </c>
      <c r="AM17" s="96"/>
      <c r="AN17" s="92" t="n">
        <f aca="false">SUM(D17,G17,J17,M17,P17,S17,V17,Y17,AB17,AE17,AH17,AK17)</f>
        <v>0</v>
      </c>
      <c r="AO17" s="91" t="n">
        <f aca="false">IFERROR(AN17/AN$5,0)</f>
        <v>0</v>
      </c>
      <c r="AP17" s="96"/>
      <c r="AQ17" s="93" t="n">
        <f aca="false">AN17/$AR$1</f>
        <v>0</v>
      </c>
      <c r="AR17" s="94" t="n">
        <f aca="false">IFERROR(AQ17/AQ$5,0)</f>
        <v>0</v>
      </c>
      <c r="AS17" s="96"/>
      <c r="AT17" s="97"/>
    </row>
    <row r="18" customFormat="false" ht="14.25" hidden="false" customHeight="false" outlineLevel="1" collapsed="false">
      <c r="B18" s="89" t="s">
        <v>47</v>
      </c>
      <c r="C18" s="92"/>
      <c r="D18" s="75" t="n">
        <f aca="false">SUMIFS('Dados Mov Financeira'!$N:$N,'Dados Mov Financeira'!$O:$O,'DRE 2021'!$B18,'Dados Mov Financeira'!$A:$A,'DRE 2021'!D$1,'Dados Mov Financeira'!$B:$B,'DRE 2021'!D$2)</f>
        <v>0</v>
      </c>
      <c r="E18" s="91" t="n">
        <f aca="false">IFERROR(D18/D$5,0)</f>
        <v>0</v>
      </c>
      <c r="F18" s="96"/>
      <c r="G18" s="75" t="n">
        <f aca="false">SUMIFS('Dados Mov Financeira'!$N:$N,'Dados Mov Financeira'!$O:$O,'DRE 2021'!$B18,'Dados Mov Financeira'!$A:$A,'DRE 2021'!G$1,'Dados Mov Financeira'!$B:$B,'DRE 2021'!G$2)</f>
        <v>0</v>
      </c>
      <c r="H18" s="91" t="n">
        <f aca="false">IFERROR(G18/G$5,0)</f>
        <v>0</v>
      </c>
      <c r="I18" s="96"/>
      <c r="J18" s="75" t="n">
        <f aca="false">SUMIFS('Dados Mov Financeira'!$N:$N,'Dados Mov Financeira'!$O:$O,'DRE 2021'!$B18,'Dados Mov Financeira'!$A:$A,'DRE 2021'!J$1,'Dados Mov Financeira'!$B:$B,'DRE 2021'!J$2)</f>
        <v>0</v>
      </c>
      <c r="K18" s="91" t="n">
        <f aca="false">IFERROR(J18/J$5,0)</f>
        <v>0</v>
      </c>
      <c r="L18" s="96"/>
      <c r="M18" s="75" t="n">
        <f aca="false">SUMIFS('Dados Mov Financeira'!$N:$N,'Dados Mov Financeira'!$O:$O,'DRE 2021'!$B18,'Dados Mov Financeira'!$A:$A,'DRE 2021'!M$1,'Dados Mov Financeira'!$B:$B,'DRE 2021'!M$2)</f>
        <v>0</v>
      </c>
      <c r="N18" s="91" t="n">
        <f aca="false">IFERROR(M18/M$5,0)</f>
        <v>0</v>
      </c>
      <c r="O18" s="96"/>
      <c r="P18" s="75" t="n">
        <f aca="false">SUMIFS('Dados Mov Financeira'!$N:$N,'Dados Mov Financeira'!$O:$O,'DRE 2021'!$B18,'Dados Mov Financeira'!$A:$A,'DRE 2021'!P$1,'Dados Mov Financeira'!$B:$B,'DRE 2021'!P$2)</f>
        <v>0</v>
      </c>
      <c r="Q18" s="91" t="n">
        <f aca="false">IFERROR(P18/P$5,0)</f>
        <v>0</v>
      </c>
      <c r="R18" s="96"/>
      <c r="S18" s="92" t="n">
        <f aca="false">SUMIFS('Dados Mov Financeira'!$N:$N,'Dados Mov Financeira'!$O:$O,'DRE 2021'!$B18,'Dados Mov Financeira'!$A:$A,'DRE 2021'!S$1,'Dados Mov Financeira'!$B:$B,'DRE 2021'!S$2)</f>
        <v>0</v>
      </c>
      <c r="T18" s="91" t="n">
        <f aca="false">IFERROR(S18/S$5,0)</f>
        <v>0</v>
      </c>
      <c r="U18" s="96"/>
      <c r="V18" s="75" t="n">
        <f aca="false">SUMIFS('Dados Mov Financeira'!$N:$N,'Dados Mov Financeira'!$O:$O,'DRE 2021'!$B18,'Dados Mov Financeira'!$A:$A,'DRE 2021'!V$1,'Dados Mov Financeira'!$B:$B,'DRE 2021'!V$2)</f>
        <v>0</v>
      </c>
      <c r="W18" s="91" t="n">
        <f aca="false">IFERROR(V18/V$5,0)</f>
        <v>0</v>
      </c>
      <c r="X18" s="96"/>
      <c r="Y18" s="75" t="n">
        <f aca="false">SUMIFS('Dados Mov Financeira'!$N:$N,'Dados Mov Financeira'!$O:$O,'DRE 2021'!$B18,'Dados Mov Financeira'!$A:$A,'DRE 2021'!Y$1,'Dados Mov Financeira'!$B:$B,'DRE 2021'!Y$2)</f>
        <v>0</v>
      </c>
      <c r="Z18" s="91" t="n">
        <f aca="false">IFERROR(Y18/Y$5,0)</f>
        <v>0</v>
      </c>
      <c r="AA18" s="96"/>
      <c r="AB18" s="75" t="n">
        <f aca="false">SUMIFS('Dados Mov Financeira'!$N:$N,'Dados Mov Financeira'!$O:$O,'DRE 2021'!$B18,'Dados Mov Financeira'!$A:$A,'DRE 2021'!AB$1,'Dados Mov Financeira'!$B:$B,'DRE 2021'!AB$2)</f>
        <v>0</v>
      </c>
      <c r="AC18" s="91" t="n">
        <f aca="false">IFERROR(AB18/AB$5,0)</f>
        <v>0</v>
      </c>
      <c r="AD18" s="96"/>
      <c r="AE18" s="75" t="n">
        <f aca="false">SUMIFS('Dados Mov Financeira'!$N:$N,'Dados Mov Financeira'!$O:$O,'DRE 2021'!$B18,'Dados Mov Financeira'!$A:$A,'DRE 2021'!AE$1,'Dados Mov Financeira'!$B:$B,'DRE 2021'!AE$2)</f>
        <v>0</v>
      </c>
      <c r="AF18" s="91" t="n">
        <f aca="false">IFERROR(AE18/AE$5,0)</f>
        <v>0</v>
      </c>
      <c r="AG18" s="96"/>
      <c r="AH18" s="75" t="n">
        <f aca="false">SUMIFS('Dados Mov Financeira'!$N:$N,'Dados Mov Financeira'!$O:$O,'DRE 2021'!$B18,'Dados Mov Financeira'!$A:$A,'DRE 2021'!AH$1,'Dados Mov Financeira'!$B:$B,'DRE 2021'!AH$2)</f>
        <v>0</v>
      </c>
      <c r="AI18" s="91" t="n">
        <f aca="false">IFERROR(AH18/AH$5,0)</f>
        <v>0</v>
      </c>
      <c r="AJ18" s="96"/>
      <c r="AK18" s="75" t="n">
        <f aca="false">SUMIFS('Dados Mov Financeira'!$N:$N,'Dados Mov Financeira'!$O:$O,'DRE 2021'!$B18,'Dados Mov Financeira'!$A:$A,'DRE 2021'!AK$1,'Dados Mov Financeira'!$B:$B,'DRE 2021'!AK$2)</f>
        <v>0</v>
      </c>
      <c r="AL18" s="91" t="n">
        <f aca="false">IFERROR(AK18/AK$5,0)</f>
        <v>0</v>
      </c>
      <c r="AM18" s="96"/>
      <c r="AN18" s="92" t="n">
        <f aca="false">SUM(D18,G18,J18,M18,P18,S18,V18,Y18,AB18,AE18,AH18,AK18)</f>
        <v>0</v>
      </c>
      <c r="AO18" s="91" t="n">
        <f aca="false">IFERROR(AN18/AN$5,0)</f>
        <v>0</v>
      </c>
      <c r="AP18" s="96"/>
      <c r="AQ18" s="93" t="n">
        <f aca="false">AN18/$AR$1</f>
        <v>0</v>
      </c>
      <c r="AR18" s="94" t="n">
        <f aca="false">IFERROR(AQ18/AQ$5,0)</f>
        <v>0</v>
      </c>
      <c r="AS18" s="96"/>
    </row>
    <row r="19" customFormat="false" ht="14.25" hidden="false" customHeight="false" outlineLevel="1" collapsed="false">
      <c r="B19" s="89" t="s">
        <v>48</v>
      </c>
      <c r="C19" s="92"/>
      <c r="D19" s="75" t="n">
        <f aca="false">SUMIFS('Dados Mov Financeira'!$N:$N,'Dados Mov Financeira'!$O:$O,'DRE 2021'!$B19,'Dados Mov Financeira'!$A:$A,'DRE 2021'!D$1,'Dados Mov Financeira'!$B:$B,'DRE 2021'!D$2)</f>
        <v>0</v>
      </c>
      <c r="E19" s="91" t="n">
        <f aca="false">IFERROR(D19/D$5,0)</f>
        <v>0</v>
      </c>
      <c r="F19" s="96"/>
      <c r="G19" s="75" t="n">
        <f aca="false">SUMIFS('Dados Mov Financeira'!$N:$N,'Dados Mov Financeira'!$O:$O,'DRE 2021'!$B19,'Dados Mov Financeira'!$A:$A,'DRE 2021'!G$1,'Dados Mov Financeira'!$B:$B,'DRE 2021'!G$2)</f>
        <v>0</v>
      </c>
      <c r="H19" s="91" t="n">
        <f aca="false">IFERROR(G19/G$5,0)</f>
        <v>0</v>
      </c>
      <c r="I19" s="96"/>
      <c r="J19" s="75" t="n">
        <f aca="false">SUMIFS('Dados Mov Financeira'!$N:$N,'Dados Mov Financeira'!$O:$O,'DRE 2021'!$B19,'Dados Mov Financeira'!$A:$A,'DRE 2021'!J$1,'Dados Mov Financeira'!$B:$B,'DRE 2021'!J$2)</f>
        <v>0</v>
      </c>
      <c r="K19" s="91" t="n">
        <f aca="false">IFERROR(J19/J$5,0)</f>
        <v>0</v>
      </c>
      <c r="L19" s="96"/>
      <c r="M19" s="75" t="n">
        <f aca="false">SUMIFS('Dados Mov Financeira'!$N:$N,'Dados Mov Financeira'!$O:$O,'DRE 2021'!$B19,'Dados Mov Financeira'!$A:$A,'DRE 2021'!M$1,'Dados Mov Financeira'!$B:$B,'DRE 2021'!M$2)</f>
        <v>0</v>
      </c>
      <c r="N19" s="91" t="n">
        <f aca="false">IFERROR(M19/M$5,0)</f>
        <v>0</v>
      </c>
      <c r="O19" s="96"/>
      <c r="P19" s="75" t="n">
        <f aca="false">SUMIFS('Dados Mov Financeira'!$N:$N,'Dados Mov Financeira'!$O:$O,'DRE 2021'!$B19,'Dados Mov Financeira'!$A:$A,'DRE 2021'!P$1,'Dados Mov Financeira'!$B:$B,'DRE 2021'!P$2)</f>
        <v>0</v>
      </c>
      <c r="Q19" s="91" t="n">
        <f aca="false">IFERROR(P19/P$5,0)</f>
        <v>0</v>
      </c>
      <c r="R19" s="96"/>
      <c r="S19" s="75" t="n">
        <f aca="false">SUMIFS('Dados Mov Financeira'!$N:$N,'Dados Mov Financeira'!$O:$O,'DRE 2021'!$B19,'Dados Mov Financeira'!$A:$A,'DRE 2021'!S$1,'Dados Mov Financeira'!$B:$B,'DRE 2021'!S$2)</f>
        <v>0</v>
      </c>
      <c r="T19" s="91" t="n">
        <f aca="false">IFERROR(S19/S$5,0)</f>
        <v>0</v>
      </c>
      <c r="U19" s="96"/>
      <c r="V19" s="75" t="n">
        <f aca="false">SUMIFS('Dados Mov Financeira'!$N:$N,'Dados Mov Financeira'!$O:$O,'DRE 2021'!$B19,'Dados Mov Financeira'!$A:$A,'DRE 2021'!V$1,'Dados Mov Financeira'!$B:$B,'DRE 2021'!V$2)</f>
        <v>0</v>
      </c>
      <c r="W19" s="91" t="n">
        <f aca="false">IFERROR(V19/V$5,0)</f>
        <v>0</v>
      </c>
      <c r="X19" s="96"/>
      <c r="Y19" s="75" t="n">
        <f aca="false">SUMIFS('Dados Mov Financeira'!$N:$N,'Dados Mov Financeira'!$O:$O,'DRE 2021'!$B19,'Dados Mov Financeira'!$A:$A,'DRE 2021'!Y$1,'Dados Mov Financeira'!$B:$B,'DRE 2021'!Y$2)</f>
        <v>0</v>
      </c>
      <c r="Z19" s="91" t="n">
        <f aca="false">IFERROR(Y19/Y$5,0)</f>
        <v>0</v>
      </c>
      <c r="AA19" s="96"/>
      <c r="AB19" s="75" t="n">
        <f aca="false">SUMIFS('Dados Mov Financeira'!$N:$N,'Dados Mov Financeira'!$O:$O,'DRE 2021'!$B19,'Dados Mov Financeira'!$A:$A,'DRE 2021'!AB$1,'Dados Mov Financeira'!$B:$B,'DRE 2021'!AB$2)</f>
        <v>0</v>
      </c>
      <c r="AC19" s="91" t="n">
        <f aca="false">IFERROR(AB19/AB$5,0)</f>
        <v>0</v>
      </c>
      <c r="AD19" s="96"/>
      <c r="AE19" s="75" t="n">
        <f aca="false">SUMIFS('Dados Mov Financeira'!$N:$N,'Dados Mov Financeira'!$O:$O,'DRE 2021'!$B19,'Dados Mov Financeira'!$A:$A,'DRE 2021'!AE$1,'Dados Mov Financeira'!$B:$B,'DRE 2021'!AE$2)</f>
        <v>0</v>
      </c>
      <c r="AF19" s="91" t="n">
        <f aca="false">IFERROR(AE19/AE$5,0)</f>
        <v>0</v>
      </c>
      <c r="AG19" s="96"/>
      <c r="AH19" s="75" t="n">
        <f aca="false">SUMIFS('Dados Mov Financeira'!$N:$N,'Dados Mov Financeira'!$O:$O,'DRE 2021'!$B19,'Dados Mov Financeira'!$A:$A,'DRE 2021'!AH$1,'Dados Mov Financeira'!$B:$B,'DRE 2021'!AH$2)</f>
        <v>0</v>
      </c>
      <c r="AI19" s="91" t="n">
        <f aca="false">IFERROR(AH19/AH$5,0)</f>
        <v>0</v>
      </c>
      <c r="AJ19" s="96"/>
      <c r="AK19" s="75" t="n">
        <f aca="false">SUMIFS('Dados Mov Financeira'!$N:$N,'Dados Mov Financeira'!$O:$O,'DRE 2021'!$B19,'Dados Mov Financeira'!$A:$A,'DRE 2021'!AK$1,'Dados Mov Financeira'!$B:$B,'DRE 2021'!AK$2)</f>
        <v>0</v>
      </c>
      <c r="AL19" s="91" t="n">
        <f aca="false">IFERROR(AK19/AK$5,0)</f>
        <v>0</v>
      </c>
      <c r="AM19" s="96"/>
      <c r="AN19" s="92" t="n">
        <f aca="false">SUM(D19,G19,J19,M19,P19,S19,V19,Y19,AB19,AE19,AH19,AK19)</f>
        <v>0</v>
      </c>
      <c r="AO19" s="91" t="n">
        <f aca="false">IFERROR(AN19/AN$5,0)</f>
        <v>0</v>
      </c>
      <c r="AP19" s="96"/>
      <c r="AQ19" s="93" t="n">
        <f aca="false">AN19/$AR$1</f>
        <v>0</v>
      </c>
      <c r="AR19" s="94" t="n">
        <f aca="false">IFERROR(AQ19/AQ$5,0)</f>
        <v>0</v>
      </c>
      <c r="AS19" s="96"/>
    </row>
    <row r="20" s="57" customFormat="true" ht="10.5" hidden="false" customHeight="true" outlineLevel="0" collapsed="false">
      <c r="B20" s="48"/>
      <c r="C20" s="58"/>
      <c r="D20" s="59"/>
      <c r="E20" s="60"/>
      <c r="F20" s="58"/>
      <c r="G20" s="59"/>
      <c r="H20" s="60"/>
      <c r="I20" s="58"/>
      <c r="J20" s="59"/>
      <c r="K20" s="60"/>
      <c r="L20" s="58"/>
      <c r="M20" s="59"/>
      <c r="N20" s="60"/>
      <c r="O20" s="58"/>
      <c r="P20" s="59"/>
      <c r="Q20" s="60"/>
      <c r="R20" s="58"/>
      <c r="S20" s="59"/>
      <c r="T20" s="60"/>
      <c r="U20" s="58"/>
      <c r="V20" s="59"/>
      <c r="W20" s="60"/>
      <c r="X20" s="58"/>
      <c r="Y20" s="59"/>
      <c r="Z20" s="60"/>
      <c r="AA20" s="58"/>
      <c r="AB20" s="59"/>
      <c r="AC20" s="60"/>
      <c r="AD20" s="58"/>
      <c r="AE20" s="59"/>
      <c r="AF20" s="60"/>
      <c r="AG20" s="58"/>
      <c r="AH20" s="59"/>
      <c r="AI20" s="60"/>
      <c r="AJ20" s="58"/>
      <c r="AK20" s="59"/>
      <c r="AL20" s="60"/>
      <c r="AM20" s="58"/>
      <c r="AN20" s="59"/>
      <c r="AO20" s="60"/>
      <c r="AP20" s="58"/>
      <c r="AQ20" s="61"/>
      <c r="AR20" s="60"/>
      <c r="AS20" s="58"/>
    </row>
    <row r="21" s="63" customFormat="true" ht="17.35" hidden="false" customHeight="false" outlineLevel="0" collapsed="false">
      <c r="A21" s="36"/>
      <c r="B21" s="98" t="s">
        <v>49</v>
      </c>
      <c r="D21" s="80" t="n">
        <f aca="false">D5+D9</f>
        <v>0</v>
      </c>
      <c r="E21" s="81" t="n">
        <f aca="false">IFERROR(D21/D$5,0)</f>
        <v>0</v>
      </c>
      <c r="G21" s="80" t="n">
        <f aca="false">G5+G9</f>
        <v>0</v>
      </c>
      <c r="H21" s="81" t="n">
        <f aca="false">IFERROR(G21/G$5,0)</f>
        <v>0</v>
      </c>
      <c r="J21" s="80" t="n">
        <f aca="false">J5+J9</f>
        <v>0</v>
      </c>
      <c r="K21" s="81" t="n">
        <f aca="false">IFERROR(J21/J$5,0)</f>
        <v>0</v>
      </c>
      <c r="M21" s="80" t="n">
        <f aca="false">M5+M9</f>
        <v>0</v>
      </c>
      <c r="N21" s="81" t="n">
        <f aca="false">IFERROR(M21/M$5,0)</f>
        <v>0</v>
      </c>
      <c r="P21" s="80" t="n">
        <f aca="false">P5+P9</f>
        <v>0</v>
      </c>
      <c r="Q21" s="81" t="n">
        <f aca="false">IFERROR(P21/P$5,0)</f>
        <v>0</v>
      </c>
      <c r="S21" s="80" t="n">
        <f aca="false">S5+S9</f>
        <v>0</v>
      </c>
      <c r="T21" s="81" t="n">
        <f aca="false">IFERROR(S21/S$5,0)</f>
        <v>0</v>
      </c>
      <c r="V21" s="80" t="n">
        <f aca="false">V5+V9</f>
        <v>0</v>
      </c>
      <c r="W21" s="81" t="n">
        <f aca="false">IFERROR(V21/V$5,0)</f>
        <v>0</v>
      </c>
      <c r="Y21" s="80" t="n">
        <f aca="false">Y5+Y9</f>
        <v>0</v>
      </c>
      <c r="Z21" s="81" t="n">
        <f aca="false">IFERROR(Y21/Y$5,0)</f>
        <v>0</v>
      </c>
      <c r="AB21" s="80" t="n">
        <f aca="false">AB5+AB9</f>
        <v>0</v>
      </c>
      <c r="AC21" s="81" t="n">
        <f aca="false">IFERROR(AB21/AB$5,0)</f>
        <v>0</v>
      </c>
      <c r="AE21" s="80" t="n">
        <f aca="false">AE5+AE9</f>
        <v>0</v>
      </c>
      <c r="AF21" s="81" t="n">
        <f aca="false">IFERROR(AE21/AE$5,0)</f>
        <v>0</v>
      </c>
      <c r="AH21" s="80" t="n">
        <f aca="false">AH5+AH9</f>
        <v>0</v>
      </c>
      <c r="AI21" s="81" t="n">
        <f aca="false">IFERROR(AH21/AH$5,0)</f>
        <v>0</v>
      </c>
      <c r="AK21" s="80" t="n">
        <f aca="false">AK5+AK9</f>
        <v>0</v>
      </c>
      <c r="AL21" s="81" t="n">
        <f aca="false">IFERROR(AK21/AK$5,0)</f>
        <v>0</v>
      </c>
      <c r="AN21" s="80" t="n">
        <f aca="false">AN5+AN9</f>
        <v>0</v>
      </c>
      <c r="AO21" s="81" t="n">
        <f aca="false">IFERROR(AN21/AN$5,0)</f>
        <v>0</v>
      </c>
      <c r="AQ21" s="82" t="n">
        <f aca="false">AQ5+AQ9</f>
        <v>0</v>
      </c>
      <c r="AR21" s="83" t="n">
        <f aca="false">IFERROR(AQ21/AQ$5,0)</f>
        <v>0</v>
      </c>
    </row>
    <row r="22" s="57" customFormat="true" ht="7.5" hidden="false" customHeight="true" outlineLevel="0" collapsed="false">
      <c r="B22" s="48"/>
      <c r="C22" s="58"/>
      <c r="D22" s="59"/>
      <c r="E22" s="60"/>
      <c r="F22" s="58"/>
      <c r="G22" s="59"/>
      <c r="H22" s="60"/>
      <c r="I22" s="58"/>
      <c r="J22" s="59"/>
      <c r="K22" s="60"/>
      <c r="L22" s="58"/>
      <c r="M22" s="59"/>
      <c r="N22" s="60"/>
      <c r="O22" s="58"/>
      <c r="P22" s="59"/>
      <c r="Q22" s="60"/>
      <c r="R22" s="58"/>
      <c r="S22" s="59"/>
      <c r="T22" s="60"/>
      <c r="U22" s="58"/>
      <c r="V22" s="59"/>
      <c r="W22" s="60"/>
      <c r="X22" s="58"/>
      <c r="Y22" s="59"/>
      <c r="Z22" s="60"/>
      <c r="AA22" s="58"/>
      <c r="AB22" s="59"/>
      <c r="AC22" s="60"/>
      <c r="AD22" s="58"/>
      <c r="AE22" s="59"/>
      <c r="AF22" s="60"/>
      <c r="AG22" s="58"/>
      <c r="AH22" s="59"/>
      <c r="AI22" s="60"/>
      <c r="AJ22" s="58"/>
      <c r="AK22" s="59"/>
      <c r="AL22" s="60"/>
      <c r="AM22" s="58"/>
      <c r="AN22" s="59"/>
      <c r="AO22" s="60"/>
      <c r="AP22" s="58"/>
      <c r="AQ22" s="61"/>
      <c r="AR22" s="60"/>
      <c r="AS22" s="58"/>
    </row>
    <row r="23" s="63" customFormat="true" ht="17.35" hidden="false" customHeight="false" outlineLevel="0" collapsed="false">
      <c r="A23" s="36"/>
      <c r="B23" s="79" t="s">
        <v>50</v>
      </c>
      <c r="D23" s="80" t="n">
        <f aca="false">SUM(D24,D28)</f>
        <v>0</v>
      </c>
      <c r="E23" s="81" t="n">
        <f aca="false">IFERROR(D23/D$5,0)</f>
        <v>0</v>
      </c>
      <c r="G23" s="80" t="n">
        <f aca="false">SUM(G24,G28)</f>
        <v>0</v>
      </c>
      <c r="H23" s="81" t="n">
        <f aca="false">IFERROR(G23/G$5,0)</f>
        <v>0</v>
      </c>
      <c r="J23" s="80" t="n">
        <f aca="false">SUM(J24,J28)</f>
        <v>0</v>
      </c>
      <c r="K23" s="81" t="n">
        <f aca="false">IFERROR(J23/J$5,0)</f>
        <v>0</v>
      </c>
      <c r="M23" s="80" t="n">
        <f aca="false">SUM(M24,M28)</f>
        <v>0</v>
      </c>
      <c r="N23" s="81" t="n">
        <f aca="false">IFERROR(M23/M$5,0)</f>
        <v>0</v>
      </c>
      <c r="P23" s="80" t="n">
        <f aca="false">SUM(P24,P28)</f>
        <v>0</v>
      </c>
      <c r="Q23" s="81" t="n">
        <f aca="false">IFERROR(P23/P$5,0)</f>
        <v>0</v>
      </c>
      <c r="S23" s="80" t="n">
        <f aca="false">SUM(S24,S28)</f>
        <v>0</v>
      </c>
      <c r="T23" s="81" t="n">
        <f aca="false">IFERROR(S23/S$5,0)</f>
        <v>0</v>
      </c>
      <c r="V23" s="80" t="n">
        <f aca="false">SUM(V24,V28)</f>
        <v>0</v>
      </c>
      <c r="W23" s="81" t="n">
        <f aca="false">IFERROR(V23/V$5,0)</f>
        <v>0</v>
      </c>
      <c r="Y23" s="80" t="n">
        <f aca="false">SUM(Y24,Y28)</f>
        <v>0</v>
      </c>
      <c r="Z23" s="81" t="n">
        <f aca="false">IFERROR(Y23/Y$5,0)</f>
        <v>0</v>
      </c>
      <c r="AB23" s="80" t="n">
        <f aca="false">SUM(AB24,AB28)</f>
        <v>0</v>
      </c>
      <c r="AC23" s="81" t="n">
        <f aca="false">IFERROR(AB23/AB$5,0)</f>
        <v>0</v>
      </c>
      <c r="AE23" s="80" t="n">
        <f aca="false">SUM(AE24,AE28)</f>
        <v>0</v>
      </c>
      <c r="AF23" s="81" t="n">
        <f aca="false">IFERROR(AE23/AE$5,0)</f>
        <v>0</v>
      </c>
      <c r="AH23" s="80" t="n">
        <f aca="false">SUM(AH24,AH28)</f>
        <v>0</v>
      </c>
      <c r="AI23" s="81" t="n">
        <f aca="false">IFERROR(AH23/AH$5,0)</f>
        <v>0</v>
      </c>
      <c r="AK23" s="80" t="n">
        <f aca="false">SUM(AK24,AK28)</f>
        <v>0</v>
      </c>
      <c r="AL23" s="81" t="n">
        <f aca="false">IFERROR(AK23/AK$5,0)</f>
        <v>0</v>
      </c>
      <c r="AN23" s="80" t="n">
        <f aca="false">SUM(AN24,AN28)</f>
        <v>0</v>
      </c>
      <c r="AO23" s="81" t="n">
        <f aca="false">IFERROR(AN23/AN$5,0)</f>
        <v>0</v>
      </c>
      <c r="AQ23" s="82" t="n">
        <f aca="false">SUM(AQ24,AQ28)</f>
        <v>0</v>
      </c>
      <c r="AR23" s="83" t="n">
        <f aca="false">IFERROR(AQ23/AQ$5,0)</f>
        <v>0</v>
      </c>
    </row>
    <row r="24" s="63" customFormat="true" ht="14.25" hidden="false" customHeight="false" outlineLevel="0" collapsed="false">
      <c r="B24" s="85" t="s">
        <v>51</v>
      </c>
      <c r="D24" s="99" t="n">
        <f aca="false">SUM(D25:D27)</f>
        <v>0</v>
      </c>
      <c r="E24" s="95" t="n">
        <f aca="false">IFERROR(D24/D$5,0)</f>
        <v>0</v>
      </c>
      <c r="G24" s="99" t="n">
        <f aca="false">SUM(G25:G27)</f>
        <v>0</v>
      </c>
      <c r="H24" s="95" t="n">
        <f aca="false">IFERROR(G24/G$5,0)</f>
        <v>0</v>
      </c>
      <c r="J24" s="99" t="n">
        <f aca="false">SUM(J25:J27)</f>
        <v>0</v>
      </c>
      <c r="K24" s="95" t="n">
        <f aca="false">IFERROR(J24/J$5,0)</f>
        <v>0</v>
      </c>
      <c r="M24" s="99" t="n">
        <f aca="false">SUM(M25:M27)</f>
        <v>0</v>
      </c>
      <c r="N24" s="95" t="n">
        <f aca="false">IFERROR(M24/M$5,0)</f>
        <v>0</v>
      </c>
      <c r="P24" s="99" t="n">
        <f aca="false">SUM(P25:P27)</f>
        <v>0</v>
      </c>
      <c r="Q24" s="95" t="n">
        <f aca="false">IFERROR(P24/P$5,0)</f>
        <v>0</v>
      </c>
      <c r="S24" s="99" t="n">
        <f aca="false">SUM(S25:S27)</f>
        <v>0</v>
      </c>
      <c r="T24" s="95" t="n">
        <f aca="false">IFERROR(S24/S$5,0)</f>
        <v>0</v>
      </c>
      <c r="V24" s="99" t="n">
        <f aca="false">SUM(V25:V27)</f>
        <v>0</v>
      </c>
      <c r="W24" s="95" t="n">
        <f aca="false">IFERROR(V24/V$5,0)</f>
        <v>0</v>
      </c>
      <c r="Y24" s="99" t="n">
        <f aca="false">SUM(Y25:Y27)</f>
        <v>0</v>
      </c>
      <c r="Z24" s="95" t="n">
        <f aca="false">IFERROR(Y24/Y$5,0)</f>
        <v>0</v>
      </c>
      <c r="AB24" s="99" t="n">
        <f aca="false">SUM(AB25:AB27)</f>
        <v>0</v>
      </c>
      <c r="AC24" s="95" t="n">
        <f aca="false">IFERROR(AB24/AB$5,0)</f>
        <v>0</v>
      </c>
      <c r="AE24" s="99" t="n">
        <f aca="false">SUM(AE25:AE27)</f>
        <v>0</v>
      </c>
      <c r="AF24" s="95" t="n">
        <f aca="false">IFERROR(AE24/AE$5,0)</f>
        <v>0</v>
      </c>
      <c r="AH24" s="99" t="n">
        <f aca="false">SUM(AH25:AH27)</f>
        <v>0</v>
      </c>
      <c r="AI24" s="95" t="n">
        <f aca="false">IFERROR(AH24/AH$5,0)</f>
        <v>0</v>
      </c>
      <c r="AK24" s="99" t="n">
        <f aca="false">SUM(AK25:AK27)</f>
        <v>0</v>
      </c>
      <c r="AL24" s="95" t="n">
        <f aca="false">IFERROR(AK24/AK$5,0)</f>
        <v>0</v>
      </c>
      <c r="AN24" s="92" t="n">
        <f aca="false">SUM(D24,G24,J24,M24,P24,S24,V24,Y24,AB24,AE24,AH24,AK24)</f>
        <v>0</v>
      </c>
      <c r="AO24" s="88" t="n">
        <f aca="false">IFERROR(AN24/AN$5,0)</f>
        <v>0</v>
      </c>
      <c r="AQ24" s="77" t="n">
        <f aca="false">AN24/$AR$1</f>
        <v>0</v>
      </c>
      <c r="AR24" s="76" t="n">
        <f aca="false">IFERROR(AQ24/AQ$5,0)</f>
        <v>0</v>
      </c>
    </row>
    <row r="25" customFormat="false" ht="14.25" hidden="false" customHeight="false" outlineLevel="1" collapsed="false">
      <c r="B25" s="89" t="s">
        <v>52</v>
      </c>
      <c r="C25" s="96"/>
      <c r="D25" s="75" t="n">
        <f aca="false">SUMIFS('Dados Mov Financeira'!$N:$N,'Dados Mov Financeira'!$O:$O,'DRE 2021'!$B25,'Dados Mov Financeira'!$A:$A,'DRE 2021'!D$1,'Dados Mov Financeira'!$B:$B,'DRE 2021'!D$2)</f>
        <v>0</v>
      </c>
      <c r="E25" s="91" t="n">
        <f aca="false">IFERROR(D25/D$5,0)</f>
        <v>0</v>
      </c>
      <c r="F25" s="96"/>
      <c r="G25" s="75" t="n">
        <f aca="false">SUMIFS('Dados Mov Financeira'!$N:$N,'Dados Mov Financeira'!$O:$O,'DRE 2021'!$B25,'Dados Mov Financeira'!$A:$A,'DRE 2021'!G$1,'Dados Mov Financeira'!$B:$B,'DRE 2021'!G$2)</f>
        <v>0</v>
      </c>
      <c r="H25" s="91" t="n">
        <f aca="false">IFERROR(G25/G$5,0)</f>
        <v>0</v>
      </c>
      <c r="I25" s="96"/>
      <c r="J25" s="75" t="n">
        <f aca="false">SUMIFS('Dados Mov Financeira'!$N:$N,'Dados Mov Financeira'!$O:$O,'DRE 2021'!$B25,'Dados Mov Financeira'!$A:$A,'DRE 2021'!J$1,'Dados Mov Financeira'!$B:$B,'DRE 2021'!J$2)</f>
        <v>0</v>
      </c>
      <c r="K25" s="91" t="n">
        <f aca="false">IFERROR(J25/J$5,0)</f>
        <v>0</v>
      </c>
      <c r="L25" s="96"/>
      <c r="M25" s="75" t="n">
        <f aca="false">SUMIFS('Dados Mov Financeira'!$N:$N,'Dados Mov Financeira'!$O:$O,'DRE 2021'!$B25,'Dados Mov Financeira'!$A:$A,'DRE 2021'!M$1,'Dados Mov Financeira'!$B:$B,'DRE 2021'!M$2)</f>
        <v>0</v>
      </c>
      <c r="N25" s="91" t="n">
        <f aca="false">IFERROR(M25/M$5,0)</f>
        <v>0</v>
      </c>
      <c r="O25" s="96"/>
      <c r="P25" s="75" t="n">
        <f aca="false">SUMIFS('Dados Mov Financeira'!$N:$N,'Dados Mov Financeira'!$O:$O,'DRE 2021'!$B25,'Dados Mov Financeira'!$A:$A,'DRE 2021'!P$1,'Dados Mov Financeira'!$B:$B,'DRE 2021'!P$2)</f>
        <v>0</v>
      </c>
      <c r="Q25" s="91" t="n">
        <f aca="false">IFERROR(P25/P$5,0)</f>
        <v>0</v>
      </c>
      <c r="R25" s="96"/>
      <c r="S25" s="75" t="n">
        <f aca="false">SUMIFS('Dados Mov Financeira'!$N:$N,'Dados Mov Financeira'!$O:$O,'DRE 2021'!$B25,'Dados Mov Financeira'!$A:$A,'DRE 2021'!S$1,'Dados Mov Financeira'!$B:$B,'DRE 2021'!S$2)</f>
        <v>0</v>
      </c>
      <c r="T25" s="91" t="n">
        <f aca="false">IFERROR(S25/S$5,0)</f>
        <v>0</v>
      </c>
      <c r="U25" s="96"/>
      <c r="V25" s="75" t="n">
        <f aca="false">SUMIFS('Dados Mov Financeira'!$N:$N,'Dados Mov Financeira'!$O:$O,'DRE 2021'!$B25,'Dados Mov Financeira'!$A:$A,'DRE 2021'!V$1,'Dados Mov Financeira'!$B:$B,'DRE 2021'!V$2)</f>
        <v>0</v>
      </c>
      <c r="W25" s="91" t="n">
        <f aca="false">IFERROR(V25/V$5,0)</f>
        <v>0</v>
      </c>
      <c r="X25" s="96"/>
      <c r="Y25" s="75" t="n">
        <f aca="false">SUMIFS('Dados Mov Financeira'!$N:$N,'Dados Mov Financeira'!$O:$O,'DRE 2021'!$B25,'Dados Mov Financeira'!$A:$A,'DRE 2021'!Y$1,'Dados Mov Financeira'!$B:$B,'DRE 2021'!Y$2)</f>
        <v>0</v>
      </c>
      <c r="Z25" s="91" t="n">
        <f aca="false">IFERROR(Y25/Y$5,0)</f>
        <v>0</v>
      </c>
      <c r="AA25" s="96"/>
      <c r="AB25" s="75" t="n">
        <f aca="false">SUMIFS('Dados Mov Financeira'!$N:$N,'Dados Mov Financeira'!$O:$O,'DRE 2021'!$B25,'Dados Mov Financeira'!$A:$A,'DRE 2021'!AB$1,'Dados Mov Financeira'!$B:$B,'DRE 2021'!AB$2)</f>
        <v>0</v>
      </c>
      <c r="AC25" s="91" t="n">
        <f aca="false">IFERROR(AB25/AB$5,0)</f>
        <v>0</v>
      </c>
      <c r="AD25" s="96"/>
      <c r="AE25" s="75" t="n">
        <f aca="false">SUMIFS('Dados Mov Financeira'!$N:$N,'Dados Mov Financeira'!$O:$O,'DRE 2021'!$B25,'Dados Mov Financeira'!$A:$A,'DRE 2021'!AE$1,'Dados Mov Financeira'!$B:$B,'DRE 2021'!AE$2)</f>
        <v>0</v>
      </c>
      <c r="AF25" s="91" t="n">
        <f aca="false">IFERROR(AE25/AE$5,0)</f>
        <v>0</v>
      </c>
      <c r="AG25" s="96"/>
      <c r="AH25" s="75" t="n">
        <f aca="false">SUMIFS('Dados Mov Financeira'!$N:$N,'Dados Mov Financeira'!$O:$O,'DRE 2021'!$B25,'Dados Mov Financeira'!$A:$A,'DRE 2021'!AH$1,'Dados Mov Financeira'!$B:$B,'DRE 2021'!AH$2)</f>
        <v>0</v>
      </c>
      <c r="AI25" s="91" t="n">
        <f aca="false">IFERROR(AH25/AH$5,0)</f>
        <v>0</v>
      </c>
      <c r="AJ25" s="96"/>
      <c r="AK25" s="75" t="n">
        <f aca="false">SUMIFS('Dados Mov Financeira'!$N:$N,'Dados Mov Financeira'!$O:$O,'DRE 2021'!$B25,'Dados Mov Financeira'!$A:$A,'DRE 2021'!AK$1,'Dados Mov Financeira'!$B:$B,'DRE 2021'!AK$2)</f>
        <v>0</v>
      </c>
      <c r="AL25" s="91" t="n">
        <f aca="false">IFERROR(AK25/AK$5,0)</f>
        <v>0</v>
      </c>
      <c r="AM25" s="96"/>
      <c r="AN25" s="92" t="n">
        <f aca="false">SUM(D25,G25,J25,M25,P25,S25,V25,Y25,AB25,AE25,AH25,AK25)</f>
        <v>0</v>
      </c>
      <c r="AO25" s="91" t="n">
        <f aca="false">IFERROR(AN25/AN$5,0)</f>
        <v>0</v>
      </c>
      <c r="AP25" s="96"/>
      <c r="AQ25" s="93" t="n">
        <f aca="false">AN25/$AR$1</f>
        <v>0</v>
      </c>
      <c r="AR25" s="94" t="n">
        <f aca="false">IFERROR(AQ25/AQ$5,0)</f>
        <v>0</v>
      </c>
      <c r="AS25" s="96"/>
    </row>
    <row r="26" customFormat="false" ht="14.25" hidden="false" customHeight="false" outlineLevel="1" collapsed="false">
      <c r="B26" s="89" t="s">
        <v>53</v>
      </c>
      <c r="D26" s="75" t="n">
        <f aca="false">SUMIFS('Dados Mov Financeira'!$N:$N,'Dados Mov Financeira'!$O:$O,'DRE 2021'!$B26,'Dados Mov Financeira'!$A:$A,'DRE 2021'!D$1,'Dados Mov Financeira'!$B:$B,'DRE 2021'!D$2)</f>
        <v>0</v>
      </c>
      <c r="E26" s="91" t="n">
        <f aca="false">IFERROR(D26/D$5,0)</f>
        <v>0</v>
      </c>
      <c r="G26" s="75" t="n">
        <f aca="false">SUMIFS('Dados Mov Financeira'!$N:$N,'Dados Mov Financeira'!$O:$O,'DRE 2021'!$B26,'Dados Mov Financeira'!$A:$A,'DRE 2021'!G$1,'Dados Mov Financeira'!$B:$B,'DRE 2021'!G$2)</f>
        <v>0</v>
      </c>
      <c r="H26" s="91" t="n">
        <f aca="false">IFERROR(G26/G$5,0)</f>
        <v>0</v>
      </c>
      <c r="J26" s="75" t="n">
        <f aca="false">SUMIFS('Dados Mov Financeira'!$N:$N,'Dados Mov Financeira'!$O:$O,'DRE 2021'!$B26,'Dados Mov Financeira'!$A:$A,'DRE 2021'!J$1,'Dados Mov Financeira'!$B:$B,'DRE 2021'!J$2)</f>
        <v>0</v>
      </c>
      <c r="K26" s="91" t="n">
        <f aca="false">IFERROR(J26/J$5,0)</f>
        <v>0</v>
      </c>
      <c r="M26" s="75" t="n">
        <f aca="false">SUMIFS('Dados Mov Financeira'!$N:$N,'Dados Mov Financeira'!$O:$O,'DRE 2021'!$B26,'Dados Mov Financeira'!$A:$A,'DRE 2021'!M$1,'Dados Mov Financeira'!$B:$B,'DRE 2021'!M$2)</f>
        <v>0</v>
      </c>
      <c r="N26" s="91" t="n">
        <f aca="false">IFERROR(M26/M$5,0)</f>
        <v>0</v>
      </c>
      <c r="P26" s="99" t="n">
        <f aca="false">SUMIFS('Dados Mov Financeira'!$N:$N,'Dados Mov Financeira'!$O:$O,'DRE 2021'!$B26,'Dados Mov Financeira'!$A:$A,'DRE 2021'!P$1,'Dados Mov Financeira'!$B:$B,'DRE 2021'!P$2)</f>
        <v>0</v>
      </c>
      <c r="Q26" s="91" t="n">
        <f aca="false">IFERROR(P26/P$5,0)</f>
        <v>0</v>
      </c>
      <c r="S26" s="99" t="n">
        <f aca="false">SUMIFS('Dados Mov Financeira'!$N:$N,'Dados Mov Financeira'!$O:$O,'DRE 2021'!$B26,'Dados Mov Financeira'!$A:$A,'DRE 2021'!S$1,'Dados Mov Financeira'!$B:$B,'DRE 2021'!S$2)</f>
        <v>0</v>
      </c>
      <c r="T26" s="91" t="n">
        <f aca="false">IFERROR(S26/S$5,0)</f>
        <v>0</v>
      </c>
      <c r="V26" s="99" t="n">
        <f aca="false">SUMIFS('Dados Mov Financeira'!$N:$N,'Dados Mov Financeira'!$O:$O,'DRE 2021'!$B26,'Dados Mov Financeira'!$A:$A,'DRE 2021'!V$1,'Dados Mov Financeira'!$B:$B,'DRE 2021'!V$2)</f>
        <v>0</v>
      </c>
      <c r="W26" s="91" t="n">
        <f aca="false">IFERROR(V26/V$5,0)</f>
        <v>0</v>
      </c>
      <c r="Y26" s="99" t="n">
        <f aca="false">SUMIFS('Dados Mov Financeira'!$N:$N,'Dados Mov Financeira'!$O:$O,'DRE 2021'!$B26,'Dados Mov Financeira'!$A:$A,'DRE 2021'!Y$1,'Dados Mov Financeira'!$B:$B,'DRE 2021'!Y$2)</f>
        <v>0</v>
      </c>
      <c r="Z26" s="91" t="n">
        <f aca="false">IFERROR(Y26/Y$5,0)</f>
        <v>0</v>
      </c>
      <c r="AB26" s="99" t="n">
        <f aca="false">SUMIFS('Dados Mov Financeira'!$N:$N,'Dados Mov Financeira'!$O:$O,'DRE 2021'!$B26,'Dados Mov Financeira'!$A:$A,'DRE 2021'!AB$1,'Dados Mov Financeira'!$B:$B,'DRE 2021'!AB$2)</f>
        <v>0</v>
      </c>
      <c r="AC26" s="91" t="n">
        <f aca="false">IFERROR(AB26/AB$5,0)</f>
        <v>0</v>
      </c>
      <c r="AE26" s="99" t="n">
        <f aca="false">SUMIFS('Dados Mov Financeira'!$N:$N,'Dados Mov Financeira'!$O:$O,'DRE 2021'!$B26,'Dados Mov Financeira'!$A:$A,'DRE 2021'!AE$1,'Dados Mov Financeira'!$B:$B,'DRE 2021'!AE$2)</f>
        <v>0</v>
      </c>
      <c r="AF26" s="91" t="n">
        <f aca="false">IFERROR(AE26/AE$5,0)</f>
        <v>0</v>
      </c>
      <c r="AH26" s="99" t="n">
        <f aca="false">SUMIFS('Dados Mov Financeira'!$N:$N,'Dados Mov Financeira'!$O:$O,'DRE 2021'!$B26,'Dados Mov Financeira'!$A:$A,'DRE 2021'!AH$1,'Dados Mov Financeira'!$B:$B,'DRE 2021'!AH$2)</f>
        <v>0</v>
      </c>
      <c r="AI26" s="91" t="n">
        <f aca="false">IFERROR(AH26/AH$5,0)</f>
        <v>0</v>
      </c>
      <c r="AK26" s="99" t="n">
        <f aca="false">SUMIFS('Dados Mov Financeira'!$N:$N,'Dados Mov Financeira'!$O:$O,'DRE 2021'!$B26,'Dados Mov Financeira'!$A:$A,'DRE 2021'!AK$1,'Dados Mov Financeira'!$B:$B,'DRE 2021'!AK$2)</f>
        <v>0</v>
      </c>
      <c r="AL26" s="91" t="n">
        <f aca="false">IFERROR(AK26/AK$5,0)</f>
        <v>0</v>
      </c>
      <c r="AN26" s="92" t="n">
        <f aca="false">SUM(D26,G26,J26,M26,P26,S26,V26,Y26,AB26,AE26,AH26,AK26)</f>
        <v>0</v>
      </c>
      <c r="AO26" s="91" t="n">
        <f aca="false">IFERROR(AN26/AN$5,0)</f>
        <v>0</v>
      </c>
      <c r="AQ26" s="93" t="n">
        <f aca="false">AN26/$AR$1</f>
        <v>0</v>
      </c>
      <c r="AR26" s="94" t="n">
        <f aca="false">IFERROR(AQ26/AQ$5,0)</f>
        <v>0</v>
      </c>
    </row>
    <row r="27" customFormat="false" ht="14.25" hidden="false" customHeight="false" outlineLevel="1" collapsed="false">
      <c r="B27" s="89" t="s">
        <v>54</v>
      </c>
      <c r="D27" s="75" t="n">
        <f aca="false">SUMIFS('Dados Mov Financeira'!$N:$N,'Dados Mov Financeira'!$O:$O,'DRE 2021'!$B27,'Dados Mov Financeira'!$A:$A,'DRE 2021'!D$1,'Dados Mov Financeira'!$B:$B,'DRE 2021'!D$2)</f>
        <v>0</v>
      </c>
      <c r="E27" s="91" t="n">
        <f aca="false">IFERROR(D27/D$5,0)</f>
        <v>0</v>
      </c>
      <c r="G27" s="75" t="n">
        <f aca="false">SUMIFS('Dados Mov Financeira'!$N:$N,'Dados Mov Financeira'!$O:$O,'DRE 2021'!$B27,'Dados Mov Financeira'!$A:$A,'DRE 2021'!G$1,'Dados Mov Financeira'!$B:$B,'DRE 2021'!G$2)</f>
        <v>0</v>
      </c>
      <c r="H27" s="91" t="n">
        <f aca="false">IFERROR(G27/G$5,0)</f>
        <v>0</v>
      </c>
      <c r="J27" s="75" t="n">
        <f aca="false">SUMIFS('Dados Mov Financeira'!$N:$N,'Dados Mov Financeira'!$O:$O,'DRE 2021'!$B27,'Dados Mov Financeira'!$A:$A,'DRE 2021'!J$1,'Dados Mov Financeira'!$B:$B,'DRE 2021'!J$2)</f>
        <v>0</v>
      </c>
      <c r="K27" s="91" t="n">
        <f aca="false">IFERROR(J27/J$5,0)</f>
        <v>0</v>
      </c>
      <c r="M27" s="75" t="n">
        <f aca="false">SUMIFS('Dados Mov Financeira'!$N:$N,'Dados Mov Financeira'!$O:$O,'DRE 2021'!$B27,'Dados Mov Financeira'!$A:$A,'DRE 2021'!M$1,'Dados Mov Financeira'!$B:$B,'DRE 2021'!M$2)</f>
        <v>0</v>
      </c>
      <c r="N27" s="91" t="n">
        <f aca="false">IFERROR(M27/M$5,0)</f>
        <v>0</v>
      </c>
      <c r="P27" s="75" t="n">
        <f aca="false">SUMIFS('Dados Mov Financeira'!$N:$N,'Dados Mov Financeira'!$O:$O,'DRE 2021'!$B27,'Dados Mov Financeira'!$A:$A,'DRE 2021'!P$1,'Dados Mov Financeira'!$B:$B,'DRE 2021'!P$2)</f>
        <v>0</v>
      </c>
      <c r="Q27" s="91" t="n">
        <f aca="false">IFERROR(P27/P$5,0)</f>
        <v>0</v>
      </c>
      <c r="S27" s="75" t="n">
        <f aca="false">SUMIFS('Dados Mov Financeira'!$N:$N,'Dados Mov Financeira'!$O:$O,'DRE 2021'!$B27,'Dados Mov Financeira'!$A:$A,'DRE 2021'!S$1,'Dados Mov Financeira'!$B:$B,'DRE 2021'!S$2)</f>
        <v>0</v>
      </c>
      <c r="T27" s="91" t="n">
        <f aca="false">IFERROR(S27/S$5,0)</f>
        <v>0</v>
      </c>
      <c r="V27" s="75" t="n">
        <f aca="false">SUMIFS('Dados Mov Financeira'!$N:$N,'Dados Mov Financeira'!$O:$O,'DRE 2021'!$B27,'Dados Mov Financeira'!$A:$A,'DRE 2021'!V$1,'Dados Mov Financeira'!$B:$B,'DRE 2021'!V$2)</f>
        <v>0</v>
      </c>
      <c r="W27" s="91" t="n">
        <f aca="false">IFERROR(V27/V$5,0)</f>
        <v>0</v>
      </c>
      <c r="Y27" s="75" t="n">
        <f aca="false">SUMIFS('Dados Mov Financeira'!$N:$N,'Dados Mov Financeira'!$O:$O,'DRE 2021'!$B27,'Dados Mov Financeira'!$A:$A,'DRE 2021'!Y$1,'Dados Mov Financeira'!$B:$B,'DRE 2021'!Y$2)</f>
        <v>0</v>
      </c>
      <c r="Z27" s="91" t="n">
        <f aca="false">IFERROR(Y27/Y$5,0)</f>
        <v>0</v>
      </c>
      <c r="AB27" s="75" t="n">
        <f aca="false">SUMIFS('Dados Mov Financeira'!$N:$N,'Dados Mov Financeira'!$O:$O,'DRE 2021'!$B27,'Dados Mov Financeira'!$A:$A,'DRE 2021'!AB$1,'Dados Mov Financeira'!$B:$B,'DRE 2021'!AB$2)</f>
        <v>0</v>
      </c>
      <c r="AC27" s="91" t="n">
        <f aca="false">IFERROR(AB27/AB$5,0)</f>
        <v>0</v>
      </c>
      <c r="AE27" s="75" t="n">
        <f aca="false">SUMIFS('Dados Mov Financeira'!$N:$N,'Dados Mov Financeira'!$O:$O,'DRE 2021'!$B27,'Dados Mov Financeira'!$A:$A,'DRE 2021'!AE$1,'Dados Mov Financeira'!$B:$B,'DRE 2021'!AE$2)</f>
        <v>0</v>
      </c>
      <c r="AF27" s="91" t="n">
        <f aca="false">IFERROR(AE27/AE$5,0)</f>
        <v>0</v>
      </c>
      <c r="AH27" s="75" t="n">
        <f aca="false">SUMIFS('Dados Mov Financeira'!$N:$N,'Dados Mov Financeira'!$O:$O,'DRE 2021'!$B27,'Dados Mov Financeira'!$A:$A,'DRE 2021'!AH$1,'Dados Mov Financeira'!$B:$B,'DRE 2021'!AH$2)</f>
        <v>0</v>
      </c>
      <c r="AI27" s="91" t="n">
        <f aca="false">IFERROR(AH27/AH$5,0)</f>
        <v>0</v>
      </c>
      <c r="AK27" s="75" t="n">
        <f aca="false">SUMIFS('Dados Mov Financeira'!$N:$N,'Dados Mov Financeira'!$O:$O,'DRE 2021'!$B27,'Dados Mov Financeira'!$A:$A,'DRE 2021'!AK$1,'Dados Mov Financeira'!$B:$B,'DRE 2021'!AK$2)</f>
        <v>0</v>
      </c>
      <c r="AL27" s="91" t="n">
        <f aca="false">IFERROR(AK27/AK$5,0)</f>
        <v>0</v>
      </c>
      <c r="AN27" s="92" t="n">
        <f aca="false">SUM(D27,G27,J27,M27,P27,S27,V27,Y27,AB27,AE27,AH27,AK27)</f>
        <v>0</v>
      </c>
      <c r="AO27" s="91" t="n">
        <f aca="false">IFERROR(AN27/AN$5,0)</f>
        <v>0</v>
      </c>
      <c r="AQ27" s="93" t="n">
        <f aca="false">AN27/$AR$1</f>
        <v>0</v>
      </c>
      <c r="AR27" s="94" t="n">
        <f aca="false">IFERROR(AQ27/AQ$5,0)</f>
        <v>0</v>
      </c>
    </row>
    <row r="28" s="63" customFormat="true" ht="14.25" hidden="false" customHeight="false" outlineLevel="0" collapsed="false">
      <c r="B28" s="85" t="s">
        <v>55</v>
      </c>
      <c r="C28" s="100"/>
      <c r="D28" s="75" t="n">
        <f aca="false">SUM(D29:D30)</f>
        <v>0</v>
      </c>
      <c r="E28" s="88" t="n">
        <f aca="false">IFERROR(D28/D$5,0)</f>
        <v>0</v>
      </c>
      <c r="F28" s="100"/>
      <c r="G28" s="75" t="n">
        <f aca="false">SUM(G29:G30)</f>
        <v>0</v>
      </c>
      <c r="H28" s="88" t="n">
        <f aca="false">IFERROR(G28/G$5,0)</f>
        <v>0</v>
      </c>
      <c r="I28" s="100"/>
      <c r="J28" s="75" t="n">
        <f aca="false">SUM(J29:J30)</f>
        <v>0</v>
      </c>
      <c r="K28" s="88" t="n">
        <f aca="false">IFERROR(J28/J$5,0)</f>
        <v>0</v>
      </c>
      <c r="L28" s="100"/>
      <c r="M28" s="75" t="n">
        <f aca="false">SUM(M29:M30)</f>
        <v>0</v>
      </c>
      <c r="N28" s="88" t="n">
        <f aca="false">IFERROR(M28/M$5,0)</f>
        <v>0</v>
      </c>
      <c r="O28" s="100"/>
      <c r="P28" s="75" t="n">
        <f aca="false">SUM(P29:P30)</f>
        <v>0</v>
      </c>
      <c r="Q28" s="88" t="n">
        <f aca="false">IFERROR(P28/P$5,0)</f>
        <v>0</v>
      </c>
      <c r="R28" s="100"/>
      <c r="S28" s="75" t="n">
        <f aca="false">SUM(S29:S30)</f>
        <v>0</v>
      </c>
      <c r="T28" s="88" t="n">
        <f aca="false">IFERROR(S28/S$5,0)</f>
        <v>0</v>
      </c>
      <c r="U28" s="100"/>
      <c r="V28" s="75" t="n">
        <f aca="false">SUM(V29:V30)</f>
        <v>0</v>
      </c>
      <c r="W28" s="88" t="n">
        <f aca="false">IFERROR(V28/V$5,0)</f>
        <v>0</v>
      </c>
      <c r="X28" s="100"/>
      <c r="Y28" s="75" t="n">
        <f aca="false">SUM(Y29:Y30)</f>
        <v>0</v>
      </c>
      <c r="Z28" s="88" t="n">
        <f aca="false">IFERROR(Y28/Y$5,0)</f>
        <v>0</v>
      </c>
      <c r="AA28" s="100"/>
      <c r="AB28" s="75" t="n">
        <f aca="false">SUM(AB29:AB30)</f>
        <v>0</v>
      </c>
      <c r="AC28" s="88" t="n">
        <f aca="false">IFERROR(AB28/AB$5,0)</f>
        <v>0</v>
      </c>
      <c r="AD28" s="100"/>
      <c r="AE28" s="75" t="n">
        <f aca="false">SUM(AE29:AE30)</f>
        <v>0</v>
      </c>
      <c r="AF28" s="88" t="n">
        <f aca="false">IFERROR(AE28/AE$5,0)</f>
        <v>0</v>
      </c>
      <c r="AG28" s="100"/>
      <c r="AH28" s="75" t="n">
        <f aca="false">SUM(AH29:AH30)</f>
        <v>0</v>
      </c>
      <c r="AI28" s="88" t="n">
        <f aca="false">IFERROR(AH28/AH$5,0)</f>
        <v>0</v>
      </c>
      <c r="AJ28" s="100"/>
      <c r="AK28" s="75" t="n">
        <f aca="false">SUM(AK29:AK30)</f>
        <v>0</v>
      </c>
      <c r="AL28" s="88" t="n">
        <f aca="false">IFERROR(AK28/AK$5,0)</f>
        <v>0</v>
      </c>
      <c r="AM28" s="100"/>
      <c r="AN28" s="92" t="n">
        <f aca="false">SUM(D28,G28,J28,M28,P28,S28,V28,Y28,AB28,AE28,AH28,AK28)</f>
        <v>0</v>
      </c>
      <c r="AO28" s="88" t="n">
        <f aca="false">IFERROR(AN28/AN$5,0)</f>
        <v>0</v>
      </c>
      <c r="AP28" s="100"/>
      <c r="AQ28" s="75" t="n">
        <f aca="false">SUM(AQ29:AQ30)</f>
        <v>0</v>
      </c>
      <c r="AR28" s="76" t="n">
        <f aca="false">IFERROR(AQ28/AQ$5,0)</f>
        <v>0</v>
      </c>
      <c r="AS28" s="100"/>
    </row>
    <row r="29" customFormat="false" ht="14.25" hidden="false" customHeight="false" outlineLevel="1" collapsed="false">
      <c r="B29" s="89" t="s">
        <v>56</v>
      </c>
      <c r="C29" s="96"/>
      <c r="D29" s="75" t="n">
        <f aca="false">SUMIFS('Dados Mov Financeira'!$N:$N,'Dados Mov Financeira'!$O:$O,'DRE 2021'!$B29,'Dados Mov Financeira'!$A:$A,'DRE 2021'!D$1,'Dados Mov Financeira'!$B:$B,'DRE 2021'!D$2)</f>
        <v>0</v>
      </c>
      <c r="E29" s="91" t="n">
        <f aca="false">IFERROR(D29/D$5,0)</f>
        <v>0</v>
      </c>
      <c r="F29" s="96"/>
      <c r="G29" s="75" t="n">
        <f aca="false">SUMIFS('Dados Mov Financeira'!$N:$N,'Dados Mov Financeira'!$O:$O,'DRE 2021'!$B29,'Dados Mov Financeira'!$A:$A,'DRE 2021'!G$1,'Dados Mov Financeira'!$B:$B,'DRE 2021'!G$2)</f>
        <v>0</v>
      </c>
      <c r="H29" s="91" t="n">
        <f aca="false">IFERROR(G29/G$5,0)</f>
        <v>0</v>
      </c>
      <c r="I29" s="96"/>
      <c r="J29" s="75" t="n">
        <f aca="false">SUMIFS('Dados Mov Financeira'!$N:$N,'Dados Mov Financeira'!$O:$O,'DRE 2021'!$B29,'Dados Mov Financeira'!$A:$A,'DRE 2021'!J$1,'Dados Mov Financeira'!$B:$B,'DRE 2021'!J$2)</f>
        <v>0</v>
      </c>
      <c r="K29" s="91" t="n">
        <f aca="false">IFERROR(J29/J$5,0)</f>
        <v>0</v>
      </c>
      <c r="L29" s="96"/>
      <c r="M29" s="75" t="n">
        <f aca="false">SUMIFS('Dados Mov Financeira'!$N:$N,'Dados Mov Financeira'!$O:$O,'DRE 2021'!$B29,'Dados Mov Financeira'!$A:$A,'DRE 2021'!M$1,'Dados Mov Financeira'!$B:$B,'DRE 2021'!M$2)</f>
        <v>0</v>
      </c>
      <c r="N29" s="91" t="n">
        <f aca="false">IFERROR(M29/M$5,0)</f>
        <v>0</v>
      </c>
      <c r="O29" s="96"/>
      <c r="P29" s="75" t="n">
        <f aca="false">SUMIFS('Dados Mov Financeira'!$N:$N,'Dados Mov Financeira'!$O:$O,'DRE 2021'!$B29,'Dados Mov Financeira'!$A:$A,'DRE 2021'!P$1,'Dados Mov Financeira'!$B:$B,'DRE 2021'!P$2)</f>
        <v>0</v>
      </c>
      <c r="Q29" s="91" t="n">
        <f aca="false">IFERROR(P29/P$5,0)</f>
        <v>0</v>
      </c>
      <c r="R29" s="96"/>
      <c r="S29" s="75" t="n">
        <f aca="false">SUMIFS('Dados Mov Financeira'!$N:$N,'Dados Mov Financeira'!$O:$O,'DRE 2021'!$B29,'Dados Mov Financeira'!$A:$A,'DRE 2021'!S$1,'Dados Mov Financeira'!$B:$B,'DRE 2021'!S$2)</f>
        <v>0</v>
      </c>
      <c r="T29" s="91" t="n">
        <f aca="false">IFERROR(S29/S$5,0)</f>
        <v>0</v>
      </c>
      <c r="U29" s="96"/>
      <c r="V29" s="75" t="n">
        <f aca="false">SUMIFS('Dados Mov Financeira'!$N:$N,'Dados Mov Financeira'!$O:$O,'DRE 2021'!$B29,'Dados Mov Financeira'!$A:$A,'DRE 2021'!V$1,'Dados Mov Financeira'!$B:$B,'DRE 2021'!V$2)</f>
        <v>0</v>
      </c>
      <c r="W29" s="91" t="n">
        <f aca="false">IFERROR(V29/V$5,0)</f>
        <v>0</v>
      </c>
      <c r="X29" s="96"/>
      <c r="Y29" s="75" t="n">
        <f aca="false">SUMIFS('Dados Mov Financeira'!$N:$N,'Dados Mov Financeira'!$O:$O,'DRE 2021'!$B29,'Dados Mov Financeira'!$A:$A,'DRE 2021'!Y$1,'Dados Mov Financeira'!$B:$B,'DRE 2021'!Y$2)</f>
        <v>0</v>
      </c>
      <c r="Z29" s="91" t="n">
        <f aca="false">IFERROR(Y29/Y$5,0)</f>
        <v>0</v>
      </c>
      <c r="AA29" s="96"/>
      <c r="AB29" s="75" t="n">
        <f aca="false">SUMIFS('Dados Mov Financeira'!$N:$N,'Dados Mov Financeira'!$O:$O,'DRE 2021'!$B29,'Dados Mov Financeira'!$A:$A,'DRE 2021'!AB$1,'Dados Mov Financeira'!$B:$B,'DRE 2021'!AB$2)</f>
        <v>0</v>
      </c>
      <c r="AC29" s="91" t="n">
        <f aca="false">IFERROR(AB29/AB$5,0)</f>
        <v>0</v>
      </c>
      <c r="AD29" s="96"/>
      <c r="AE29" s="75" t="n">
        <f aca="false">SUMIFS('Dados Mov Financeira'!$N:$N,'Dados Mov Financeira'!$O:$O,'DRE 2021'!$B29,'Dados Mov Financeira'!$A:$A,'DRE 2021'!AE$1,'Dados Mov Financeira'!$B:$B,'DRE 2021'!AE$2)</f>
        <v>0</v>
      </c>
      <c r="AF29" s="91" t="n">
        <f aca="false">IFERROR(AE29/AE$5,0)</f>
        <v>0</v>
      </c>
      <c r="AG29" s="96"/>
      <c r="AH29" s="75" t="n">
        <f aca="false">SUMIFS('Dados Mov Financeira'!$N:$N,'Dados Mov Financeira'!$O:$O,'DRE 2021'!$B29,'Dados Mov Financeira'!$A:$A,'DRE 2021'!AH$1,'Dados Mov Financeira'!$B:$B,'DRE 2021'!AH$2)</f>
        <v>0</v>
      </c>
      <c r="AI29" s="91" t="n">
        <f aca="false">IFERROR(AH29/AH$5,0)</f>
        <v>0</v>
      </c>
      <c r="AJ29" s="96"/>
      <c r="AK29" s="75" t="n">
        <f aca="false">SUMIFS('Dados Mov Financeira'!$N:$N,'Dados Mov Financeira'!$O:$O,'DRE 2021'!$B29,'Dados Mov Financeira'!$A:$A,'DRE 2021'!AK$1,'Dados Mov Financeira'!$B:$B,'DRE 2021'!AK$2)</f>
        <v>0</v>
      </c>
      <c r="AL29" s="91" t="n">
        <f aca="false">IFERROR(AK29/AK$5,0)</f>
        <v>0</v>
      </c>
      <c r="AM29" s="96"/>
      <c r="AN29" s="92" t="n">
        <f aca="false">SUM(D29,G29,J29,M29,P29,S29,V29,Y29,AB29,AE29,AH29,AK29)</f>
        <v>0</v>
      </c>
      <c r="AO29" s="91" t="n">
        <f aca="false">IFERROR(AN29/AN$5,0)</f>
        <v>0</v>
      </c>
      <c r="AP29" s="96"/>
      <c r="AQ29" s="93" t="n">
        <f aca="false">AN29/$AR$1</f>
        <v>0</v>
      </c>
      <c r="AR29" s="94" t="n">
        <f aca="false">IFERROR(AQ29/AQ$5,0)</f>
        <v>0</v>
      </c>
      <c r="AS29" s="96"/>
    </row>
    <row r="30" customFormat="false" ht="14.25" hidden="false" customHeight="false" outlineLevel="1" collapsed="false">
      <c r="B30" s="89" t="s">
        <v>57</v>
      </c>
      <c r="C30" s="96"/>
      <c r="D30" s="75" t="n">
        <f aca="false">SUMIFS('Dados Mov Financeira'!$N:$N,'Dados Mov Financeira'!$O:$O,'DRE 2021'!$B30,'Dados Mov Financeira'!$A:$A,'DRE 2021'!D$1,'Dados Mov Financeira'!$B:$B,'DRE 2021'!D$2)</f>
        <v>0</v>
      </c>
      <c r="E30" s="91" t="n">
        <f aca="false">IFERROR(D30/D$5,0)</f>
        <v>0</v>
      </c>
      <c r="F30" s="96"/>
      <c r="G30" s="75" t="n">
        <f aca="false">SUMIFS('Dados Mov Financeira'!$N:$N,'Dados Mov Financeira'!$O:$O,'DRE 2021'!$B30,'Dados Mov Financeira'!$A:$A,'DRE 2021'!G$1,'Dados Mov Financeira'!$B:$B,'DRE 2021'!G$2)</f>
        <v>0</v>
      </c>
      <c r="H30" s="91" t="n">
        <f aca="false">IFERROR(G30/G$5,0)</f>
        <v>0</v>
      </c>
      <c r="I30" s="96"/>
      <c r="J30" s="75" t="n">
        <f aca="false">SUMIFS('Dados Mov Financeira'!$N:$N,'Dados Mov Financeira'!$O:$O,'DRE 2021'!$B30,'Dados Mov Financeira'!$A:$A,'DRE 2021'!J$1,'Dados Mov Financeira'!$B:$B,'DRE 2021'!J$2)</f>
        <v>0</v>
      </c>
      <c r="K30" s="91" t="n">
        <f aca="false">IFERROR(J30/J$5,0)</f>
        <v>0</v>
      </c>
      <c r="L30" s="96"/>
      <c r="M30" s="75" t="n">
        <f aca="false">SUMIFS('Dados Mov Financeira'!$N:$N,'Dados Mov Financeira'!$O:$O,'DRE 2021'!$B30,'Dados Mov Financeira'!$A:$A,'DRE 2021'!M$1,'Dados Mov Financeira'!$B:$B,'DRE 2021'!M$2)</f>
        <v>0</v>
      </c>
      <c r="N30" s="91" t="n">
        <f aca="false">IFERROR(M30/M$5,0)</f>
        <v>0</v>
      </c>
      <c r="O30" s="96"/>
      <c r="P30" s="75" t="n">
        <f aca="false">SUMIFS('Dados Mov Financeira'!$N:$N,'Dados Mov Financeira'!$O:$O,'DRE 2021'!$B30,'Dados Mov Financeira'!$A:$A,'DRE 2021'!P$1,'Dados Mov Financeira'!$B:$B,'DRE 2021'!P$2)</f>
        <v>0</v>
      </c>
      <c r="Q30" s="91" t="n">
        <f aca="false">IFERROR(P30/P$5,0)</f>
        <v>0</v>
      </c>
      <c r="R30" s="96"/>
      <c r="S30" s="75" t="n">
        <f aca="false">SUMIFS('Dados Mov Financeira'!$N:$N,'Dados Mov Financeira'!$O:$O,'DRE 2021'!$B30,'Dados Mov Financeira'!$A:$A,'DRE 2021'!S$1,'Dados Mov Financeira'!$B:$B,'DRE 2021'!S$2)</f>
        <v>0</v>
      </c>
      <c r="T30" s="91" t="n">
        <f aca="false">IFERROR(S30/S$5,0)</f>
        <v>0</v>
      </c>
      <c r="U30" s="96"/>
      <c r="V30" s="75" t="n">
        <f aca="false">SUMIFS('Dados Mov Financeira'!$N:$N,'Dados Mov Financeira'!$O:$O,'DRE 2021'!$B30,'Dados Mov Financeira'!$A:$A,'DRE 2021'!V$1,'Dados Mov Financeira'!$B:$B,'DRE 2021'!V$2)</f>
        <v>0</v>
      </c>
      <c r="W30" s="91" t="n">
        <f aca="false">IFERROR(V30/V$5,0)</f>
        <v>0</v>
      </c>
      <c r="X30" s="96"/>
      <c r="Y30" s="75" t="n">
        <f aca="false">SUMIFS('Dados Mov Financeira'!$N:$N,'Dados Mov Financeira'!$O:$O,'DRE 2021'!$B30,'Dados Mov Financeira'!$A:$A,'DRE 2021'!Y$1,'Dados Mov Financeira'!$B:$B,'DRE 2021'!Y$2)</f>
        <v>0</v>
      </c>
      <c r="Z30" s="91" t="n">
        <f aca="false">IFERROR(Y30/Y$5,0)</f>
        <v>0</v>
      </c>
      <c r="AA30" s="96"/>
      <c r="AB30" s="75" t="n">
        <f aca="false">SUMIFS('Dados Mov Financeira'!$N:$N,'Dados Mov Financeira'!$O:$O,'DRE 2021'!$B30,'Dados Mov Financeira'!$A:$A,'DRE 2021'!AB$1,'Dados Mov Financeira'!$B:$B,'DRE 2021'!AB$2)</f>
        <v>0</v>
      </c>
      <c r="AC30" s="91" t="n">
        <f aca="false">IFERROR(AB30/AB$5,0)</f>
        <v>0</v>
      </c>
      <c r="AD30" s="96"/>
      <c r="AE30" s="75" t="n">
        <f aca="false">SUMIFS('Dados Mov Financeira'!$N:$N,'Dados Mov Financeira'!$O:$O,'DRE 2021'!$B30,'Dados Mov Financeira'!$A:$A,'DRE 2021'!AE$1,'Dados Mov Financeira'!$B:$B,'DRE 2021'!AE$2)</f>
        <v>0</v>
      </c>
      <c r="AF30" s="91" t="n">
        <f aca="false">IFERROR(AE30/AE$5,0)</f>
        <v>0</v>
      </c>
      <c r="AG30" s="96"/>
      <c r="AH30" s="75" t="n">
        <f aca="false">SUMIFS('Dados Mov Financeira'!$N:$N,'Dados Mov Financeira'!$O:$O,'DRE 2021'!$B30,'Dados Mov Financeira'!$A:$A,'DRE 2021'!AH$1,'Dados Mov Financeira'!$B:$B,'DRE 2021'!AH$2)</f>
        <v>0</v>
      </c>
      <c r="AI30" s="91" t="n">
        <f aca="false">IFERROR(AH30/AH$5,0)</f>
        <v>0</v>
      </c>
      <c r="AJ30" s="96"/>
      <c r="AK30" s="75" t="n">
        <f aca="false">SUMIFS('Dados Mov Financeira'!$N:$N,'Dados Mov Financeira'!$O:$O,'DRE 2021'!$B30,'Dados Mov Financeira'!$A:$A,'DRE 2021'!AK$1,'Dados Mov Financeira'!$B:$B,'DRE 2021'!AK$2)</f>
        <v>0</v>
      </c>
      <c r="AL30" s="91" t="n">
        <f aca="false">IFERROR(AK30/AK$5,0)</f>
        <v>0</v>
      </c>
      <c r="AM30" s="96"/>
      <c r="AN30" s="92" t="n">
        <f aca="false">SUM(D30,G30,J30,M30,P30,S30,V30,Y30,AB30,AE30,AH30,AK30)</f>
        <v>0</v>
      </c>
      <c r="AO30" s="91" t="n">
        <f aca="false">IFERROR(AN30/AN$5,0)</f>
        <v>0</v>
      </c>
      <c r="AP30" s="96"/>
      <c r="AQ30" s="93" t="n">
        <f aca="false">AN30/$AR$1</f>
        <v>0</v>
      </c>
      <c r="AR30" s="94" t="n">
        <f aca="false">IFERROR(AQ30/AQ$5,0)</f>
        <v>0</v>
      </c>
      <c r="AS30" s="96"/>
    </row>
    <row r="31" customFormat="false" ht="14.25" hidden="false" customHeight="false" outlineLevel="0" collapsed="false">
      <c r="B31" s="89"/>
      <c r="D31" s="101"/>
      <c r="E31" s="91"/>
      <c r="G31" s="101"/>
      <c r="H31" s="91"/>
      <c r="J31" s="101"/>
      <c r="K31" s="91"/>
      <c r="M31" s="101"/>
      <c r="N31" s="91"/>
      <c r="P31" s="101"/>
      <c r="Q31" s="91"/>
      <c r="S31" s="101"/>
      <c r="T31" s="91"/>
      <c r="V31" s="101"/>
      <c r="W31" s="91"/>
      <c r="Y31" s="101"/>
      <c r="Z31" s="91"/>
      <c r="AB31" s="101"/>
      <c r="AC31" s="91"/>
      <c r="AE31" s="101"/>
      <c r="AF31" s="91"/>
      <c r="AH31" s="101"/>
      <c r="AI31" s="91"/>
      <c r="AK31" s="101"/>
      <c r="AL31" s="91"/>
      <c r="AN31" s="92"/>
      <c r="AO31" s="91"/>
      <c r="AQ31" s="93"/>
      <c r="AR31" s="94"/>
    </row>
    <row r="32" s="57" customFormat="true" ht="7.5" hidden="false" customHeight="true" outlineLevel="0" collapsed="false">
      <c r="B32" s="48"/>
      <c r="C32" s="58"/>
      <c r="D32" s="59"/>
      <c r="E32" s="60"/>
      <c r="F32" s="58"/>
      <c r="G32" s="59"/>
      <c r="H32" s="60"/>
      <c r="I32" s="58"/>
      <c r="J32" s="59"/>
      <c r="K32" s="60"/>
      <c r="L32" s="58"/>
      <c r="M32" s="59"/>
      <c r="N32" s="60"/>
      <c r="O32" s="58"/>
      <c r="P32" s="59"/>
      <c r="Q32" s="60"/>
      <c r="R32" s="58"/>
      <c r="S32" s="59"/>
      <c r="T32" s="60"/>
      <c r="U32" s="58"/>
      <c r="V32" s="59"/>
      <c r="W32" s="60"/>
      <c r="X32" s="58"/>
      <c r="Y32" s="59"/>
      <c r="Z32" s="60"/>
      <c r="AA32" s="58"/>
      <c r="AB32" s="59"/>
      <c r="AC32" s="60"/>
      <c r="AD32" s="58"/>
      <c r="AE32" s="59"/>
      <c r="AF32" s="60"/>
      <c r="AG32" s="58"/>
      <c r="AH32" s="59"/>
      <c r="AI32" s="60"/>
      <c r="AJ32" s="58"/>
      <c r="AK32" s="59"/>
      <c r="AL32" s="60"/>
      <c r="AM32" s="58"/>
      <c r="AN32" s="59"/>
      <c r="AO32" s="60"/>
      <c r="AP32" s="58"/>
      <c r="AQ32" s="61"/>
      <c r="AR32" s="60"/>
      <c r="AS32" s="58"/>
    </row>
    <row r="33" s="63" customFormat="true" ht="20.85" hidden="false" customHeight="false" outlineLevel="0" collapsed="false">
      <c r="A33" s="36"/>
      <c r="B33" s="102" t="s">
        <v>58</v>
      </c>
      <c r="D33" s="103" t="n">
        <f aca="false">SUM(D21,D23)</f>
        <v>0</v>
      </c>
      <c r="E33" s="104" t="n">
        <f aca="false">IFERROR(D33/D$5,0)</f>
        <v>0</v>
      </c>
      <c r="G33" s="103" t="n">
        <f aca="false">SUM(G21,G23)</f>
        <v>0</v>
      </c>
      <c r="H33" s="104" t="n">
        <f aca="false">IFERROR(G33/G$5,0)</f>
        <v>0</v>
      </c>
      <c r="J33" s="103" t="n">
        <f aca="false">SUM(J21,J23)</f>
        <v>0</v>
      </c>
      <c r="K33" s="104" t="n">
        <f aca="false">IFERROR(J33/J$5,0)</f>
        <v>0</v>
      </c>
      <c r="M33" s="103" t="n">
        <f aca="false">SUM(M21,M23)</f>
        <v>0</v>
      </c>
      <c r="N33" s="104" t="n">
        <f aca="false">IFERROR(M33/M$5,0)</f>
        <v>0</v>
      </c>
      <c r="P33" s="103" t="n">
        <f aca="false">SUM(P21,P23)</f>
        <v>0</v>
      </c>
      <c r="Q33" s="104" t="n">
        <f aca="false">IFERROR(P33/P$5,0)</f>
        <v>0</v>
      </c>
      <c r="S33" s="103" t="n">
        <f aca="false">SUM(S21,S23)</f>
        <v>0</v>
      </c>
      <c r="T33" s="104" t="n">
        <f aca="false">IFERROR(S33/S$5,0)</f>
        <v>0</v>
      </c>
      <c r="V33" s="103" t="n">
        <f aca="false">SUM(V21,V23)</f>
        <v>0</v>
      </c>
      <c r="W33" s="104" t="n">
        <f aca="false">IFERROR(V33/V$5,0)</f>
        <v>0</v>
      </c>
      <c r="Y33" s="103" t="n">
        <f aca="false">SUM(Y21,Y23)</f>
        <v>0</v>
      </c>
      <c r="Z33" s="104" t="n">
        <f aca="false">IFERROR(Y33/Y$5,0)</f>
        <v>0</v>
      </c>
      <c r="AB33" s="103" t="n">
        <f aca="false">SUM(AB21,AB23)</f>
        <v>0</v>
      </c>
      <c r="AC33" s="104" t="n">
        <f aca="false">IFERROR(AB33/AB$5,0)</f>
        <v>0</v>
      </c>
      <c r="AE33" s="103" t="n">
        <f aca="false">SUM(AE21,AE23)</f>
        <v>0</v>
      </c>
      <c r="AF33" s="104" t="n">
        <f aca="false">IFERROR(AE33/AE$5,0)</f>
        <v>0</v>
      </c>
      <c r="AH33" s="103" t="n">
        <f aca="false">SUM(AH21,AH23)</f>
        <v>0</v>
      </c>
      <c r="AI33" s="104" t="n">
        <f aca="false">IFERROR(AH33/AH$5,0)</f>
        <v>0</v>
      </c>
      <c r="AK33" s="103" t="n">
        <f aca="false">SUM(AK21,AK23)</f>
        <v>0</v>
      </c>
      <c r="AL33" s="104" t="n">
        <f aca="false">IFERROR(AK33/AK$5,0)</f>
        <v>0</v>
      </c>
      <c r="AN33" s="103" t="n">
        <f aca="false">SUM(AN21,AN23)</f>
        <v>0</v>
      </c>
      <c r="AO33" s="104" t="n">
        <f aca="false">IFERROR(AN33/AN$5,0)</f>
        <v>0</v>
      </c>
      <c r="AQ33" s="103" t="n">
        <f aca="false">SUM(AQ21,AQ23)</f>
        <v>0</v>
      </c>
      <c r="AR33" s="104" t="n">
        <f aca="false">IFERROR(AQ33/AQ$5,0)</f>
        <v>0</v>
      </c>
    </row>
    <row r="34" s="57" customFormat="true" ht="7.5" hidden="false" customHeight="true" outlineLevel="0" collapsed="false">
      <c r="B34" s="48"/>
      <c r="C34" s="58"/>
      <c r="D34" s="59"/>
      <c r="E34" s="60"/>
      <c r="F34" s="58"/>
      <c r="G34" s="59"/>
      <c r="H34" s="60"/>
      <c r="I34" s="58"/>
      <c r="J34" s="59"/>
      <c r="K34" s="60"/>
      <c r="L34" s="58"/>
      <c r="M34" s="59"/>
      <c r="N34" s="60"/>
      <c r="O34" s="58"/>
      <c r="P34" s="59"/>
      <c r="Q34" s="60"/>
      <c r="R34" s="58"/>
      <c r="S34" s="59"/>
      <c r="T34" s="60"/>
      <c r="U34" s="58"/>
      <c r="V34" s="59"/>
      <c r="W34" s="60"/>
      <c r="X34" s="58"/>
      <c r="Y34" s="59"/>
      <c r="Z34" s="60"/>
      <c r="AA34" s="58"/>
      <c r="AB34" s="59"/>
      <c r="AC34" s="60"/>
      <c r="AD34" s="58"/>
      <c r="AE34" s="59"/>
      <c r="AF34" s="60"/>
      <c r="AG34" s="58"/>
      <c r="AH34" s="59"/>
      <c r="AI34" s="60"/>
      <c r="AJ34" s="58"/>
      <c r="AK34" s="59"/>
      <c r="AL34" s="60"/>
      <c r="AM34" s="58"/>
      <c r="AN34" s="59"/>
      <c r="AO34" s="60"/>
      <c r="AP34" s="58"/>
      <c r="AQ34" s="61"/>
      <c r="AR34" s="60"/>
      <c r="AS34" s="58"/>
    </row>
    <row r="35" s="63" customFormat="true" ht="17.35" hidden="false" customHeight="false" outlineLevel="0" collapsed="false">
      <c r="A35" s="36"/>
      <c r="B35" s="79" t="s">
        <v>59</v>
      </c>
      <c r="D35" s="80" t="n">
        <f aca="false">SUM(D36)</f>
        <v>0</v>
      </c>
      <c r="E35" s="81" t="n">
        <f aca="false">IFERROR(D35/D$5,0)</f>
        <v>0</v>
      </c>
      <c r="G35" s="80" t="n">
        <f aca="false">SUM(G36)</f>
        <v>0</v>
      </c>
      <c r="H35" s="81" t="n">
        <f aca="false">IFERROR(G35/G$5,0)</f>
        <v>0</v>
      </c>
      <c r="J35" s="80" t="n">
        <f aca="false">SUM(J36)</f>
        <v>0</v>
      </c>
      <c r="K35" s="81" t="n">
        <f aca="false">IFERROR(J35/J$5,0)</f>
        <v>0</v>
      </c>
      <c r="M35" s="80" t="n">
        <f aca="false">SUM(M36)</f>
        <v>0</v>
      </c>
      <c r="N35" s="81" t="n">
        <f aca="false">IFERROR(M35/M$5,0)</f>
        <v>0</v>
      </c>
      <c r="P35" s="80" t="n">
        <f aca="false">SUM(P36)</f>
        <v>0</v>
      </c>
      <c r="Q35" s="81" t="n">
        <f aca="false">IFERROR(P35/P$5,0)</f>
        <v>0</v>
      </c>
      <c r="S35" s="80" t="n">
        <f aca="false">SUM(S36)</f>
        <v>0</v>
      </c>
      <c r="T35" s="81" t="n">
        <f aca="false">IFERROR(S35/S$5,0)</f>
        <v>0</v>
      </c>
      <c r="V35" s="80" t="n">
        <f aca="false">SUM(V36)</f>
        <v>0</v>
      </c>
      <c r="W35" s="81" t="n">
        <f aca="false">IFERROR(V35/V$5,0)</f>
        <v>0</v>
      </c>
      <c r="Y35" s="80" t="n">
        <f aca="false">SUM(Y36)</f>
        <v>0</v>
      </c>
      <c r="Z35" s="81" t="n">
        <f aca="false">IFERROR(Y35/Y$5,0)</f>
        <v>0</v>
      </c>
      <c r="AB35" s="80" t="n">
        <f aca="false">SUM(AB36)</f>
        <v>0</v>
      </c>
      <c r="AC35" s="81" t="n">
        <f aca="false">IFERROR(AB35/AB$5,0)</f>
        <v>0</v>
      </c>
      <c r="AE35" s="80" t="n">
        <f aca="false">SUM(AE36)</f>
        <v>0</v>
      </c>
      <c r="AF35" s="81" t="n">
        <f aca="false">IFERROR(AE35/AE$5,0)</f>
        <v>0</v>
      </c>
      <c r="AH35" s="80" t="n">
        <f aca="false">SUM(AH36)</f>
        <v>0</v>
      </c>
      <c r="AI35" s="81" t="n">
        <f aca="false">IFERROR(AH35/AH$5,0)</f>
        <v>0</v>
      </c>
      <c r="AK35" s="80" t="n">
        <f aca="false">SUM(AK36)</f>
        <v>0</v>
      </c>
      <c r="AL35" s="81" t="n">
        <f aca="false">IFERROR(AK35/AK$5,0)</f>
        <v>0</v>
      </c>
      <c r="AN35" s="80" t="n">
        <f aca="false">SUM(AN36)</f>
        <v>0</v>
      </c>
      <c r="AO35" s="81" t="n">
        <f aca="false">IFERROR(AN35/AN$5,0)</f>
        <v>0</v>
      </c>
      <c r="AQ35" s="82" t="n">
        <f aca="false">SUM(AQ36)</f>
        <v>0</v>
      </c>
      <c r="AR35" s="83" t="n">
        <f aca="false">IFERROR(AQ35/AQ$5,0)</f>
        <v>0</v>
      </c>
    </row>
    <row r="36" s="63" customFormat="true" ht="14.25" hidden="false" customHeight="false" outlineLevel="0" collapsed="false">
      <c r="B36" s="106" t="s">
        <v>60</v>
      </c>
      <c r="D36" s="75" t="n">
        <f aca="false">SUM(D37:D39)</f>
        <v>0</v>
      </c>
      <c r="E36" s="88" t="n">
        <f aca="false">IFERROR(D36/D$5,0)</f>
        <v>0</v>
      </c>
      <c r="G36" s="75" t="n">
        <f aca="false">SUM(G37:G39)</f>
        <v>0</v>
      </c>
      <c r="H36" s="88" t="n">
        <f aca="false">IFERROR(G36/G$5,0)</f>
        <v>0</v>
      </c>
      <c r="J36" s="75" t="n">
        <f aca="false">SUM(J37:J39)</f>
        <v>0</v>
      </c>
      <c r="K36" s="88" t="n">
        <f aca="false">IFERROR(J36/J$5,0)</f>
        <v>0</v>
      </c>
      <c r="M36" s="75" t="n">
        <f aca="false">SUM(M37:M39)</f>
        <v>0</v>
      </c>
      <c r="N36" s="88" t="n">
        <f aca="false">IFERROR(M36/M$5,0)</f>
        <v>0</v>
      </c>
      <c r="P36" s="75" t="n">
        <f aca="false">SUM(P37:P39)</f>
        <v>0</v>
      </c>
      <c r="Q36" s="88" t="n">
        <f aca="false">IFERROR(P36/P$5,0)</f>
        <v>0</v>
      </c>
      <c r="S36" s="75" t="n">
        <f aca="false">SUM(S37:S39)</f>
        <v>0</v>
      </c>
      <c r="T36" s="88" t="n">
        <f aca="false">IFERROR(S36/S$5,0)</f>
        <v>0</v>
      </c>
      <c r="V36" s="75" t="n">
        <f aca="false">SUM(V37:V39)</f>
        <v>0</v>
      </c>
      <c r="W36" s="88" t="n">
        <f aca="false">IFERROR(V36/V$5,0)</f>
        <v>0</v>
      </c>
      <c r="Y36" s="75" t="n">
        <f aca="false">SUM(Y37:Y39)</f>
        <v>0</v>
      </c>
      <c r="Z36" s="88" t="n">
        <f aca="false">IFERROR(Y36/Y$5,0)</f>
        <v>0</v>
      </c>
      <c r="AB36" s="75" t="n">
        <f aca="false">SUM(AB37:AB39)</f>
        <v>0</v>
      </c>
      <c r="AC36" s="88" t="n">
        <f aca="false">IFERROR(AB36/AB$5,0)</f>
        <v>0</v>
      </c>
      <c r="AE36" s="75" t="n">
        <f aca="false">SUM(AE37:AE39)</f>
        <v>0</v>
      </c>
      <c r="AF36" s="88" t="n">
        <f aca="false">IFERROR(AE36/AE$5,0)</f>
        <v>0</v>
      </c>
      <c r="AH36" s="75" t="n">
        <f aca="false">SUM(AH37:AH39)</f>
        <v>0</v>
      </c>
      <c r="AI36" s="88" t="n">
        <f aca="false">IFERROR(AH36/AH$5,0)</f>
        <v>0</v>
      </c>
      <c r="AK36" s="75" t="n">
        <f aca="false">SUM(AK37:AK39)</f>
        <v>0</v>
      </c>
      <c r="AL36" s="88" t="n">
        <f aca="false">IFERROR(AK36/AK$5,0)</f>
        <v>0</v>
      </c>
      <c r="AN36" s="75" t="n">
        <f aca="false">SUM(AN37:AN39)</f>
        <v>0</v>
      </c>
      <c r="AO36" s="88" t="n">
        <f aca="false">IFERROR(AN36/AN$5,0)</f>
        <v>0</v>
      </c>
      <c r="AQ36" s="75" t="n">
        <f aca="false">SUM(AQ37:AQ39)</f>
        <v>0</v>
      </c>
      <c r="AR36" s="76" t="n">
        <f aca="false">IFERROR(AQ36/AQ$5,0)</f>
        <v>0</v>
      </c>
    </row>
    <row r="37" customFormat="false" ht="14.25" hidden="false" customHeight="false" outlineLevel="1" collapsed="false">
      <c r="B37" s="89" t="s">
        <v>61</v>
      </c>
      <c r="D37" s="75" t="n">
        <f aca="false">SUMIFS('Dados Mov Financeira'!$N:$N,'Dados Mov Financeira'!$O:$O,'DRE 2021'!$B37,'Dados Mov Financeira'!$A:$A,'DRE 2021'!D$1,'Dados Mov Financeira'!$B:$B,'DRE 2021'!D$2)</f>
        <v>0</v>
      </c>
      <c r="E37" s="91" t="n">
        <f aca="false">IFERROR(D37/D$5,0)</f>
        <v>0</v>
      </c>
      <c r="G37" s="75" t="n">
        <f aca="false">SUMIFS('Dados Mov Financeira'!$N:$N,'Dados Mov Financeira'!$O:$O,'DRE 2021'!$B37,'Dados Mov Financeira'!$A:$A,'DRE 2021'!G$1,'Dados Mov Financeira'!$B:$B,'DRE 2021'!G$2)</f>
        <v>0</v>
      </c>
      <c r="H37" s="91" t="n">
        <f aca="false">IFERROR(G37/G$5,0)</f>
        <v>0</v>
      </c>
      <c r="J37" s="75" t="n">
        <f aca="false">SUMIFS('Dados Mov Financeira'!$N:$N,'Dados Mov Financeira'!$O:$O,'DRE 2021'!$B37,'Dados Mov Financeira'!$A:$A,'DRE 2021'!J$1,'Dados Mov Financeira'!$B:$B,'DRE 2021'!J$2)</f>
        <v>0</v>
      </c>
      <c r="K37" s="91" t="n">
        <f aca="false">IFERROR(J37/J$5,0)</f>
        <v>0</v>
      </c>
      <c r="M37" s="75" t="n">
        <f aca="false">SUMIFS('Dados Mov Financeira'!$N:$N,'Dados Mov Financeira'!$O:$O,'DRE 2021'!$B37,'Dados Mov Financeira'!$A:$A,'DRE 2021'!M$1,'Dados Mov Financeira'!$B:$B,'DRE 2021'!M$2)</f>
        <v>0</v>
      </c>
      <c r="N37" s="91" t="n">
        <f aca="false">IFERROR(M37/M$5,0)</f>
        <v>0</v>
      </c>
      <c r="P37" s="75" t="n">
        <f aca="false">SUMIFS('Dados Mov Financeira'!$N:$N,'Dados Mov Financeira'!$O:$O,'DRE 2021'!$B37,'Dados Mov Financeira'!$A:$A,'DRE 2021'!P$1,'Dados Mov Financeira'!$B:$B,'DRE 2021'!P$2)</f>
        <v>0</v>
      </c>
      <c r="Q37" s="91" t="n">
        <f aca="false">IFERROR(P37/P$5,0)</f>
        <v>0</v>
      </c>
      <c r="S37" s="75" t="n">
        <f aca="false">SUMIFS('Dados Mov Financeira'!$N:$N,'Dados Mov Financeira'!$O:$O,'DRE 2021'!$B37,'Dados Mov Financeira'!$A:$A,'DRE 2021'!S$1,'Dados Mov Financeira'!$B:$B,'DRE 2021'!S$2)</f>
        <v>0</v>
      </c>
      <c r="T37" s="91" t="n">
        <f aca="false">IFERROR(S37/S$5,0)</f>
        <v>0</v>
      </c>
      <c r="V37" s="75" t="n">
        <f aca="false">SUMIFS('Dados Mov Financeira'!$N:$N,'Dados Mov Financeira'!$O:$O,'DRE 2021'!$B37,'Dados Mov Financeira'!$A:$A,'DRE 2021'!V$1,'Dados Mov Financeira'!$B:$B,'DRE 2021'!V$2)</f>
        <v>0</v>
      </c>
      <c r="W37" s="91" t="n">
        <f aca="false">IFERROR(V37/V$5,0)</f>
        <v>0</v>
      </c>
      <c r="Y37" s="75" t="n">
        <f aca="false">SUMIFS('Dados Mov Financeira'!$N:$N,'Dados Mov Financeira'!$O:$O,'DRE 2021'!$B37,'Dados Mov Financeira'!$A:$A,'DRE 2021'!Y$1,'Dados Mov Financeira'!$B:$B,'DRE 2021'!Y$2)</f>
        <v>0</v>
      </c>
      <c r="Z37" s="91" t="n">
        <f aca="false">IFERROR(Y37/Y$5,0)</f>
        <v>0</v>
      </c>
      <c r="AB37" s="75" t="n">
        <f aca="false">SUMIFS('Dados Mov Financeira'!$N:$N,'Dados Mov Financeira'!$O:$O,'DRE 2021'!$B37,'Dados Mov Financeira'!$A:$A,'DRE 2021'!AB$1,'Dados Mov Financeira'!$B:$B,'DRE 2021'!AB$2)</f>
        <v>0</v>
      </c>
      <c r="AC37" s="91" t="n">
        <f aca="false">IFERROR(AB37/AB$5,0)</f>
        <v>0</v>
      </c>
      <c r="AE37" s="75" t="n">
        <f aca="false">SUMIFS('Dados Mov Financeira'!$N:$N,'Dados Mov Financeira'!$O:$O,'DRE 2021'!$B37,'Dados Mov Financeira'!$A:$A,'DRE 2021'!AE$1,'Dados Mov Financeira'!$B:$B,'DRE 2021'!AE$2)</f>
        <v>0</v>
      </c>
      <c r="AF37" s="91" t="n">
        <f aca="false">IFERROR(AE37/AE$5,0)</f>
        <v>0</v>
      </c>
      <c r="AH37" s="75" t="n">
        <f aca="false">SUMIFS('Dados Mov Financeira'!$N:$N,'Dados Mov Financeira'!$O:$O,'DRE 2021'!$B37,'Dados Mov Financeira'!$A:$A,'DRE 2021'!AH$1,'Dados Mov Financeira'!$B:$B,'DRE 2021'!AH$2)</f>
        <v>0</v>
      </c>
      <c r="AI37" s="91" t="n">
        <f aca="false">IFERROR(AH37/AH$5,0)</f>
        <v>0</v>
      </c>
      <c r="AK37" s="75" t="n">
        <f aca="false">SUMIFS('Dados Mov Financeira'!$N:$N,'Dados Mov Financeira'!$O:$O,'DRE 2021'!$B37,'Dados Mov Financeira'!$A:$A,'DRE 2021'!AK$1,'Dados Mov Financeira'!$B:$B,'DRE 2021'!AK$2)</f>
        <v>0</v>
      </c>
      <c r="AL37" s="91" t="n">
        <f aca="false">IFERROR(AK37/AK$5,0)</f>
        <v>0</v>
      </c>
      <c r="AN37" s="92" t="n">
        <f aca="false">SUM(D37,G37,J37,M37,P37,S37,V37,Y37,AB37,AE37,AH37,AK37)</f>
        <v>0</v>
      </c>
      <c r="AO37" s="91" t="n">
        <f aca="false">IFERROR(AN37/AN$5,0)</f>
        <v>0</v>
      </c>
      <c r="AQ37" s="93" t="n">
        <f aca="false">AN37/$AR$1</f>
        <v>0</v>
      </c>
      <c r="AR37" s="94" t="n">
        <f aca="false">IFERROR(AQ37/AQ$5,0)</f>
        <v>0</v>
      </c>
    </row>
    <row r="38" customFormat="false" ht="14.25" hidden="false" customHeight="false" outlineLevel="1" collapsed="false">
      <c r="B38" s="89" t="s">
        <v>171</v>
      </c>
      <c r="D38" s="75" t="n">
        <f aca="false">SUMIFS('Dados Mov Financeira'!$N:$N,'Dados Mov Financeira'!$O:$O,'DRE 2021'!$B38,'Dados Mov Financeira'!$A:$A,'DRE 2021'!D$1,'Dados Mov Financeira'!$B:$B,'DRE 2021'!D$2)</f>
        <v>0</v>
      </c>
      <c r="E38" s="91" t="n">
        <f aca="false">IFERROR(D38/D$5,0)</f>
        <v>0</v>
      </c>
      <c r="G38" s="75" t="n">
        <f aca="false">SUMIFS('Dados Mov Financeira'!$N:$N,'Dados Mov Financeira'!$O:$O,'DRE 2021'!$B38,'Dados Mov Financeira'!$A:$A,'DRE 2021'!G$1,'Dados Mov Financeira'!$B:$B,'DRE 2021'!G$2)</f>
        <v>0</v>
      </c>
      <c r="H38" s="91" t="n">
        <f aca="false">IFERROR(G38/G$5,0)</f>
        <v>0</v>
      </c>
      <c r="J38" s="75" t="n">
        <f aca="false">SUMIFS('Dados Mov Financeira'!$N:$N,'Dados Mov Financeira'!$O:$O,'DRE 2021'!$B38,'Dados Mov Financeira'!$A:$A,'DRE 2021'!J$1,'Dados Mov Financeira'!$B:$B,'DRE 2021'!J$2)</f>
        <v>0</v>
      </c>
      <c r="K38" s="91" t="n">
        <f aca="false">IFERROR(J38/J$5,0)</f>
        <v>0</v>
      </c>
      <c r="M38" s="75" t="n">
        <f aca="false">SUMIFS('Dados Mov Financeira'!$N:$N,'Dados Mov Financeira'!$O:$O,'DRE 2021'!$B38,'Dados Mov Financeira'!$A:$A,'DRE 2021'!M$1,'Dados Mov Financeira'!$B:$B,'DRE 2021'!M$2)</f>
        <v>0</v>
      </c>
      <c r="N38" s="91" t="n">
        <f aca="false">IFERROR(M38/M$5,0)</f>
        <v>0</v>
      </c>
      <c r="P38" s="75" t="n">
        <f aca="false">SUMIFS('Dados Mov Financeira'!$N:$N,'Dados Mov Financeira'!$O:$O,'DRE 2021'!$B38,'Dados Mov Financeira'!$A:$A,'DRE 2021'!P$1,'Dados Mov Financeira'!$B:$B,'DRE 2021'!P$2)</f>
        <v>0</v>
      </c>
      <c r="Q38" s="91" t="n">
        <f aca="false">IFERROR(P38/P$5,0)</f>
        <v>0</v>
      </c>
      <c r="S38" s="75" t="n">
        <f aca="false">SUMIFS('Dados Mov Financeira'!$N:$N,'Dados Mov Financeira'!$O:$O,'DRE 2021'!$B38,'Dados Mov Financeira'!$A:$A,'DRE 2021'!S$1,'Dados Mov Financeira'!$B:$B,'DRE 2021'!S$2)</f>
        <v>0</v>
      </c>
      <c r="T38" s="91" t="n">
        <f aca="false">IFERROR(S38/S$5,0)</f>
        <v>0</v>
      </c>
      <c r="V38" s="75" t="n">
        <f aca="false">SUMIFS('Dados Mov Financeira'!$N:$N,'Dados Mov Financeira'!$O:$O,'DRE 2021'!$B38,'Dados Mov Financeira'!$A:$A,'DRE 2021'!V$1,'Dados Mov Financeira'!$B:$B,'DRE 2021'!V$2)</f>
        <v>0</v>
      </c>
      <c r="W38" s="91" t="n">
        <f aca="false">IFERROR(V38/V$5,0)</f>
        <v>0</v>
      </c>
      <c r="Y38" s="75" t="n">
        <f aca="false">SUMIFS('Dados Mov Financeira'!$N:$N,'Dados Mov Financeira'!$O:$O,'DRE 2021'!$B38,'Dados Mov Financeira'!$A:$A,'DRE 2021'!Y$1,'Dados Mov Financeira'!$B:$B,'DRE 2021'!Y$2)</f>
        <v>0</v>
      </c>
      <c r="Z38" s="91" t="n">
        <f aca="false">IFERROR(Y38/Y$5,0)</f>
        <v>0</v>
      </c>
      <c r="AB38" s="75" t="n">
        <f aca="false">SUMIFS('Dados Mov Financeira'!$N:$N,'Dados Mov Financeira'!$O:$O,'DRE 2021'!$B38,'Dados Mov Financeira'!$A:$A,'DRE 2021'!AB$1,'Dados Mov Financeira'!$B:$B,'DRE 2021'!AB$2)</f>
        <v>0</v>
      </c>
      <c r="AC38" s="91" t="n">
        <f aca="false">IFERROR(AB38/AB$5,0)</f>
        <v>0</v>
      </c>
      <c r="AE38" s="75" t="n">
        <f aca="false">SUMIFS('Dados Mov Financeira'!$N:$N,'Dados Mov Financeira'!$O:$O,'DRE 2021'!$B38,'Dados Mov Financeira'!$A:$A,'DRE 2021'!AE$1,'Dados Mov Financeira'!$B:$B,'DRE 2021'!AE$2)</f>
        <v>0</v>
      </c>
      <c r="AF38" s="91" t="n">
        <f aca="false">IFERROR(AE38/AE$5,0)</f>
        <v>0</v>
      </c>
      <c r="AH38" s="75" t="n">
        <f aca="false">SUMIFS('Dados Mov Financeira'!$N:$N,'Dados Mov Financeira'!$O:$O,'DRE 2021'!$B38,'Dados Mov Financeira'!$A:$A,'DRE 2021'!AH$1,'Dados Mov Financeira'!$B:$B,'DRE 2021'!AH$2)</f>
        <v>0</v>
      </c>
      <c r="AI38" s="91" t="n">
        <f aca="false">IFERROR(AH38/AH$5,0)</f>
        <v>0</v>
      </c>
      <c r="AK38" s="75" t="n">
        <f aca="false">SUMIFS('Dados Mov Financeira'!$N:$N,'Dados Mov Financeira'!$O:$O,'DRE 2021'!$B38,'Dados Mov Financeira'!$A:$A,'DRE 2021'!AK$1,'Dados Mov Financeira'!$B:$B,'DRE 2021'!AK$2)</f>
        <v>0</v>
      </c>
      <c r="AL38" s="91" t="n">
        <f aca="false">IFERROR(AK38/AK$5,0)</f>
        <v>0</v>
      </c>
      <c r="AN38" s="92" t="n">
        <f aca="false">SUM(D38,G38,J38,M38,P38,S38,V38,Y38,AB38,AE38,AH38,AK38)</f>
        <v>0</v>
      </c>
      <c r="AO38" s="91" t="n">
        <f aca="false">IFERROR(AN38/AN$5,0)</f>
        <v>0</v>
      </c>
      <c r="AQ38" s="93" t="n">
        <f aca="false">AN38/$AR$1</f>
        <v>0</v>
      </c>
      <c r="AR38" s="94" t="n">
        <f aca="false">IFERROR(AQ38/AQ$5,0)</f>
        <v>0</v>
      </c>
    </row>
    <row r="39" customFormat="false" ht="14.25" hidden="false" customHeight="false" outlineLevel="1" collapsed="false">
      <c r="B39" s="89" t="s">
        <v>62</v>
      </c>
      <c r="D39" s="75" t="n">
        <f aca="false">SUMIFS('Dados Mov Financeira'!$N:$N,'Dados Mov Financeira'!$O:$O,'DRE 2021'!$B39,'Dados Mov Financeira'!$A:$A,'DRE 2021'!D$1,'Dados Mov Financeira'!$B:$B,'DRE 2021'!D$2)</f>
        <v>0</v>
      </c>
      <c r="E39" s="91" t="n">
        <f aca="false">IFERROR(D39/D$5,0)</f>
        <v>0</v>
      </c>
      <c r="G39" s="75" t="n">
        <f aca="false">SUMIFS('Dados Mov Financeira'!$N:$N,'Dados Mov Financeira'!$O:$O,'DRE 2021'!$B39,'Dados Mov Financeira'!$A:$A,'DRE 2021'!G$1,'Dados Mov Financeira'!$B:$B,'DRE 2021'!G$2)</f>
        <v>0</v>
      </c>
      <c r="H39" s="91" t="n">
        <f aca="false">IFERROR(G39/G$5,0)</f>
        <v>0</v>
      </c>
      <c r="J39" s="75" t="n">
        <f aca="false">SUMIFS('Dados Mov Financeira'!$N:$N,'Dados Mov Financeira'!$O:$O,'DRE 2021'!$B39,'Dados Mov Financeira'!$A:$A,'DRE 2021'!J$1,'Dados Mov Financeira'!$B:$B,'DRE 2021'!J$2)</f>
        <v>0</v>
      </c>
      <c r="K39" s="91" t="n">
        <f aca="false">IFERROR(J39/J$5,0)</f>
        <v>0</v>
      </c>
      <c r="M39" s="75" t="n">
        <f aca="false">SUMIFS('Dados Mov Financeira'!$N:$N,'Dados Mov Financeira'!$O:$O,'DRE 2021'!$B39,'Dados Mov Financeira'!$A:$A,'DRE 2021'!M$1,'Dados Mov Financeira'!$B:$B,'DRE 2021'!M$2)</f>
        <v>0</v>
      </c>
      <c r="N39" s="91" t="n">
        <f aca="false">IFERROR(M39/M$5,0)</f>
        <v>0</v>
      </c>
      <c r="P39" s="75" t="n">
        <f aca="false">SUMIFS('Dados Mov Financeira'!$N:$N,'Dados Mov Financeira'!$O:$O,'DRE 2021'!$B39,'Dados Mov Financeira'!$A:$A,'DRE 2021'!P$1,'Dados Mov Financeira'!$B:$B,'DRE 2021'!P$2)</f>
        <v>0</v>
      </c>
      <c r="Q39" s="91" t="n">
        <f aca="false">IFERROR(P39/P$5,0)</f>
        <v>0</v>
      </c>
      <c r="S39" s="99" t="n">
        <f aca="false">SUMIFS('Dados Mov Financeira'!$N:$N,'Dados Mov Financeira'!$O:$O,'DRE 2021'!$B39,'Dados Mov Financeira'!$A:$A,'DRE 2021'!S$1,'Dados Mov Financeira'!$B:$B,'DRE 2021'!S$2)</f>
        <v>0</v>
      </c>
      <c r="T39" s="91" t="n">
        <f aca="false">IFERROR(S39/S$5,0)</f>
        <v>0</v>
      </c>
      <c r="V39" s="99" t="n">
        <f aca="false">SUMIFS('Dados Mov Financeira'!$N:$N,'Dados Mov Financeira'!$O:$O,'DRE 2021'!$B39,'Dados Mov Financeira'!$A:$A,'DRE 2021'!V$1,'Dados Mov Financeira'!$B:$B,'DRE 2021'!V$2)</f>
        <v>0</v>
      </c>
      <c r="W39" s="91" t="n">
        <f aca="false">IFERROR(V39/V$5,0)</f>
        <v>0</v>
      </c>
      <c r="Y39" s="99" t="n">
        <f aca="false">SUMIFS('Dados Mov Financeira'!$N:$N,'Dados Mov Financeira'!$O:$O,'DRE 2021'!$B39,'Dados Mov Financeira'!$A:$A,'DRE 2021'!Y$1,'Dados Mov Financeira'!$B:$B,'DRE 2021'!Y$2)</f>
        <v>0</v>
      </c>
      <c r="Z39" s="91" t="n">
        <f aca="false">IFERROR(Y39/Y$5,0)</f>
        <v>0</v>
      </c>
      <c r="AB39" s="99" t="n">
        <f aca="false">SUMIFS('Dados Mov Financeira'!$N:$N,'Dados Mov Financeira'!$O:$O,'DRE 2021'!$B39,'Dados Mov Financeira'!$A:$A,'DRE 2021'!AB$1,'Dados Mov Financeira'!$B:$B,'DRE 2021'!AB$2)</f>
        <v>0</v>
      </c>
      <c r="AC39" s="91" t="n">
        <f aca="false">IFERROR(AB39/AB$5,0)</f>
        <v>0</v>
      </c>
      <c r="AE39" s="99" t="n">
        <f aca="false">SUMIFS('Dados Mov Financeira'!$N:$N,'Dados Mov Financeira'!$O:$O,'DRE 2021'!$B39,'Dados Mov Financeira'!$A:$A,'DRE 2021'!AE$1,'Dados Mov Financeira'!$B:$B,'DRE 2021'!AE$2)</f>
        <v>0</v>
      </c>
      <c r="AF39" s="91" t="n">
        <f aca="false">IFERROR(AE39/AE$5,0)</f>
        <v>0</v>
      </c>
      <c r="AH39" s="99" t="n">
        <f aca="false">SUMIFS('Dados Mov Financeira'!$N:$N,'Dados Mov Financeira'!$O:$O,'DRE 2021'!$B39,'Dados Mov Financeira'!$A:$A,'DRE 2021'!AH$1,'Dados Mov Financeira'!$B:$B,'DRE 2021'!AH$2)</f>
        <v>0</v>
      </c>
      <c r="AI39" s="91" t="n">
        <f aca="false">IFERROR(AH39/AH$5,0)</f>
        <v>0</v>
      </c>
      <c r="AK39" s="99" t="n">
        <f aca="false">SUMIFS('Dados Mov Financeira'!$N:$N,'Dados Mov Financeira'!$O:$O,'DRE 2021'!$B39,'Dados Mov Financeira'!$A:$A,'DRE 2021'!AK$1,'Dados Mov Financeira'!$B:$B,'DRE 2021'!AK$2)</f>
        <v>0</v>
      </c>
      <c r="AL39" s="91" t="n">
        <f aca="false">IFERROR(AK39/AK$5,0)</f>
        <v>0</v>
      </c>
      <c r="AN39" s="92" t="n">
        <f aca="false">SUM(D39,G39,J39,M39,P39,S39,V39,Y39,AB39,AE39,AH39,AK39)</f>
        <v>0</v>
      </c>
      <c r="AO39" s="91" t="n">
        <f aca="false">IFERROR(AN39/AN$5,0)</f>
        <v>0</v>
      </c>
      <c r="AQ39" s="93" t="n">
        <f aca="false">AN39/$AR$1</f>
        <v>0</v>
      </c>
      <c r="AR39" s="94" t="n">
        <f aca="false">IFERROR(AQ39/AQ$5,0)</f>
        <v>0</v>
      </c>
    </row>
    <row r="40" customFormat="false" ht="14.25" hidden="false" customHeight="false" outlineLevel="0" collapsed="false">
      <c r="B40" s="89"/>
      <c r="C40" s="107"/>
      <c r="D40" s="92"/>
      <c r="E40" s="108"/>
      <c r="F40" s="107"/>
      <c r="G40" s="92"/>
      <c r="H40" s="108"/>
      <c r="I40" s="107"/>
      <c r="J40" s="92"/>
      <c r="K40" s="108"/>
      <c r="L40" s="107"/>
      <c r="M40" s="92"/>
      <c r="N40" s="108"/>
      <c r="O40" s="107"/>
      <c r="P40" s="92"/>
      <c r="Q40" s="108"/>
      <c r="R40" s="107"/>
      <c r="S40" s="92"/>
      <c r="T40" s="108"/>
      <c r="U40" s="107"/>
      <c r="V40" s="92"/>
      <c r="W40" s="108"/>
      <c r="X40" s="107"/>
      <c r="Y40" s="92"/>
      <c r="Z40" s="108"/>
      <c r="AA40" s="107"/>
      <c r="AB40" s="92"/>
      <c r="AC40" s="108"/>
      <c r="AD40" s="107"/>
      <c r="AE40" s="92"/>
      <c r="AF40" s="108"/>
      <c r="AG40" s="107"/>
      <c r="AH40" s="92"/>
      <c r="AI40" s="108"/>
      <c r="AJ40" s="107"/>
      <c r="AK40" s="92"/>
      <c r="AL40" s="108"/>
      <c r="AM40" s="107"/>
      <c r="AN40" s="92"/>
      <c r="AO40" s="108"/>
      <c r="AP40" s="107"/>
      <c r="AQ40" s="93"/>
      <c r="AR40" s="108"/>
      <c r="AS40" s="107"/>
    </row>
    <row r="41" s="57" customFormat="true" ht="14.25" hidden="false" customHeight="true" outlineLevel="0" collapsed="false">
      <c r="B41" s="48"/>
      <c r="C41" s="58"/>
      <c r="D41" s="59"/>
      <c r="E41" s="60"/>
      <c r="F41" s="58"/>
      <c r="G41" s="59"/>
      <c r="H41" s="60"/>
      <c r="I41" s="58"/>
      <c r="J41" s="59"/>
      <c r="K41" s="60"/>
      <c r="L41" s="58"/>
      <c r="M41" s="59"/>
      <c r="N41" s="60"/>
      <c r="O41" s="58"/>
      <c r="P41" s="59"/>
      <c r="Q41" s="60"/>
      <c r="R41" s="58"/>
      <c r="S41" s="59"/>
      <c r="T41" s="60"/>
      <c r="U41" s="58"/>
      <c r="V41" s="59"/>
      <c r="W41" s="60"/>
      <c r="X41" s="58"/>
      <c r="Y41" s="59"/>
      <c r="Z41" s="60"/>
      <c r="AA41" s="58"/>
      <c r="AB41" s="59"/>
      <c r="AC41" s="60"/>
      <c r="AD41" s="58"/>
      <c r="AE41" s="59"/>
      <c r="AF41" s="60"/>
      <c r="AG41" s="58"/>
      <c r="AH41" s="59"/>
      <c r="AI41" s="60"/>
      <c r="AJ41" s="58"/>
      <c r="AK41" s="59"/>
      <c r="AL41" s="60"/>
      <c r="AM41" s="58"/>
      <c r="AN41" s="59"/>
      <c r="AO41" s="60"/>
      <c r="AP41" s="58"/>
      <c r="AQ41" s="61"/>
      <c r="AR41" s="60"/>
      <c r="AS41" s="58"/>
    </row>
    <row r="42" s="63" customFormat="true" ht="20.85" hidden="false" customHeight="false" outlineLevel="0" collapsed="false">
      <c r="A42" s="36"/>
      <c r="B42" s="102" t="s">
        <v>63</v>
      </c>
      <c r="D42" s="103" t="n">
        <f aca="false">SUM(D33,D35)</f>
        <v>0</v>
      </c>
      <c r="E42" s="104" t="n">
        <f aca="false">IFERROR(D42/D$5,0)</f>
        <v>0</v>
      </c>
      <c r="G42" s="103" t="n">
        <f aca="false">SUM(G33,G35)</f>
        <v>0</v>
      </c>
      <c r="H42" s="104" t="n">
        <f aca="false">IFERROR(G42/G$5,0)</f>
        <v>0</v>
      </c>
      <c r="J42" s="103" t="n">
        <f aca="false">SUM(J33,J35)</f>
        <v>0</v>
      </c>
      <c r="K42" s="104" t="n">
        <f aca="false">IFERROR(J42/J$5,0)</f>
        <v>0</v>
      </c>
      <c r="M42" s="103" t="n">
        <f aca="false">SUM(M33,M35)</f>
        <v>0</v>
      </c>
      <c r="N42" s="104" t="n">
        <f aca="false">IFERROR(M42/M$5,0)</f>
        <v>0</v>
      </c>
      <c r="P42" s="103" t="n">
        <f aca="false">SUM(P33,P35)</f>
        <v>0</v>
      </c>
      <c r="Q42" s="104" t="n">
        <f aca="false">IFERROR(P42/P$5,0)</f>
        <v>0</v>
      </c>
      <c r="S42" s="103" t="n">
        <f aca="false">SUM(S33,S35)</f>
        <v>0</v>
      </c>
      <c r="T42" s="104" t="n">
        <f aca="false">IFERROR(S42/S$5,0)</f>
        <v>0</v>
      </c>
      <c r="V42" s="103" t="n">
        <f aca="false">SUM(V33,V35)</f>
        <v>0</v>
      </c>
      <c r="W42" s="104" t="n">
        <f aca="false">IFERROR(V42/V$5,0)</f>
        <v>0</v>
      </c>
      <c r="Y42" s="103" t="n">
        <f aca="false">SUM(Y33,Y35)</f>
        <v>0</v>
      </c>
      <c r="Z42" s="104" t="n">
        <f aca="false">IFERROR(Y42/Y$5,0)</f>
        <v>0</v>
      </c>
      <c r="AB42" s="103" t="n">
        <f aca="false">SUM(AB33,AB35)</f>
        <v>0</v>
      </c>
      <c r="AC42" s="104" t="n">
        <f aca="false">IFERROR(AB42/AB$5,0)</f>
        <v>0</v>
      </c>
      <c r="AE42" s="103" t="n">
        <f aca="false">SUM(AE33,AE35)</f>
        <v>0</v>
      </c>
      <c r="AF42" s="104" t="n">
        <f aca="false">IFERROR(AE42/AE$5,0)</f>
        <v>0</v>
      </c>
      <c r="AH42" s="103" t="n">
        <f aca="false">SUM(AH33,AH35)</f>
        <v>0</v>
      </c>
      <c r="AI42" s="104" t="n">
        <f aca="false">IFERROR(AH42/AH$5,0)</f>
        <v>0</v>
      </c>
      <c r="AK42" s="103" t="n">
        <f aca="false">SUM(AK33,AK35)</f>
        <v>0</v>
      </c>
      <c r="AL42" s="104" t="n">
        <f aca="false">IFERROR(AK42/AK$5,0)</f>
        <v>0</v>
      </c>
      <c r="AN42" s="103" t="n">
        <f aca="false">SUM(AN33,AN35)</f>
        <v>0</v>
      </c>
      <c r="AO42" s="104" t="n">
        <f aca="false">IFERROR(AN42/AN$5,0)</f>
        <v>0</v>
      </c>
      <c r="AQ42" s="103" t="n">
        <f aca="false">SUM(AQ33,AQ35)</f>
        <v>0</v>
      </c>
      <c r="AR42" s="104" t="n">
        <f aca="false">IFERROR(AQ42/AQ$5,0)</f>
        <v>0</v>
      </c>
    </row>
    <row r="43" s="57" customFormat="true" ht="7.5" hidden="false" customHeight="true" outlineLevel="0" collapsed="false">
      <c r="B43" s="48"/>
      <c r="C43" s="58"/>
      <c r="D43" s="59"/>
      <c r="E43" s="60"/>
      <c r="F43" s="58"/>
      <c r="G43" s="59"/>
      <c r="H43" s="60"/>
      <c r="I43" s="58"/>
      <c r="J43" s="59"/>
      <c r="K43" s="60"/>
      <c r="L43" s="58"/>
      <c r="M43" s="59"/>
      <c r="N43" s="60"/>
      <c r="O43" s="58"/>
      <c r="P43" s="59"/>
      <c r="Q43" s="60"/>
      <c r="R43" s="58"/>
      <c r="S43" s="59"/>
      <c r="T43" s="60"/>
      <c r="U43" s="58"/>
      <c r="V43" s="59"/>
      <c r="W43" s="60"/>
      <c r="X43" s="58"/>
      <c r="Y43" s="59"/>
      <c r="Z43" s="60"/>
      <c r="AA43" s="58"/>
      <c r="AB43" s="59"/>
      <c r="AC43" s="60"/>
      <c r="AD43" s="58"/>
      <c r="AE43" s="59"/>
      <c r="AF43" s="60"/>
      <c r="AG43" s="58"/>
      <c r="AH43" s="59"/>
      <c r="AI43" s="60"/>
      <c r="AJ43" s="58"/>
      <c r="AK43" s="59"/>
      <c r="AL43" s="60"/>
      <c r="AM43" s="58"/>
      <c r="AN43" s="59"/>
      <c r="AO43" s="60"/>
      <c r="AP43" s="58"/>
      <c r="AQ43" s="61"/>
      <c r="AR43" s="60"/>
      <c r="AS43" s="58"/>
    </row>
    <row r="44" s="63" customFormat="true" ht="17.35" hidden="false" customHeight="false" outlineLevel="0" collapsed="false">
      <c r="A44" s="36"/>
      <c r="B44" s="79" t="s">
        <v>64</v>
      </c>
      <c r="D44" s="80" t="n">
        <f aca="false">SUM(D45,D78,D96,D101)</f>
        <v>0</v>
      </c>
      <c r="E44" s="81" t="n">
        <f aca="false">IFERROR(D44/D$5,0)</f>
        <v>0</v>
      </c>
      <c r="G44" s="80" t="n">
        <f aca="false">SUM(G45,G78,G96,G101)</f>
        <v>0</v>
      </c>
      <c r="H44" s="81" t="n">
        <f aca="false">IFERROR(G44/G$5,0)</f>
        <v>0</v>
      </c>
      <c r="J44" s="80" t="n">
        <f aca="false">SUM(J45,J78,J96,J101)</f>
        <v>0</v>
      </c>
      <c r="K44" s="81" t="n">
        <f aca="false">IFERROR(J44/J$5,0)</f>
        <v>0</v>
      </c>
      <c r="M44" s="80" t="n">
        <f aca="false">SUM(M45,M78,M96,M101)</f>
        <v>0</v>
      </c>
      <c r="N44" s="81" t="n">
        <f aca="false">IFERROR(M44/M$5,0)</f>
        <v>0</v>
      </c>
      <c r="P44" s="80" t="n">
        <f aca="false">SUM(P45,P78,P96,P101)</f>
        <v>0</v>
      </c>
      <c r="Q44" s="81" t="n">
        <f aca="false">IFERROR(P44/P$5,0)</f>
        <v>0</v>
      </c>
      <c r="S44" s="80" t="n">
        <f aca="false">SUM(S45,S78,S96,S101)</f>
        <v>0</v>
      </c>
      <c r="T44" s="81" t="n">
        <f aca="false">IFERROR(S44/S$5,0)</f>
        <v>0</v>
      </c>
      <c r="V44" s="80" t="n">
        <f aca="false">SUM(V45,V78,V96,V101)</f>
        <v>0</v>
      </c>
      <c r="W44" s="81" t="n">
        <f aca="false">IFERROR(V44/V$5,0)</f>
        <v>0</v>
      </c>
      <c r="Y44" s="80" t="n">
        <f aca="false">SUM(Y45,Y78,Y96,Y101)</f>
        <v>0</v>
      </c>
      <c r="Z44" s="81" t="n">
        <f aca="false">IFERROR(Y44/Y$5,0)</f>
        <v>0</v>
      </c>
      <c r="AB44" s="80" t="n">
        <f aca="false">SUM(AB45,AB78,AB96,AB101)</f>
        <v>0</v>
      </c>
      <c r="AC44" s="81" t="n">
        <f aca="false">IFERROR(AB44/AB$5,0)</f>
        <v>0</v>
      </c>
      <c r="AE44" s="80" t="n">
        <f aca="false">SUM(AE45,AE78,AE96,AE101)</f>
        <v>0</v>
      </c>
      <c r="AF44" s="81" t="n">
        <f aca="false">IFERROR(AE44/AE$5,0)</f>
        <v>0</v>
      </c>
      <c r="AH44" s="80" t="n">
        <f aca="false">SUM(AH45,AH78,AH96,AH101)</f>
        <v>0</v>
      </c>
      <c r="AI44" s="81" t="n">
        <f aca="false">IFERROR(AH44/AH$5,0)</f>
        <v>0</v>
      </c>
      <c r="AK44" s="80" t="n">
        <f aca="false">SUM(AK45,AK78,AK96,AK101)</f>
        <v>0</v>
      </c>
      <c r="AL44" s="81" t="n">
        <f aca="false">IFERROR(AK44/AK$5,0)</f>
        <v>0</v>
      </c>
      <c r="AN44" s="80" t="n">
        <f aca="false">SUM(AN45,AN78,AN96,AN101)</f>
        <v>0</v>
      </c>
      <c r="AO44" s="81" t="n">
        <f aca="false">IFERROR(AN44/AN$5,0)</f>
        <v>0</v>
      </c>
      <c r="AQ44" s="82" t="n">
        <f aca="false">SUM(AQ45,AQ78,AQ96,AQ101)</f>
        <v>0</v>
      </c>
      <c r="AR44" s="83" t="n">
        <f aca="false">IFERROR(AQ44/AQ$5,0)</f>
        <v>0</v>
      </c>
    </row>
    <row r="45" s="63" customFormat="true" ht="14.25" hidden="false" customHeight="false" outlineLevel="0" collapsed="false">
      <c r="B45" s="106" t="s">
        <v>65</v>
      </c>
      <c r="D45" s="75" t="n">
        <f aca="false">SUM(D46:D77)</f>
        <v>0</v>
      </c>
      <c r="E45" s="109" t="n">
        <f aca="false">IFERROR(D45/D$5,0)</f>
        <v>0</v>
      </c>
      <c r="G45" s="75" t="n">
        <f aca="false">SUM(G46:G77)</f>
        <v>0</v>
      </c>
      <c r="H45" s="109" t="n">
        <f aca="false">IFERROR(G45/G$5,0)</f>
        <v>0</v>
      </c>
      <c r="J45" s="75" t="n">
        <f aca="false">SUM(J46:J77)</f>
        <v>0</v>
      </c>
      <c r="K45" s="109" t="n">
        <f aca="false">IFERROR(J45/J$5,0)</f>
        <v>0</v>
      </c>
      <c r="M45" s="75" t="n">
        <f aca="false">SUM(M46:M77)</f>
        <v>0</v>
      </c>
      <c r="N45" s="109" t="n">
        <f aca="false">IFERROR(M45/M$5,0)</f>
        <v>0</v>
      </c>
      <c r="P45" s="75" t="n">
        <f aca="false">SUM(P46:P77)</f>
        <v>0</v>
      </c>
      <c r="Q45" s="109" t="n">
        <f aca="false">IFERROR(P45/P$5,0)</f>
        <v>0</v>
      </c>
      <c r="S45" s="75" t="n">
        <f aca="false">SUM(S46:S77)</f>
        <v>0</v>
      </c>
      <c r="T45" s="109" t="n">
        <f aca="false">IFERROR(S45/S$5,0)</f>
        <v>0</v>
      </c>
      <c r="V45" s="75" t="n">
        <f aca="false">SUM(V46:V77)</f>
        <v>0</v>
      </c>
      <c r="W45" s="109" t="n">
        <f aca="false">IFERROR(V45/V$5,0)</f>
        <v>0</v>
      </c>
      <c r="Y45" s="75" t="n">
        <f aca="false">SUM(Y46:Y77)</f>
        <v>0</v>
      </c>
      <c r="Z45" s="109" t="n">
        <f aca="false">IFERROR(Y45/Y$5,0)</f>
        <v>0</v>
      </c>
      <c r="AB45" s="75" t="n">
        <f aca="false">SUM(AB46:AB77)</f>
        <v>0</v>
      </c>
      <c r="AC45" s="109" t="n">
        <f aca="false">IFERROR(AB45/AB$5,0)</f>
        <v>0</v>
      </c>
      <c r="AE45" s="75" t="n">
        <f aca="false">SUM(AE46:AE77)</f>
        <v>0</v>
      </c>
      <c r="AF45" s="109" t="n">
        <f aca="false">IFERROR(AE45/AE$5,0)</f>
        <v>0</v>
      </c>
      <c r="AH45" s="75" t="n">
        <f aca="false">SUM(AH46:AH77)</f>
        <v>0</v>
      </c>
      <c r="AI45" s="109" t="n">
        <f aca="false">IFERROR(AH45/AH$5,0)</f>
        <v>0</v>
      </c>
      <c r="AK45" s="75" t="n">
        <f aca="false">SUM(AK46:AK77)</f>
        <v>0</v>
      </c>
      <c r="AL45" s="109" t="n">
        <f aca="false">IFERROR(AK45/AK$5,0)</f>
        <v>0</v>
      </c>
      <c r="AN45" s="75" t="n">
        <f aca="false">SUM(D45,G45,J45,M45,P45,S45,V45,Y45,AB45,AE45,AH45,AK45)</f>
        <v>0</v>
      </c>
      <c r="AO45" s="88" t="n">
        <f aca="false">IFERROR(AN45/AN$5,0)</f>
        <v>0</v>
      </c>
      <c r="AQ45" s="77" t="n">
        <f aca="false">AN45/$AR$1</f>
        <v>0</v>
      </c>
      <c r="AR45" s="76" t="n">
        <f aca="false">IFERROR(AQ45/AQ$5,0)</f>
        <v>0</v>
      </c>
    </row>
    <row r="46" customFormat="false" ht="15.75" hidden="true" customHeight="true" outlineLevel="1" collapsed="false">
      <c r="B46" s="89" t="s">
        <v>66</v>
      </c>
      <c r="D46" s="75" t="n">
        <f aca="false">SUMIFS('Dados Mov Financeira'!$N:$N,'Dados Mov Financeira'!$O:$O,'DRE 2021'!$B46,'Dados Mov Financeira'!$A:$A,'DRE 2021'!D$1,'Dados Mov Financeira'!$B:$B,'DRE 2021'!D$2)</f>
        <v>0</v>
      </c>
      <c r="E46" s="91" t="n">
        <f aca="false">IFERROR(D46/D$5,0)</f>
        <v>0</v>
      </c>
      <c r="G46" s="75" t="n">
        <f aca="false">SUMIFS('Dados Mov Financeira'!$N:$N,'Dados Mov Financeira'!$O:$O,'DRE 2021'!$B46,'Dados Mov Financeira'!$A:$A,'DRE 2021'!G$1,'Dados Mov Financeira'!$B:$B,'DRE 2021'!G$2)</f>
        <v>0</v>
      </c>
      <c r="H46" s="91" t="n">
        <f aca="false">IFERROR(G46/G$5,0)</f>
        <v>0</v>
      </c>
      <c r="J46" s="75" t="n">
        <f aca="false">SUMIFS('Dados Mov Financeira'!$N:$N,'Dados Mov Financeira'!$O:$O,'DRE 2021'!$B46,'Dados Mov Financeira'!$A:$A,'DRE 2021'!J$1,'Dados Mov Financeira'!$B:$B,'DRE 2021'!J$2)</f>
        <v>0</v>
      </c>
      <c r="K46" s="91" t="n">
        <f aca="false">IFERROR(J46/J$5,0)</f>
        <v>0</v>
      </c>
      <c r="M46" s="75" t="n">
        <f aca="false">SUMIFS('Dados Mov Financeira'!$N:$N,'Dados Mov Financeira'!$O:$O,'DRE 2021'!$B46,'Dados Mov Financeira'!$A:$A,'DRE 2021'!M$1,'Dados Mov Financeira'!$B:$B,'DRE 2021'!M$2)</f>
        <v>0</v>
      </c>
      <c r="N46" s="91" t="n">
        <f aca="false">IFERROR(M46/M$5,0)</f>
        <v>0</v>
      </c>
      <c r="P46" s="99" t="n">
        <f aca="false">SUMIFS('Dados Mov Financeira'!$N:$N,'Dados Mov Financeira'!$O:$O,'DRE 2021'!$B46,'Dados Mov Financeira'!$A:$A,'DRE 2021'!P$1,'Dados Mov Financeira'!$B:$B,'DRE 2021'!P$2)</f>
        <v>0</v>
      </c>
      <c r="Q46" s="91" t="n">
        <f aca="false">IFERROR(P46/P$5,0)</f>
        <v>0</v>
      </c>
      <c r="S46" s="99" t="n">
        <f aca="false">SUMIFS('Dados Mov Financeira'!$N:$N,'Dados Mov Financeira'!$O:$O,'DRE 2021'!$B46,'Dados Mov Financeira'!$A:$A,'DRE 2021'!S$1,'Dados Mov Financeira'!$B:$B,'DRE 2021'!S$2)</f>
        <v>0</v>
      </c>
      <c r="T46" s="91" t="n">
        <f aca="false">IFERROR(S46/S$5,0)</f>
        <v>0</v>
      </c>
      <c r="V46" s="99" t="n">
        <f aca="false">SUMIFS('Dados Mov Financeira'!$N:$N,'Dados Mov Financeira'!$O:$O,'DRE 2021'!$B46,'Dados Mov Financeira'!$A:$A,'DRE 2021'!V$1,'Dados Mov Financeira'!$B:$B,'DRE 2021'!V$2)</f>
        <v>0</v>
      </c>
      <c r="W46" s="91" t="n">
        <f aca="false">IFERROR(V46/V$5,0)</f>
        <v>0</v>
      </c>
      <c r="Y46" s="99" t="n">
        <f aca="false">SUMIFS('Dados Mov Financeira'!$N:$N,'Dados Mov Financeira'!$O:$O,'DRE 2021'!$B46,'Dados Mov Financeira'!$A:$A,'DRE 2021'!Y$1,'Dados Mov Financeira'!$B:$B,'DRE 2021'!Y$2)</f>
        <v>0</v>
      </c>
      <c r="Z46" s="91" t="n">
        <f aca="false">IFERROR(Y46/Y$5,0)</f>
        <v>0</v>
      </c>
      <c r="AB46" s="99" t="n">
        <f aca="false">SUMIFS('Dados Mov Financeira'!$N:$N,'Dados Mov Financeira'!$O:$O,'DRE 2021'!$B46,'Dados Mov Financeira'!$A:$A,'DRE 2021'!AB$1,'Dados Mov Financeira'!$B:$B,'DRE 2021'!AB$2)</f>
        <v>0</v>
      </c>
      <c r="AC46" s="91" t="n">
        <f aca="false">IFERROR(AB46/AB$5,0)</f>
        <v>0</v>
      </c>
      <c r="AE46" s="99" t="n">
        <f aca="false">SUMIFS('Dados Mov Financeira'!$N:$N,'Dados Mov Financeira'!$O:$O,'DRE 2021'!$B46,'Dados Mov Financeira'!$A:$A,'DRE 2021'!AE$1,'Dados Mov Financeira'!$B:$B,'DRE 2021'!AE$2)</f>
        <v>0</v>
      </c>
      <c r="AF46" s="91" t="n">
        <f aca="false">IFERROR(AE46/AE$5,0)</f>
        <v>0</v>
      </c>
      <c r="AH46" s="99" t="n">
        <f aca="false">SUMIFS('Dados Mov Financeira'!$N:$N,'Dados Mov Financeira'!$O:$O,'DRE 2021'!$B46,'Dados Mov Financeira'!$A:$A,'DRE 2021'!AH$1,'Dados Mov Financeira'!$B:$B,'DRE 2021'!AH$2)</f>
        <v>0</v>
      </c>
      <c r="AI46" s="91" t="n">
        <f aca="false">IFERROR(AH46/AH$5,0)</f>
        <v>0</v>
      </c>
      <c r="AK46" s="99" t="n">
        <f aca="false">SUMIFS('Dados Mov Financeira'!$N:$N,'Dados Mov Financeira'!$O:$O,'DRE 2021'!$B46,'Dados Mov Financeira'!$A:$A,'DRE 2021'!AK$1,'Dados Mov Financeira'!$B:$B,'DRE 2021'!AK$2)</f>
        <v>0</v>
      </c>
      <c r="AL46" s="91" t="n">
        <f aca="false">IFERROR(AK46/AK$5,0)</f>
        <v>0</v>
      </c>
      <c r="AN46" s="92" t="n">
        <f aca="false">SUM(D46,G46,J46,M46,P46,S46,V46,Y46,AB46,AE46,AH46,AK46)</f>
        <v>0</v>
      </c>
      <c r="AO46" s="91" t="n">
        <f aca="false">IFERROR(AN46/AN$5,0)</f>
        <v>0</v>
      </c>
      <c r="AQ46" s="93" t="n">
        <f aca="false">AN46/$AR$1</f>
        <v>0</v>
      </c>
      <c r="AR46" s="94" t="n">
        <f aca="false">IFERROR(AQ46/AQ$5,0)</f>
        <v>0</v>
      </c>
    </row>
    <row r="47" customFormat="false" ht="15.75" hidden="true" customHeight="true" outlineLevel="1" collapsed="false">
      <c r="B47" s="89" t="s">
        <v>67</v>
      </c>
      <c r="D47" s="75" t="n">
        <f aca="false">SUMIFS('Dados Mov Financeira'!$N:$N,'Dados Mov Financeira'!$O:$O,'DRE 2021'!$B47,'Dados Mov Financeira'!$A:$A,'DRE 2021'!D$1,'Dados Mov Financeira'!$B:$B,'DRE 2021'!D$2)</f>
        <v>0</v>
      </c>
      <c r="E47" s="91" t="n">
        <f aca="false">IFERROR(D47/D$5,0)</f>
        <v>0</v>
      </c>
      <c r="G47" s="75" t="n">
        <f aca="false">SUMIFS('Dados Mov Financeira'!$N:$N,'Dados Mov Financeira'!$O:$O,'DRE 2021'!$B47,'Dados Mov Financeira'!$A:$A,'DRE 2021'!G$1,'Dados Mov Financeira'!$B:$B,'DRE 2021'!G$2)</f>
        <v>0</v>
      </c>
      <c r="H47" s="91" t="n">
        <f aca="false">IFERROR(G47/G$5,0)</f>
        <v>0</v>
      </c>
      <c r="J47" s="75" t="n">
        <f aca="false">SUMIFS('Dados Mov Financeira'!$N:$N,'Dados Mov Financeira'!$O:$O,'DRE 2021'!$B47,'Dados Mov Financeira'!$A:$A,'DRE 2021'!J$1,'Dados Mov Financeira'!$B:$B,'DRE 2021'!J$2)</f>
        <v>0</v>
      </c>
      <c r="K47" s="91" t="n">
        <f aca="false">IFERROR(J47/J$5,0)</f>
        <v>0</v>
      </c>
      <c r="M47" s="75" t="n">
        <f aca="false">SUMIFS('Dados Mov Financeira'!$N:$N,'Dados Mov Financeira'!$O:$O,'DRE 2021'!$B47,'Dados Mov Financeira'!$A:$A,'DRE 2021'!M$1,'Dados Mov Financeira'!$B:$B,'DRE 2021'!M$2)</f>
        <v>0</v>
      </c>
      <c r="N47" s="91" t="n">
        <f aca="false">IFERROR(M47/M$5,0)</f>
        <v>0</v>
      </c>
      <c r="P47" s="75" t="n">
        <f aca="false">SUMIFS('Dados Mov Financeira'!$N:$N,'Dados Mov Financeira'!$O:$O,'DRE 2021'!$B47,'Dados Mov Financeira'!$A:$A,'DRE 2021'!P$1,'Dados Mov Financeira'!$B:$B,'DRE 2021'!P$2)</f>
        <v>0</v>
      </c>
      <c r="Q47" s="91" t="n">
        <f aca="false">IFERROR(P47/P$5,0)</f>
        <v>0</v>
      </c>
      <c r="S47" s="75" t="n">
        <f aca="false">SUMIFS('Dados Mov Financeira'!$N:$N,'Dados Mov Financeira'!$O:$O,'DRE 2021'!$B47,'Dados Mov Financeira'!$A:$A,'DRE 2021'!S$1,'Dados Mov Financeira'!$B:$B,'DRE 2021'!S$2)</f>
        <v>0</v>
      </c>
      <c r="T47" s="91" t="n">
        <f aca="false">IFERROR(S47/S$5,0)</f>
        <v>0</v>
      </c>
      <c r="V47" s="75" t="n">
        <f aca="false">SUMIFS('Dados Mov Financeira'!$N:$N,'Dados Mov Financeira'!$O:$O,'DRE 2021'!$B47,'Dados Mov Financeira'!$A:$A,'DRE 2021'!V$1,'Dados Mov Financeira'!$B:$B,'DRE 2021'!V$2)</f>
        <v>0</v>
      </c>
      <c r="W47" s="91" t="n">
        <f aca="false">IFERROR(V47/V$5,0)</f>
        <v>0</v>
      </c>
      <c r="Y47" s="75" t="n">
        <f aca="false">SUMIFS('Dados Mov Financeira'!$N:$N,'Dados Mov Financeira'!$O:$O,'DRE 2021'!$B47,'Dados Mov Financeira'!$A:$A,'DRE 2021'!Y$1,'Dados Mov Financeira'!$B:$B,'DRE 2021'!Y$2)</f>
        <v>0</v>
      </c>
      <c r="Z47" s="91" t="n">
        <f aca="false">IFERROR(Y47/Y$5,0)</f>
        <v>0</v>
      </c>
      <c r="AB47" s="75" t="n">
        <f aca="false">SUMIFS('Dados Mov Financeira'!$N:$N,'Dados Mov Financeira'!$O:$O,'DRE 2021'!$B47,'Dados Mov Financeira'!$A:$A,'DRE 2021'!AB$1,'Dados Mov Financeira'!$B:$B,'DRE 2021'!AB$2)</f>
        <v>0</v>
      </c>
      <c r="AC47" s="91" t="n">
        <f aca="false">IFERROR(AB47/AB$5,0)</f>
        <v>0</v>
      </c>
      <c r="AE47" s="75" t="n">
        <f aca="false">SUMIFS('Dados Mov Financeira'!$N:$N,'Dados Mov Financeira'!$O:$O,'DRE 2021'!$B47,'Dados Mov Financeira'!$A:$A,'DRE 2021'!AE$1,'Dados Mov Financeira'!$B:$B,'DRE 2021'!AE$2)</f>
        <v>0</v>
      </c>
      <c r="AF47" s="91" t="n">
        <f aca="false">IFERROR(AE47/AE$5,0)</f>
        <v>0</v>
      </c>
      <c r="AH47" s="75" t="n">
        <f aca="false">SUMIFS('Dados Mov Financeira'!$N:$N,'Dados Mov Financeira'!$O:$O,'DRE 2021'!$B47,'Dados Mov Financeira'!$A:$A,'DRE 2021'!AH$1,'Dados Mov Financeira'!$B:$B,'DRE 2021'!AH$2)</f>
        <v>0</v>
      </c>
      <c r="AI47" s="91" t="n">
        <f aca="false">IFERROR(AH47/AH$5,0)</f>
        <v>0</v>
      </c>
      <c r="AK47" s="75" t="n">
        <f aca="false">SUMIFS('Dados Mov Financeira'!$N:$N,'Dados Mov Financeira'!$O:$O,'DRE 2021'!$B47,'Dados Mov Financeira'!$A:$A,'DRE 2021'!AK$1,'Dados Mov Financeira'!$B:$B,'DRE 2021'!AK$2)</f>
        <v>0</v>
      </c>
      <c r="AL47" s="91" t="n">
        <f aca="false">IFERROR(AK47/AK$5,0)</f>
        <v>0</v>
      </c>
      <c r="AN47" s="92" t="n">
        <f aca="false">SUM(D47,G47,J47,M47,P47,S47,V47,Y47,AB47,AE47,AH47,AK47)</f>
        <v>0</v>
      </c>
      <c r="AO47" s="91" t="n">
        <f aca="false">IFERROR(AN47/AN$5,0)</f>
        <v>0</v>
      </c>
      <c r="AQ47" s="93" t="n">
        <f aca="false">AN47/$AR$1</f>
        <v>0</v>
      </c>
      <c r="AR47" s="94" t="n">
        <f aca="false">IFERROR(AQ47/AQ$5,0)</f>
        <v>0</v>
      </c>
    </row>
    <row r="48" customFormat="false" ht="15.75" hidden="true" customHeight="true" outlineLevel="1" collapsed="false">
      <c r="B48" s="89" t="s">
        <v>68</v>
      </c>
      <c r="D48" s="75" t="n">
        <f aca="false">SUMIFS('Dados Mov Financeira'!$N:$N,'Dados Mov Financeira'!$O:$O,'DRE 2021'!$B48,'Dados Mov Financeira'!$A:$A,'DRE 2021'!D$1,'Dados Mov Financeira'!$B:$B,'DRE 2021'!D$2)</f>
        <v>0</v>
      </c>
      <c r="E48" s="91" t="n">
        <f aca="false">IFERROR(D48/D$5,0)</f>
        <v>0</v>
      </c>
      <c r="G48" s="75" t="n">
        <f aca="false">SUMIFS('Dados Mov Financeira'!$N:$N,'Dados Mov Financeira'!$O:$O,'DRE 2021'!$B48,'Dados Mov Financeira'!$A:$A,'DRE 2021'!G$1,'Dados Mov Financeira'!$B:$B,'DRE 2021'!G$2)</f>
        <v>0</v>
      </c>
      <c r="H48" s="91" t="n">
        <f aca="false">IFERROR(G48/G$5,0)</f>
        <v>0</v>
      </c>
      <c r="J48" s="75" t="n">
        <f aca="false">SUMIFS('Dados Mov Financeira'!$N:$N,'Dados Mov Financeira'!$O:$O,'DRE 2021'!$B48,'Dados Mov Financeira'!$A:$A,'DRE 2021'!J$1,'Dados Mov Financeira'!$B:$B,'DRE 2021'!J$2)</f>
        <v>0</v>
      </c>
      <c r="K48" s="91" t="n">
        <f aca="false">IFERROR(J48/J$5,0)</f>
        <v>0</v>
      </c>
      <c r="M48" s="75" t="n">
        <f aca="false">SUMIFS('Dados Mov Financeira'!$N:$N,'Dados Mov Financeira'!$O:$O,'DRE 2021'!$B48,'Dados Mov Financeira'!$A:$A,'DRE 2021'!M$1,'Dados Mov Financeira'!$B:$B,'DRE 2021'!M$2)</f>
        <v>0</v>
      </c>
      <c r="N48" s="91" t="n">
        <f aca="false">IFERROR(M48/M$5,0)</f>
        <v>0</v>
      </c>
      <c r="P48" s="75" t="n">
        <f aca="false">SUMIFS('Dados Mov Financeira'!$N:$N,'Dados Mov Financeira'!$O:$O,'DRE 2021'!$B48,'Dados Mov Financeira'!$A:$A,'DRE 2021'!P$1,'Dados Mov Financeira'!$B:$B,'DRE 2021'!P$2)</f>
        <v>0</v>
      </c>
      <c r="Q48" s="91" t="n">
        <f aca="false">IFERROR(P48/P$5,0)</f>
        <v>0</v>
      </c>
      <c r="S48" s="75" t="n">
        <f aca="false">SUMIFS('Dados Mov Financeira'!$N:$N,'Dados Mov Financeira'!$O:$O,'DRE 2021'!$B48,'Dados Mov Financeira'!$A:$A,'DRE 2021'!S$1,'Dados Mov Financeira'!$B:$B,'DRE 2021'!S$2)</f>
        <v>0</v>
      </c>
      <c r="T48" s="91" t="n">
        <f aca="false">IFERROR(S48/S$5,0)</f>
        <v>0</v>
      </c>
      <c r="V48" s="75" t="n">
        <f aca="false">SUMIFS('Dados Mov Financeira'!$N:$N,'Dados Mov Financeira'!$O:$O,'DRE 2021'!$B48,'Dados Mov Financeira'!$A:$A,'DRE 2021'!V$1,'Dados Mov Financeira'!$B:$B,'DRE 2021'!V$2)</f>
        <v>0</v>
      </c>
      <c r="W48" s="91" t="n">
        <f aca="false">IFERROR(V48/V$5,0)</f>
        <v>0</v>
      </c>
      <c r="Y48" s="75" t="n">
        <f aca="false">SUMIFS('Dados Mov Financeira'!$N:$N,'Dados Mov Financeira'!$O:$O,'DRE 2021'!$B48,'Dados Mov Financeira'!$A:$A,'DRE 2021'!Y$1,'Dados Mov Financeira'!$B:$B,'DRE 2021'!Y$2)</f>
        <v>0</v>
      </c>
      <c r="Z48" s="91" t="n">
        <f aca="false">IFERROR(Y48/Y$5,0)</f>
        <v>0</v>
      </c>
      <c r="AB48" s="75" t="n">
        <f aca="false">SUMIFS('Dados Mov Financeira'!$N:$N,'Dados Mov Financeira'!$O:$O,'DRE 2021'!$B48,'Dados Mov Financeira'!$A:$A,'DRE 2021'!AB$1,'Dados Mov Financeira'!$B:$B,'DRE 2021'!AB$2)</f>
        <v>0</v>
      </c>
      <c r="AC48" s="91" t="n">
        <f aca="false">IFERROR(AB48/AB$5,0)</f>
        <v>0</v>
      </c>
      <c r="AE48" s="75" t="n">
        <f aca="false">SUMIFS('Dados Mov Financeira'!$N:$N,'Dados Mov Financeira'!$O:$O,'DRE 2021'!$B48,'Dados Mov Financeira'!$A:$A,'DRE 2021'!AE$1,'Dados Mov Financeira'!$B:$B,'DRE 2021'!AE$2)</f>
        <v>0</v>
      </c>
      <c r="AF48" s="91" t="n">
        <f aca="false">IFERROR(AE48/AE$5,0)</f>
        <v>0</v>
      </c>
      <c r="AH48" s="75" t="n">
        <f aca="false">SUMIFS('Dados Mov Financeira'!$N:$N,'Dados Mov Financeira'!$O:$O,'DRE 2021'!$B48,'Dados Mov Financeira'!$A:$A,'DRE 2021'!AH$1,'Dados Mov Financeira'!$B:$B,'DRE 2021'!AH$2)</f>
        <v>0</v>
      </c>
      <c r="AI48" s="91" t="n">
        <f aca="false">IFERROR(AH48/AH$5,0)</f>
        <v>0</v>
      </c>
      <c r="AK48" s="75" t="n">
        <f aca="false">SUMIFS('Dados Mov Financeira'!$N:$N,'Dados Mov Financeira'!$O:$O,'DRE 2021'!$B48,'Dados Mov Financeira'!$A:$A,'DRE 2021'!AK$1,'Dados Mov Financeira'!$B:$B,'DRE 2021'!AK$2)</f>
        <v>0</v>
      </c>
      <c r="AL48" s="91" t="n">
        <f aca="false">IFERROR(AK48/AK$5,0)</f>
        <v>0</v>
      </c>
      <c r="AN48" s="92" t="n">
        <f aca="false">SUM(D48,G48,J48,M48,P48,S48,V48,Y48,AB48,AE48,AH48,AK48)</f>
        <v>0</v>
      </c>
      <c r="AO48" s="91" t="n">
        <f aca="false">IFERROR(AN48/AN$5,0)</f>
        <v>0</v>
      </c>
      <c r="AQ48" s="93" t="n">
        <f aca="false">AN48/$AR$1</f>
        <v>0</v>
      </c>
      <c r="AR48" s="94" t="n">
        <f aca="false">IFERROR(AQ48/AQ$5,0)</f>
        <v>0</v>
      </c>
    </row>
    <row r="49" customFormat="false" ht="15.75" hidden="true" customHeight="true" outlineLevel="1" collapsed="false">
      <c r="B49" s="89" t="s">
        <v>69</v>
      </c>
      <c r="D49" s="75" t="n">
        <f aca="false">SUMIFS('Dados Mov Financeira'!$N:$N,'Dados Mov Financeira'!$O:$O,'DRE 2021'!$B49,'Dados Mov Financeira'!$A:$A,'DRE 2021'!D$1,'Dados Mov Financeira'!$B:$B,'DRE 2021'!D$2)</f>
        <v>0</v>
      </c>
      <c r="E49" s="91" t="n">
        <f aca="false">IFERROR(D49/D$5,0)</f>
        <v>0</v>
      </c>
      <c r="G49" s="75" t="n">
        <f aca="false">SUMIFS('Dados Mov Financeira'!$N:$N,'Dados Mov Financeira'!$O:$O,'DRE 2021'!$B49,'Dados Mov Financeira'!$A:$A,'DRE 2021'!G$1,'Dados Mov Financeira'!$B:$B,'DRE 2021'!G$2)</f>
        <v>0</v>
      </c>
      <c r="H49" s="91" t="n">
        <f aca="false">IFERROR(G49/G$5,0)</f>
        <v>0</v>
      </c>
      <c r="J49" s="75" t="n">
        <f aca="false">SUMIFS('Dados Mov Financeira'!$N:$N,'Dados Mov Financeira'!$O:$O,'DRE 2021'!$B49,'Dados Mov Financeira'!$A:$A,'DRE 2021'!J$1,'Dados Mov Financeira'!$B:$B,'DRE 2021'!J$2)</f>
        <v>0</v>
      </c>
      <c r="K49" s="91" t="n">
        <f aca="false">IFERROR(J49/J$5,0)</f>
        <v>0</v>
      </c>
      <c r="M49" s="75" t="n">
        <f aca="false">SUMIFS('Dados Mov Financeira'!$N:$N,'Dados Mov Financeira'!$O:$O,'DRE 2021'!$B49,'Dados Mov Financeira'!$A:$A,'DRE 2021'!M$1,'Dados Mov Financeira'!$B:$B,'DRE 2021'!M$2)</f>
        <v>0</v>
      </c>
      <c r="N49" s="91" t="n">
        <f aca="false">IFERROR(M49/M$5,0)</f>
        <v>0</v>
      </c>
      <c r="P49" s="75" t="n">
        <f aca="false">SUMIFS('Dados Mov Financeira'!$N:$N,'Dados Mov Financeira'!$O:$O,'DRE 2021'!$B49,'Dados Mov Financeira'!$A:$A,'DRE 2021'!P$1,'Dados Mov Financeira'!$B:$B,'DRE 2021'!P$2)</f>
        <v>0</v>
      </c>
      <c r="Q49" s="91" t="n">
        <f aca="false">IFERROR(P49/P$5,0)</f>
        <v>0</v>
      </c>
      <c r="S49" s="75" t="n">
        <f aca="false">SUMIFS('Dados Mov Financeira'!$N:$N,'Dados Mov Financeira'!$O:$O,'DRE 2021'!$B49,'Dados Mov Financeira'!$A:$A,'DRE 2021'!S$1,'Dados Mov Financeira'!$B:$B,'DRE 2021'!S$2)</f>
        <v>0</v>
      </c>
      <c r="T49" s="91" t="n">
        <f aca="false">IFERROR(S49/S$5,0)</f>
        <v>0</v>
      </c>
      <c r="V49" s="75" t="n">
        <f aca="false">SUMIFS('Dados Mov Financeira'!$N:$N,'Dados Mov Financeira'!$O:$O,'DRE 2021'!$B49,'Dados Mov Financeira'!$A:$A,'DRE 2021'!V$1,'Dados Mov Financeira'!$B:$B,'DRE 2021'!V$2)</f>
        <v>0</v>
      </c>
      <c r="W49" s="91" t="n">
        <f aca="false">IFERROR(V49/V$5,0)</f>
        <v>0</v>
      </c>
      <c r="Y49" s="75" t="n">
        <f aca="false">SUMIFS('Dados Mov Financeira'!$N:$N,'Dados Mov Financeira'!$O:$O,'DRE 2021'!$B49,'Dados Mov Financeira'!$A:$A,'DRE 2021'!Y$1,'Dados Mov Financeira'!$B:$B,'DRE 2021'!Y$2)</f>
        <v>0</v>
      </c>
      <c r="Z49" s="91" t="n">
        <f aca="false">IFERROR(Y49/Y$5,0)</f>
        <v>0</v>
      </c>
      <c r="AB49" s="75" t="n">
        <f aca="false">SUMIFS('Dados Mov Financeira'!$N:$N,'Dados Mov Financeira'!$O:$O,'DRE 2021'!$B49,'Dados Mov Financeira'!$A:$A,'DRE 2021'!AB$1,'Dados Mov Financeira'!$B:$B,'DRE 2021'!AB$2)</f>
        <v>0</v>
      </c>
      <c r="AC49" s="91" t="n">
        <f aca="false">IFERROR(AB49/AB$5,0)</f>
        <v>0</v>
      </c>
      <c r="AE49" s="75" t="n">
        <f aca="false">SUMIFS('Dados Mov Financeira'!$N:$N,'Dados Mov Financeira'!$O:$O,'DRE 2021'!$B49,'Dados Mov Financeira'!$A:$A,'DRE 2021'!AE$1,'Dados Mov Financeira'!$B:$B,'DRE 2021'!AE$2)</f>
        <v>0</v>
      </c>
      <c r="AF49" s="91" t="n">
        <f aca="false">IFERROR(AE49/AE$5,0)</f>
        <v>0</v>
      </c>
      <c r="AH49" s="75" t="n">
        <f aca="false">SUMIFS('Dados Mov Financeira'!$N:$N,'Dados Mov Financeira'!$O:$O,'DRE 2021'!$B49,'Dados Mov Financeira'!$A:$A,'DRE 2021'!AH$1,'Dados Mov Financeira'!$B:$B,'DRE 2021'!AH$2)</f>
        <v>0</v>
      </c>
      <c r="AI49" s="91" t="n">
        <f aca="false">IFERROR(AH49/AH$5,0)</f>
        <v>0</v>
      </c>
      <c r="AK49" s="75" t="n">
        <f aca="false">SUMIFS('Dados Mov Financeira'!$N:$N,'Dados Mov Financeira'!$O:$O,'DRE 2021'!$B49,'Dados Mov Financeira'!$A:$A,'DRE 2021'!AK$1,'Dados Mov Financeira'!$B:$B,'DRE 2021'!AK$2)</f>
        <v>0</v>
      </c>
      <c r="AL49" s="91" t="n">
        <f aca="false">IFERROR(AK49/AK$5,0)</f>
        <v>0</v>
      </c>
      <c r="AN49" s="92" t="n">
        <f aca="false">SUM(D49,G49,J49,M49,P49,S49,V49,Y49,AB49,AE49,AH49,AK49)</f>
        <v>0</v>
      </c>
      <c r="AO49" s="91" t="n">
        <f aca="false">IFERROR(AN49/AN$5,0)</f>
        <v>0</v>
      </c>
      <c r="AQ49" s="93" t="n">
        <f aca="false">AN49/$AR$1</f>
        <v>0</v>
      </c>
      <c r="AR49" s="94" t="n">
        <f aca="false">IFERROR(AQ49/AQ$5,0)</f>
        <v>0</v>
      </c>
    </row>
    <row r="50" customFormat="false" ht="15.75" hidden="true" customHeight="true" outlineLevel="1" collapsed="false">
      <c r="B50" s="89" t="s">
        <v>70</v>
      </c>
      <c r="D50" s="75" t="n">
        <f aca="false">SUMIFS('Dados Mov Financeira'!$N:$N,'Dados Mov Financeira'!$O:$O,'DRE 2021'!$B50,'Dados Mov Financeira'!$A:$A,'DRE 2021'!D$1,'Dados Mov Financeira'!$B:$B,'DRE 2021'!D$2)</f>
        <v>0</v>
      </c>
      <c r="E50" s="91" t="n">
        <f aca="false">IFERROR(D50/D$5,0)</f>
        <v>0</v>
      </c>
      <c r="G50" s="75" t="n">
        <f aca="false">SUMIFS('Dados Mov Financeira'!$N:$N,'Dados Mov Financeira'!$O:$O,'DRE 2021'!$B50,'Dados Mov Financeira'!$A:$A,'DRE 2021'!G$1,'Dados Mov Financeira'!$B:$B,'DRE 2021'!G$2)</f>
        <v>0</v>
      </c>
      <c r="H50" s="91" t="n">
        <f aca="false">IFERROR(G50/G$5,0)</f>
        <v>0</v>
      </c>
      <c r="J50" s="75" t="n">
        <f aca="false">SUMIFS('Dados Mov Financeira'!$N:$N,'Dados Mov Financeira'!$O:$O,'DRE 2021'!$B50,'Dados Mov Financeira'!$A:$A,'DRE 2021'!J$1,'Dados Mov Financeira'!$B:$B,'DRE 2021'!J$2)</f>
        <v>0</v>
      </c>
      <c r="K50" s="91" t="n">
        <f aca="false">IFERROR(J50/J$5,0)</f>
        <v>0</v>
      </c>
      <c r="M50" s="75" t="n">
        <f aca="false">SUMIFS('Dados Mov Financeira'!$N:$N,'Dados Mov Financeira'!$O:$O,'DRE 2021'!$B50,'Dados Mov Financeira'!$A:$A,'DRE 2021'!M$1,'Dados Mov Financeira'!$B:$B,'DRE 2021'!M$2)</f>
        <v>0</v>
      </c>
      <c r="N50" s="91" t="n">
        <f aca="false">IFERROR(M50/M$5,0)</f>
        <v>0</v>
      </c>
      <c r="P50" s="75" t="n">
        <f aca="false">SUMIFS('Dados Mov Financeira'!$N:$N,'Dados Mov Financeira'!$O:$O,'DRE 2021'!$B50,'Dados Mov Financeira'!$A:$A,'DRE 2021'!P$1,'Dados Mov Financeira'!$B:$B,'DRE 2021'!P$2)</f>
        <v>0</v>
      </c>
      <c r="Q50" s="91" t="n">
        <f aca="false">IFERROR(P50/P$5,0)</f>
        <v>0</v>
      </c>
      <c r="S50" s="75" t="n">
        <f aca="false">SUMIFS('Dados Mov Financeira'!$N:$N,'Dados Mov Financeira'!$O:$O,'DRE 2021'!$B50,'Dados Mov Financeira'!$A:$A,'DRE 2021'!S$1,'Dados Mov Financeira'!$B:$B,'DRE 2021'!S$2)</f>
        <v>0</v>
      </c>
      <c r="T50" s="91" t="n">
        <f aca="false">IFERROR(S50/S$5,0)</f>
        <v>0</v>
      </c>
      <c r="V50" s="75" t="n">
        <f aca="false">SUMIFS('Dados Mov Financeira'!$N:$N,'Dados Mov Financeira'!$O:$O,'DRE 2021'!$B50,'Dados Mov Financeira'!$A:$A,'DRE 2021'!V$1,'Dados Mov Financeira'!$B:$B,'DRE 2021'!V$2)</f>
        <v>0</v>
      </c>
      <c r="W50" s="91" t="n">
        <f aca="false">IFERROR(V50/V$5,0)</f>
        <v>0</v>
      </c>
      <c r="Y50" s="75" t="n">
        <f aca="false">SUMIFS('Dados Mov Financeira'!$N:$N,'Dados Mov Financeira'!$O:$O,'DRE 2021'!$B50,'Dados Mov Financeira'!$A:$A,'DRE 2021'!Y$1,'Dados Mov Financeira'!$B:$B,'DRE 2021'!Y$2)</f>
        <v>0</v>
      </c>
      <c r="Z50" s="91" t="n">
        <f aca="false">IFERROR(Y50/Y$5,0)</f>
        <v>0</v>
      </c>
      <c r="AB50" s="75" t="n">
        <f aca="false">SUMIFS('Dados Mov Financeira'!$N:$N,'Dados Mov Financeira'!$O:$O,'DRE 2021'!$B50,'Dados Mov Financeira'!$A:$A,'DRE 2021'!AB$1,'Dados Mov Financeira'!$B:$B,'DRE 2021'!AB$2)</f>
        <v>0</v>
      </c>
      <c r="AC50" s="91" t="n">
        <f aca="false">IFERROR(AB50/AB$5,0)</f>
        <v>0</v>
      </c>
      <c r="AE50" s="75" t="n">
        <f aca="false">SUMIFS('Dados Mov Financeira'!$N:$N,'Dados Mov Financeira'!$O:$O,'DRE 2021'!$B50,'Dados Mov Financeira'!$A:$A,'DRE 2021'!AE$1,'Dados Mov Financeira'!$B:$B,'DRE 2021'!AE$2)</f>
        <v>0</v>
      </c>
      <c r="AF50" s="91" t="n">
        <f aca="false">IFERROR(AE50/AE$5,0)</f>
        <v>0</v>
      </c>
      <c r="AH50" s="75" t="n">
        <f aca="false">SUMIFS('Dados Mov Financeira'!$N:$N,'Dados Mov Financeira'!$O:$O,'DRE 2021'!$B50,'Dados Mov Financeira'!$A:$A,'DRE 2021'!AH$1,'Dados Mov Financeira'!$B:$B,'DRE 2021'!AH$2)</f>
        <v>0</v>
      </c>
      <c r="AI50" s="91" t="n">
        <f aca="false">IFERROR(AH50/AH$5,0)</f>
        <v>0</v>
      </c>
      <c r="AK50" s="75" t="n">
        <f aca="false">SUMIFS('Dados Mov Financeira'!$N:$N,'Dados Mov Financeira'!$O:$O,'DRE 2021'!$B50,'Dados Mov Financeira'!$A:$A,'DRE 2021'!AK$1,'Dados Mov Financeira'!$B:$B,'DRE 2021'!AK$2)</f>
        <v>0</v>
      </c>
      <c r="AL50" s="91" t="n">
        <f aca="false">IFERROR(AK50/AK$5,0)</f>
        <v>0</v>
      </c>
      <c r="AN50" s="92" t="n">
        <f aca="false">SUM(D50,G50,J50,M50,P50,S50,V50,Y50,AB50,AE50,AH50,AK50)</f>
        <v>0</v>
      </c>
      <c r="AO50" s="91" t="n">
        <f aca="false">IFERROR(AN50/AN$5,0)</f>
        <v>0</v>
      </c>
      <c r="AQ50" s="93" t="n">
        <f aca="false">AN50/$AR$1</f>
        <v>0</v>
      </c>
      <c r="AR50" s="94" t="n">
        <f aca="false">IFERROR(AQ50/AQ$5,0)</f>
        <v>0</v>
      </c>
    </row>
    <row r="51" customFormat="false" ht="15.75" hidden="true" customHeight="true" outlineLevel="1" collapsed="false">
      <c r="B51" s="89" t="s">
        <v>71</v>
      </c>
      <c r="D51" s="75" t="n">
        <f aca="false">SUMIFS('Dados Mov Financeira'!$N:$N,'Dados Mov Financeira'!$O:$O,'DRE 2021'!$B51,'Dados Mov Financeira'!$A:$A,'DRE 2021'!D$1,'Dados Mov Financeira'!$B:$B,'DRE 2021'!D$2)</f>
        <v>0</v>
      </c>
      <c r="E51" s="91" t="n">
        <f aca="false">IFERROR(D51/D$5,0)</f>
        <v>0</v>
      </c>
      <c r="G51" s="75" t="n">
        <f aca="false">SUMIFS('Dados Mov Financeira'!$N:$N,'Dados Mov Financeira'!$O:$O,'DRE 2021'!$B51,'Dados Mov Financeira'!$A:$A,'DRE 2021'!G$1,'Dados Mov Financeira'!$B:$B,'DRE 2021'!G$2)</f>
        <v>0</v>
      </c>
      <c r="H51" s="91" t="n">
        <f aca="false">IFERROR(G51/G$5,0)</f>
        <v>0</v>
      </c>
      <c r="J51" s="75" t="n">
        <f aca="false">SUMIFS('Dados Mov Financeira'!$N:$N,'Dados Mov Financeira'!$O:$O,'DRE 2021'!$B51,'Dados Mov Financeira'!$A:$A,'DRE 2021'!J$1,'Dados Mov Financeira'!$B:$B,'DRE 2021'!J$2)</f>
        <v>0</v>
      </c>
      <c r="K51" s="91" t="n">
        <f aca="false">IFERROR(J51/J$5,0)</f>
        <v>0</v>
      </c>
      <c r="M51" s="75" t="n">
        <f aca="false">SUMIFS('Dados Mov Financeira'!$N:$N,'Dados Mov Financeira'!$O:$O,'DRE 2021'!$B51,'Dados Mov Financeira'!$A:$A,'DRE 2021'!M$1,'Dados Mov Financeira'!$B:$B,'DRE 2021'!M$2)</f>
        <v>0</v>
      </c>
      <c r="N51" s="91" t="n">
        <f aca="false">IFERROR(M51/M$5,0)</f>
        <v>0</v>
      </c>
      <c r="P51" s="75" t="n">
        <f aca="false">SUMIFS('Dados Mov Financeira'!$N:$N,'Dados Mov Financeira'!$O:$O,'DRE 2021'!$B51,'Dados Mov Financeira'!$A:$A,'DRE 2021'!P$1,'Dados Mov Financeira'!$B:$B,'DRE 2021'!P$2)</f>
        <v>0</v>
      </c>
      <c r="Q51" s="91" t="n">
        <f aca="false">IFERROR(P51/P$5,0)</f>
        <v>0</v>
      </c>
      <c r="S51" s="75" t="n">
        <f aca="false">SUMIFS('Dados Mov Financeira'!$N:$N,'Dados Mov Financeira'!$O:$O,'DRE 2021'!$B51,'Dados Mov Financeira'!$A:$A,'DRE 2021'!S$1,'Dados Mov Financeira'!$B:$B,'DRE 2021'!S$2)</f>
        <v>0</v>
      </c>
      <c r="T51" s="91" t="n">
        <f aca="false">IFERROR(S51/S$5,0)</f>
        <v>0</v>
      </c>
      <c r="V51" s="75" t="n">
        <f aca="false">SUMIFS('Dados Mov Financeira'!$N:$N,'Dados Mov Financeira'!$O:$O,'DRE 2021'!$B51,'Dados Mov Financeira'!$A:$A,'DRE 2021'!V$1,'Dados Mov Financeira'!$B:$B,'DRE 2021'!V$2)</f>
        <v>0</v>
      </c>
      <c r="W51" s="91" t="n">
        <f aca="false">IFERROR(V51/V$5,0)</f>
        <v>0</v>
      </c>
      <c r="Y51" s="75" t="n">
        <f aca="false">SUMIFS('Dados Mov Financeira'!$N:$N,'Dados Mov Financeira'!$O:$O,'DRE 2021'!$B51,'Dados Mov Financeira'!$A:$A,'DRE 2021'!Y$1,'Dados Mov Financeira'!$B:$B,'DRE 2021'!Y$2)</f>
        <v>0</v>
      </c>
      <c r="Z51" s="91" t="n">
        <f aca="false">IFERROR(Y51/Y$5,0)</f>
        <v>0</v>
      </c>
      <c r="AB51" s="75" t="n">
        <f aca="false">SUMIFS('Dados Mov Financeira'!$N:$N,'Dados Mov Financeira'!$O:$O,'DRE 2021'!$B51,'Dados Mov Financeira'!$A:$A,'DRE 2021'!AB$1,'Dados Mov Financeira'!$B:$B,'DRE 2021'!AB$2)</f>
        <v>0</v>
      </c>
      <c r="AC51" s="91" t="n">
        <f aca="false">IFERROR(AB51/AB$5,0)</f>
        <v>0</v>
      </c>
      <c r="AE51" s="75" t="n">
        <f aca="false">SUMIFS('Dados Mov Financeira'!$N:$N,'Dados Mov Financeira'!$O:$O,'DRE 2021'!$B51,'Dados Mov Financeira'!$A:$A,'DRE 2021'!AE$1,'Dados Mov Financeira'!$B:$B,'DRE 2021'!AE$2)</f>
        <v>0</v>
      </c>
      <c r="AF51" s="91" t="n">
        <f aca="false">IFERROR(AE51/AE$5,0)</f>
        <v>0</v>
      </c>
      <c r="AH51" s="75" t="n">
        <f aca="false">SUMIFS('Dados Mov Financeira'!$N:$N,'Dados Mov Financeira'!$O:$O,'DRE 2021'!$B51,'Dados Mov Financeira'!$A:$A,'DRE 2021'!AH$1,'Dados Mov Financeira'!$B:$B,'DRE 2021'!AH$2)</f>
        <v>0</v>
      </c>
      <c r="AI51" s="91" t="n">
        <f aca="false">IFERROR(AH51/AH$5,0)</f>
        <v>0</v>
      </c>
      <c r="AK51" s="75" t="n">
        <f aca="false">SUMIFS('Dados Mov Financeira'!$N:$N,'Dados Mov Financeira'!$O:$O,'DRE 2021'!$B51,'Dados Mov Financeira'!$A:$A,'DRE 2021'!AK$1,'Dados Mov Financeira'!$B:$B,'DRE 2021'!AK$2)</f>
        <v>0</v>
      </c>
      <c r="AL51" s="91" t="n">
        <f aca="false">IFERROR(AK51/AK$5,0)</f>
        <v>0</v>
      </c>
      <c r="AN51" s="92" t="n">
        <f aca="false">SUM(D51,G51,J51,M51,P51,S51,V51,Y51,AB51,AE51,AH51,AK51)</f>
        <v>0</v>
      </c>
      <c r="AO51" s="91" t="n">
        <f aca="false">IFERROR(AN51/AN$5,0)</f>
        <v>0</v>
      </c>
      <c r="AQ51" s="93" t="n">
        <f aca="false">AN51/$AR$1</f>
        <v>0</v>
      </c>
      <c r="AR51" s="94" t="n">
        <f aca="false">IFERROR(AQ51/AQ$5,0)</f>
        <v>0</v>
      </c>
    </row>
    <row r="52" customFormat="false" ht="15.75" hidden="true" customHeight="true" outlineLevel="1" collapsed="false">
      <c r="B52" s="89" t="s">
        <v>72</v>
      </c>
      <c r="D52" s="75" t="n">
        <f aca="false">SUMIFS('Dados Mov Financeira'!$N:$N,'Dados Mov Financeira'!$O:$O,'DRE 2021'!$B52,'Dados Mov Financeira'!$A:$A,'DRE 2021'!D$1,'Dados Mov Financeira'!$B:$B,'DRE 2021'!D$2)</f>
        <v>0</v>
      </c>
      <c r="E52" s="91" t="n">
        <f aca="false">IFERROR(D52/D$5,0)</f>
        <v>0</v>
      </c>
      <c r="G52" s="75" t="n">
        <f aca="false">SUMIFS('Dados Mov Financeira'!$N:$N,'Dados Mov Financeira'!$O:$O,'DRE 2021'!$B52,'Dados Mov Financeira'!$A:$A,'DRE 2021'!G$1,'Dados Mov Financeira'!$B:$B,'DRE 2021'!G$2)</f>
        <v>0</v>
      </c>
      <c r="H52" s="91" t="n">
        <f aca="false">IFERROR(G52/G$5,0)</f>
        <v>0</v>
      </c>
      <c r="J52" s="75" t="n">
        <f aca="false">SUMIFS('Dados Mov Financeira'!$N:$N,'Dados Mov Financeira'!$O:$O,'DRE 2021'!$B52,'Dados Mov Financeira'!$A:$A,'DRE 2021'!J$1,'Dados Mov Financeira'!$B:$B,'DRE 2021'!J$2)</f>
        <v>0</v>
      </c>
      <c r="K52" s="91" t="n">
        <f aca="false">IFERROR(J52/J$5,0)</f>
        <v>0</v>
      </c>
      <c r="M52" s="75" t="n">
        <f aca="false">SUMIFS('Dados Mov Financeira'!$N:$N,'Dados Mov Financeira'!$O:$O,'DRE 2021'!$B52,'Dados Mov Financeira'!$A:$A,'DRE 2021'!M$1,'Dados Mov Financeira'!$B:$B,'DRE 2021'!M$2)</f>
        <v>0</v>
      </c>
      <c r="N52" s="91" t="n">
        <f aca="false">IFERROR(M52/M$5,0)</f>
        <v>0</v>
      </c>
      <c r="P52" s="75" t="n">
        <f aca="false">SUMIFS('Dados Mov Financeira'!$N:$N,'Dados Mov Financeira'!$O:$O,'DRE 2021'!$B52,'Dados Mov Financeira'!$A:$A,'DRE 2021'!P$1,'Dados Mov Financeira'!$B:$B,'DRE 2021'!P$2)</f>
        <v>0</v>
      </c>
      <c r="Q52" s="91" t="n">
        <f aca="false">IFERROR(P52/P$5,0)</f>
        <v>0</v>
      </c>
      <c r="S52" s="75" t="n">
        <f aca="false">SUMIFS('Dados Mov Financeira'!$N:$N,'Dados Mov Financeira'!$O:$O,'DRE 2021'!$B52,'Dados Mov Financeira'!$A:$A,'DRE 2021'!S$1,'Dados Mov Financeira'!$B:$B,'DRE 2021'!S$2)</f>
        <v>0</v>
      </c>
      <c r="T52" s="91" t="n">
        <f aca="false">IFERROR(S52/S$5,0)</f>
        <v>0</v>
      </c>
      <c r="V52" s="75" t="n">
        <f aca="false">SUMIFS('Dados Mov Financeira'!$N:$N,'Dados Mov Financeira'!$O:$O,'DRE 2021'!$B52,'Dados Mov Financeira'!$A:$A,'DRE 2021'!V$1,'Dados Mov Financeira'!$B:$B,'DRE 2021'!V$2)</f>
        <v>0</v>
      </c>
      <c r="W52" s="91" t="n">
        <f aca="false">IFERROR(V52/V$5,0)</f>
        <v>0</v>
      </c>
      <c r="Y52" s="75" t="n">
        <f aca="false">SUMIFS('Dados Mov Financeira'!$N:$N,'Dados Mov Financeira'!$O:$O,'DRE 2021'!$B52,'Dados Mov Financeira'!$A:$A,'DRE 2021'!Y$1,'Dados Mov Financeira'!$B:$B,'DRE 2021'!Y$2)</f>
        <v>0</v>
      </c>
      <c r="Z52" s="91" t="n">
        <f aca="false">IFERROR(Y52/Y$5,0)</f>
        <v>0</v>
      </c>
      <c r="AB52" s="75" t="n">
        <f aca="false">SUMIFS('Dados Mov Financeira'!$N:$N,'Dados Mov Financeira'!$O:$O,'DRE 2021'!$B52,'Dados Mov Financeira'!$A:$A,'DRE 2021'!AB$1,'Dados Mov Financeira'!$B:$B,'DRE 2021'!AB$2)</f>
        <v>0</v>
      </c>
      <c r="AC52" s="91" t="n">
        <f aca="false">IFERROR(AB52/AB$5,0)</f>
        <v>0</v>
      </c>
      <c r="AE52" s="75" t="n">
        <f aca="false">SUMIFS('Dados Mov Financeira'!$N:$N,'Dados Mov Financeira'!$O:$O,'DRE 2021'!$B52,'Dados Mov Financeira'!$A:$A,'DRE 2021'!AE$1,'Dados Mov Financeira'!$B:$B,'DRE 2021'!AE$2)</f>
        <v>0</v>
      </c>
      <c r="AF52" s="91" t="n">
        <f aca="false">IFERROR(AE52/AE$5,0)</f>
        <v>0</v>
      </c>
      <c r="AH52" s="75" t="n">
        <f aca="false">SUMIFS('Dados Mov Financeira'!$N:$N,'Dados Mov Financeira'!$O:$O,'DRE 2021'!$B52,'Dados Mov Financeira'!$A:$A,'DRE 2021'!AH$1,'Dados Mov Financeira'!$B:$B,'DRE 2021'!AH$2)</f>
        <v>0</v>
      </c>
      <c r="AI52" s="91" t="n">
        <f aca="false">IFERROR(AH52/AH$5,0)</f>
        <v>0</v>
      </c>
      <c r="AK52" s="75" t="n">
        <f aca="false">SUMIFS('Dados Mov Financeira'!$N:$N,'Dados Mov Financeira'!$O:$O,'DRE 2021'!$B52,'Dados Mov Financeira'!$A:$A,'DRE 2021'!AK$1,'Dados Mov Financeira'!$B:$B,'DRE 2021'!AK$2)</f>
        <v>0</v>
      </c>
      <c r="AL52" s="91" t="n">
        <f aca="false">IFERROR(AK52/AK$5,0)</f>
        <v>0</v>
      </c>
      <c r="AN52" s="92" t="n">
        <f aca="false">SUM(D52,G52,J52,M52,P52,S52,V52,Y52,AB52,AE52,AH52,AK52)</f>
        <v>0</v>
      </c>
      <c r="AO52" s="91" t="n">
        <f aca="false">IFERROR(AN52/AN$5,0)</f>
        <v>0</v>
      </c>
      <c r="AQ52" s="93" t="n">
        <f aca="false">AN52/$AR$1</f>
        <v>0</v>
      </c>
      <c r="AR52" s="94" t="n">
        <f aca="false">IFERROR(AQ52/AQ$5,0)</f>
        <v>0</v>
      </c>
    </row>
    <row r="53" customFormat="false" ht="15.75" hidden="true" customHeight="true" outlineLevel="1" collapsed="false">
      <c r="B53" s="89" t="s">
        <v>73</v>
      </c>
      <c r="D53" s="75" t="n">
        <f aca="false">SUMIFS('Dados Mov Financeira'!$N:$N,'Dados Mov Financeira'!$O:$O,'DRE 2021'!$B53,'Dados Mov Financeira'!$A:$A,'DRE 2021'!D$1,'Dados Mov Financeira'!$B:$B,'DRE 2021'!D$2)</f>
        <v>0</v>
      </c>
      <c r="E53" s="91" t="n">
        <f aca="false">IFERROR(D53/D$5,0)</f>
        <v>0</v>
      </c>
      <c r="G53" s="75" t="n">
        <f aca="false">SUMIFS('Dados Mov Financeira'!$N:$N,'Dados Mov Financeira'!$O:$O,'DRE 2021'!$B53,'Dados Mov Financeira'!$A:$A,'DRE 2021'!G$1,'Dados Mov Financeira'!$B:$B,'DRE 2021'!G$2)</f>
        <v>0</v>
      </c>
      <c r="H53" s="91" t="n">
        <f aca="false">IFERROR(G53/G$5,0)</f>
        <v>0</v>
      </c>
      <c r="J53" s="75" t="n">
        <f aca="false">SUMIFS('Dados Mov Financeira'!$N:$N,'Dados Mov Financeira'!$O:$O,'DRE 2021'!$B53,'Dados Mov Financeira'!$A:$A,'DRE 2021'!J$1,'Dados Mov Financeira'!$B:$B,'DRE 2021'!J$2)</f>
        <v>0</v>
      </c>
      <c r="K53" s="91" t="n">
        <f aca="false">IFERROR(J53/J$5,0)</f>
        <v>0</v>
      </c>
      <c r="M53" s="75" t="n">
        <f aca="false">SUMIFS('Dados Mov Financeira'!$N:$N,'Dados Mov Financeira'!$O:$O,'DRE 2021'!$B53,'Dados Mov Financeira'!$A:$A,'DRE 2021'!M$1,'Dados Mov Financeira'!$B:$B,'DRE 2021'!M$2)</f>
        <v>0</v>
      </c>
      <c r="N53" s="91" t="n">
        <f aca="false">IFERROR(M53/M$5,0)</f>
        <v>0</v>
      </c>
      <c r="P53" s="75" t="n">
        <f aca="false">SUMIFS('Dados Mov Financeira'!$N:$N,'Dados Mov Financeira'!$O:$O,'DRE 2021'!$B53,'Dados Mov Financeira'!$A:$A,'DRE 2021'!P$1,'Dados Mov Financeira'!$B:$B,'DRE 2021'!P$2)</f>
        <v>0</v>
      </c>
      <c r="Q53" s="91" t="n">
        <f aca="false">IFERROR(P53/P$5,0)</f>
        <v>0</v>
      </c>
      <c r="S53" s="75" t="n">
        <f aca="false">SUMIFS('Dados Mov Financeira'!$N:$N,'Dados Mov Financeira'!$O:$O,'DRE 2021'!$B53,'Dados Mov Financeira'!$A:$A,'DRE 2021'!S$1,'Dados Mov Financeira'!$B:$B,'DRE 2021'!S$2)</f>
        <v>0</v>
      </c>
      <c r="T53" s="91" t="n">
        <f aca="false">IFERROR(S53/S$5,0)</f>
        <v>0</v>
      </c>
      <c r="V53" s="75" t="n">
        <f aca="false">SUMIFS('Dados Mov Financeira'!$N:$N,'Dados Mov Financeira'!$O:$O,'DRE 2021'!$B53,'Dados Mov Financeira'!$A:$A,'DRE 2021'!V$1,'Dados Mov Financeira'!$B:$B,'DRE 2021'!V$2)</f>
        <v>0</v>
      </c>
      <c r="W53" s="91" t="n">
        <f aca="false">IFERROR(V53/V$5,0)</f>
        <v>0</v>
      </c>
      <c r="Y53" s="75" t="n">
        <f aca="false">SUMIFS('Dados Mov Financeira'!$N:$N,'Dados Mov Financeira'!$O:$O,'DRE 2021'!$B53,'Dados Mov Financeira'!$A:$A,'DRE 2021'!Y$1,'Dados Mov Financeira'!$B:$B,'DRE 2021'!Y$2)</f>
        <v>0</v>
      </c>
      <c r="Z53" s="91" t="n">
        <f aca="false">IFERROR(Y53/Y$5,0)</f>
        <v>0</v>
      </c>
      <c r="AB53" s="75" t="n">
        <f aca="false">SUMIFS('Dados Mov Financeira'!$N:$N,'Dados Mov Financeira'!$O:$O,'DRE 2021'!$B53,'Dados Mov Financeira'!$A:$A,'DRE 2021'!AB$1,'Dados Mov Financeira'!$B:$B,'DRE 2021'!AB$2)</f>
        <v>0</v>
      </c>
      <c r="AC53" s="91" t="n">
        <f aca="false">IFERROR(AB53/AB$5,0)</f>
        <v>0</v>
      </c>
      <c r="AE53" s="75" t="n">
        <f aca="false">SUMIFS('Dados Mov Financeira'!$N:$N,'Dados Mov Financeira'!$O:$O,'DRE 2021'!$B53,'Dados Mov Financeira'!$A:$A,'DRE 2021'!AE$1,'Dados Mov Financeira'!$B:$B,'DRE 2021'!AE$2)</f>
        <v>0</v>
      </c>
      <c r="AF53" s="91" t="n">
        <f aca="false">IFERROR(AE53/AE$5,0)</f>
        <v>0</v>
      </c>
      <c r="AH53" s="99" t="n">
        <f aca="false">SUMIFS('Dados Mov Financeira'!$N:$N,'Dados Mov Financeira'!$O:$O,'DRE 2021'!$B53,'Dados Mov Financeira'!$A:$A,'DRE 2021'!AH$1,'Dados Mov Financeira'!$B:$B,'DRE 2021'!AH$2)</f>
        <v>0</v>
      </c>
      <c r="AI53" s="91" t="n">
        <f aca="false">IFERROR(AH53/AH$5,0)</f>
        <v>0</v>
      </c>
      <c r="AK53" s="75" t="n">
        <f aca="false">SUMIFS('Dados Mov Financeira'!$N:$N,'Dados Mov Financeira'!$O:$O,'DRE 2021'!$B53,'Dados Mov Financeira'!$A:$A,'DRE 2021'!AK$1,'Dados Mov Financeira'!$B:$B,'DRE 2021'!AK$2)</f>
        <v>0</v>
      </c>
      <c r="AL53" s="91" t="n">
        <f aca="false">IFERROR(AK53/AK$5,0)</f>
        <v>0</v>
      </c>
      <c r="AN53" s="92" t="n">
        <f aca="false">SUM(D53,G53,J53,M53,P53,S53,V53,Y53,AB53,AE53,AH53,AK53)</f>
        <v>0</v>
      </c>
      <c r="AO53" s="91" t="n">
        <f aca="false">IFERROR(AN53/AN$5,0)</f>
        <v>0</v>
      </c>
      <c r="AQ53" s="125" t="n">
        <f aca="false">AN53/$AR$1</f>
        <v>0</v>
      </c>
      <c r="AR53" s="94" t="n">
        <f aca="false">IFERROR(AQ53/AQ$5,0)</f>
        <v>0</v>
      </c>
    </row>
    <row r="54" customFormat="false" ht="15.75" hidden="true" customHeight="true" outlineLevel="1" collapsed="false">
      <c r="B54" s="89" t="s">
        <v>74</v>
      </c>
      <c r="D54" s="75" t="n">
        <f aca="false">SUMIFS('Dados Mov Financeira'!$N:$N,'Dados Mov Financeira'!$O:$O,'DRE 2021'!$B54,'Dados Mov Financeira'!$A:$A,'DRE 2021'!D$1,'Dados Mov Financeira'!$B:$B,'DRE 2021'!D$2)</f>
        <v>0</v>
      </c>
      <c r="E54" s="91" t="n">
        <f aca="false">IFERROR(D54/D$5,0)</f>
        <v>0</v>
      </c>
      <c r="G54" s="75" t="n">
        <f aca="false">SUMIFS('Dados Mov Financeira'!$N:$N,'Dados Mov Financeira'!$O:$O,'DRE 2021'!$B54,'Dados Mov Financeira'!$A:$A,'DRE 2021'!G$1,'Dados Mov Financeira'!$B:$B,'DRE 2021'!G$2)</f>
        <v>0</v>
      </c>
      <c r="H54" s="91" t="n">
        <f aca="false">IFERROR(G54/G$5,0)</f>
        <v>0</v>
      </c>
      <c r="J54" s="75" t="n">
        <f aca="false">SUMIFS('Dados Mov Financeira'!$N:$N,'Dados Mov Financeira'!$O:$O,'DRE 2021'!$B54,'Dados Mov Financeira'!$A:$A,'DRE 2021'!J$1,'Dados Mov Financeira'!$B:$B,'DRE 2021'!J$2)</f>
        <v>0</v>
      </c>
      <c r="K54" s="91" t="n">
        <f aca="false">IFERROR(J54/J$5,0)</f>
        <v>0</v>
      </c>
      <c r="M54" s="75" t="n">
        <f aca="false">SUMIFS('Dados Mov Financeira'!$N:$N,'Dados Mov Financeira'!$O:$O,'DRE 2021'!$B54,'Dados Mov Financeira'!$A:$A,'DRE 2021'!M$1,'Dados Mov Financeira'!$B:$B,'DRE 2021'!M$2)</f>
        <v>0</v>
      </c>
      <c r="N54" s="91" t="n">
        <f aca="false">IFERROR(M54/M$5,0)</f>
        <v>0</v>
      </c>
      <c r="P54" s="75" t="n">
        <f aca="false">SUMIFS('Dados Mov Financeira'!$N:$N,'Dados Mov Financeira'!$O:$O,'DRE 2021'!$B54,'Dados Mov Financeira'!$A:$A,'DRE 2021'!P$1,'Dados Mov Financeira'!$B:$B,'DRE 2021'!P$2)</f>
        <v>0</v>
      </c>
      <c r="Q54" s="91" t="n">
        <f aca="false">IFERROR(P54/P$5,0)</f>
        <v>0</v>
      </c>
      <c r="S54" s="75" t="n">
        <f aca="false">SUMIFS('Dados Mov Financeira'!$N:$N,'Dados Mov Financeira'!$O:$O,'DRE 2021'!$B54,'Dados Mov Financeira'!$A:$A,'DRE 2021'!S$1,'Dados Mov Financeira'!$B:$B,'DRE 2021'!S$2)</f>
        <v>0</v>
      </c>
      <c r="T54" s="91" t="n">
        <f aca="false">IFERROR(S54/S$5,0)</f>
        <v>0</v>
      </c>
      <c r="V54" s="75" t="n">
        <f aca="false">SUMIFS('Dados Mov Financeira'!$N:$N,'Dados Mov Financeira'!$O:$O,'DRE 2021'!$B54,'Dados Mov Financeira'!$A:$A,'DRE 2021'!V$1,'Dados Mov Financeira'!$B:$B,'DRE 2021'!V$2)</f>
        <v>0</v>
      </c>
      <c r="W54" s="91" t="n">
        <f aca="false">IFERROR(V54/V$5,0)</f>
        <v>0</v>
      </c>
      <c r="Y54" s="75" t="n">
        <f aca="false">SUMIFS('Dados Mov Financeira'!$N:$N,'Dados Mov Financeira'!$O:$O,'DRE 2021'!$B54,'Dados Mov Financeira'!$A:$A,'DRE 2021'!Y$1,'Dados Mov Financeira'!$B:$B,'DRE 2021'!Y$2)</f>
        <v>0</v>
      </c>
      <c r="Z54" s="91" t="n">
        <f aca="false">IFERROR(Y54/Y$5,0)</f>
        <v>0</v>
      </c>
      <c r="AB54" s="75" t="n">
        <f aca="false">SUMIFS('Dados Mov Financeira'!$N:$N,'Dados Mov Financeira'!$O:$O,'DRE 2021'!$B54,'Dados Mov Financeira'!$A:$A,'DRE 2021'!AB$1,'Dados Mov Financeira'!$B:$B,'DRE 2021'!AB$2)</f>
        <v>0</v>
      </c>
      <c r="AC54" s="91" t="n">
        <f aca="false">IFERROR(AB54/AB$5,0)</f>
        <v>0</v>
      </c>
      <c r="AE54" s="75" t="n">
        <f aca="false">SUMIFS('Dados Mov Financeira'!$N:$N,'Dados Mov Financeira'!$O:$O,'DRE 2021'!$B54,'Dados Mov Financeira'!$A:$A,'DRE 2021'!AE$1,'Dados Mov Financeira'!$B:$B,'DRE 2021'!AE$2)</f>
        <v>0</v>
      </c>
      <c r="AF54" s="91" t="n">
        <f aca="false">IFERROR(AE54/AE$5,0)</f>
        <v>0</v>
      </c>
      <c r="AH54" s="75" t="n">
        <f aca="false">SUMIFS('Dados Mov Financeira'!$N:$N,'Dados Mov Financeira'!$O:$O,'DRE 2021'!$B54,'Dados Mov Financeira'!$A:$A,'DRE 2021'!AH$1,'Dados Mov Financeira'!$B:$B,'DRE 2021'!AH$2)</f>
        <v>0</v>
      </c>
      <c r="AI54" s="91" t="n">
        <f aca="false">IFERROR(AH54/AH$5,0)</f>
        <v>0</v>
      </c>
      <c r="AK54" s="75" t="n">
        <f aca="false">SUMIFS('Dados Mov Financeira'!$N:$N,'Dados Mov Financeira'!$O:$O,'DRE 2021'!$B54,'Dados Mov Financeira'!$A:$A,'DRE 2021'!AK$1,'Dados Mov Financeira'!$B:$B,'DRE 2021'!AK$2)</f>
        <v>0</v>
      </c>
      <c r="AL54" s="91" t="n">
        <f aca="false">IFERROR(AK54/AK$5,0)</f>
        <v>0</v>
      </c>
      <c r="AN54" s="92" t="n">
        <f aca="false">SUM(D54,G54,J54,M54,P54,S54,V54,Y54,AB54,AE54,AH54,AK54)</f>
        <v>0</v>
      </c>
      <c r="AO54" s="91" t="n">
        <f aca="false">IFERROR(AN54/AN$5,0)</f>
        <v>0</v>
      </c>
      <c r="AQ54" s="93" t="n">
        <f aca="false">AN54/$AR$1</f>
        <v>0</v>
      </c>
      <c r="AR54" s="94" t="n">
        <f aca="false">IFERROR(AQ54/AQ$5,0)</f>
        <v>0</v>
      </c>
    </row>
    <row r="55" customFormat="false" ht="14.25" hidden="true" customHeight="false" outlineLevel="1" collapsed="false">
      <c r="B55" s="89" t="s">
        <v>75</v>
      </c>
      <c r="D55" s="75" t="n">
        <f aca="false">SUMIFS('Dados Mov Financeira'!$N:$N,'Dados Mov Financeira'!$O:$O,'DRE 2021'!$B55,'Dados Mov Financeira'!$A:$A,'DRE 2021'!D$1,'Dados Mov Financeira'!$B:$B,'DRE 2021'!D$2)</f>
        <v>0</v>
      </c>
      <c r="E55" s="91" t="n">
        <f aca="false">IFERROR(D55/D$5,0)</f>
        <v>0</v>
      </c>
      <c r="G55" s="75" t="n">
        <f aca="false">SUMIFS('Dados Mov Financeira'!$N:$N,'Dados Mov Financeira'!$O:$O,'DRE 2021'!$B55,'Dados Mov Financeira'!$A:$A,'DRE 2021'!G$1,'Dados Mov Financeira'!$B:$B,'DRE 2021'!G$2)</f>
        <v>0</v>
      </c>
      <c r="H55" s="91" t="n">
        <f aca="false">IFERROR(G55/G$5,0)</f>
        <v>0</v>
      </c>
      <c r="J55" s="75" t="n">
        <f aca="false">SUMIFS('Dados Mov Financeira'!$N:$N,'Dados Mov Financeira'!$O:$O,'DRE 2021'!$B55,'Dados Mov Financeira'!$A:$A,'DRE 2021'!J$1,'Dados Mov Financeira'!$B:$B,'DRE 2021'!J$2)</f>
        <v>0</v>
      </c>
      <c r="K55" s="91" t="n">
        <f aca="false">IFERROR(J55/J$5,0)</f>
        <v>0</v>
      </c>
      <c r="M55" s="75" t="n">
        <f aca="false">SUMIFS('Dados Mov Financeira'!$N:$N,'Dados Mov Financeira'!$O:$O,'DRE 2021'!$B55,'Dados Mov Financeira'!$A:$A,'DRE 2021'!M$1,'Dados Mov Financeira'!$B:$B,'DRE 2021'!M$2)</f>
        <v>0</v>
      </c>
      <c r="N55" s="91" t="n">
        <f aca="false">IFERROR(M55/M$5,0)</f>
        <v>0</v>
      </c>
      <c r="P55" s="75" t="n">
        <f aca="false">SUMIFS('Dados Mov Financeira'!$N:$N,'Dados Mov Financeira'!$O:$O,'DRE 2021'!$B55,'Dados Mov Financeira'!$A:$A,'DRE 2021'!P$1,'Dados Mov Financeira'!$B:$B,'DRE 2021'!P$2)</f>
        <v>0</v>
      </c>
      <c r="Q55" s="91" t="n">
        <f aca="false">IFERROR(P55/P$5,0)</f>
        <v>0</v>
      </c>
      <c r="S55" s="75" t="n">
        <f aca="false">SUMIFS('Dados Mov Financeira'!$N:$N,'Dados Mov Financeira'!$O:$O,'DRE 2021'!$B55,'Dados Mov Financeira'!$A:$A,'DRE 2021'!S$1,'Dados Mov Financeira'!$B:$B,'DRE 2021'!S$2)</f>
        <v>0</v>
      </c>
      <c r="T55" s="91" t="n">
        <f aca="false">IFERROR(S55/S$5,0)</f>
        <v>0</v>
      </c>
      <c r="V55" s="75" t="n">
        <f aca="false">SUMIFS('Dados Mov Financeira'!$N:$N,'Dados Mov Financeira'!$O:$O,'DRE 2021'!$B55,'Dados Mov Financeira'!$A:$A,'DRE 2021'!V$1,'Dados Mov Financeira'!$B:$B,'DRE 2021'!V$2)</f>
        <v>0</v>
      </c>
      <c r="W55" s="91" t="n">
        <f aca="false">IFERROR(V55/V$5,0)</f>
        <v>0</v>
      </c>
      <c r="Y55" s="75" t="n">
        <f aca="false">SUMIFS('Dados Mov Financeira'!$N:$N,'Dados Mov Financeira'!$O:$O,'DRE 2021'!$B55,'Dados Mov Financeira'!$A:$A,'DRE 2021'!Y$1,'Dados Mov Financeira'!$B:$B,'DRE 2021'!Y$2)</f>
        <v>0</v>
      </c>
      <c r="Z55" s="91" t="n">
        <f aca="false">IFERROR(Y55/Y$5,0)</f>
        <v>0</v>
      </c>
      <c r="AB55" s="75" t="n">
        <f aca="false">SUMIFS('Dados Mov Financeira'!$N:$N,'Dados Mov Financeira'!$O:$O,'DRE 2021'!$B55,'Dados Mov Financeira'!$A:$A,'DRE 2021'!AB$1,'Dados Mov Financeira'!$B:$B,'DRE 2021'!AB$2)</f>
        <v>0</v>
      </c>
      <c r="AC55" s="91" t="n">
        <f aca="false">IFERROR(AB55/AB$5,0)</f>
        <v>0</v>
      </c>
      <c r="AE55" s="75" t="n">
        <f aca="false">SUMIFS('Dados Mov Financeira'!$N:$N,'Dados Mov Financeira'!$O:$O,'DRE 2021'!$B55,'Dados Mov Financeira'!$A:$A,'DRE 2021'!AE$1,'Dados Mov Financeira'!$B:$B,'DRE 2021'!AE$2)</f>
        <v>0</v>
      </c>
      <c r="AF55" s="91" t="n">
        <f aca="false">IFERROR(AE55/AE$5,0)</f>
        <v>0</v>
      </c>
      <c r="AH55" s="75" t="n">
        <f aca="false">SUMIFS('Dados Mov Financeira'!$N:$N,'Dados Mov Financeira'!$O:$O,'DRE 2021'!$B55,'Dados Mov Financeira'!$A:$A,'DRE 2021'!AH$1,'Dados Mov Financeira'!$B:$B,'DRE 2021'!AH$2)</f>
        <v>0</v>
      </c>
      <c r="AI55" s="91" t="n">
        <f aca="false">IFERROR(AH55/AH$5,0)</f>
        <v>0</v>
      </c>
      <c r="AK55" s="75" t="n">
        <f aca="false">SUMIFS('Dados Mov Financeira'!$N:$N,'Dados Mov Financeira'!$O:$O,'DRE 2021'!$B55,'Dados Mov Financeira'!$A:$A,'DRE 2021'!AK$1,'Dados Mov Financeira'!$B:$B,'DRE 2021'!AK$2)</f>
        <v>0</v>
      </c>
      <c r="AL55" s="91" t="n">
        <f aca="false">IFERROR(AK55/AK$5,0)</f>
        <v>0</v>
      </c>
      <c r="AN55" s="92" t="n">
        <f aca="false">SUM(D55,G55,J55,M55,P55,S55,V55,Y55,AB55,AE55,AH55,AK55)</f>
        <v>0</v>
      </c>
      <c r="AO55" s="91" t="n">
        <f aca="false">IFERROR(AN55/AN$5,0)</f>
        <v>0</v>
      </c>
      <c r="AQ55" s="93" t="n">
        <f aca="false">AN55/$AR$1</f>
        <v>0</v>
      </c>
      <c r="AR55" s="94" t="n">
        <f aca="false">IFERROR(AQ55/AQ$5,0)</f>
        <v>0</v>
      </c>
    </row>
    <row r="56" customFormat="false" ht="15.75" hidden="true" customHeight="true" outlineLevel="1" collapsed="false">
      <c r="B56" s="89" t="s">
        <v>76</v>
      </c>
      <c r="D56" s="75" t="n">
        <f aca="false">SUMIFS('Dados Mov Financeira'!$N:$N,'Dados Mov Financeira'!$O:$O,'DRE 2021'!$B56,'Dados Mov Financeira'!$A:$A,'DRE 2021'!D$1,'Dados Mov Financeira'!$B:$B,'DRE 2021'!D$2)</f>
        <v>0</v>
      </c>
      <c r="E56" s="91" t="n">
        <f aca="false">IFERROR(D56/D$5,0)</f>
        <v>0</v>
      </c>
      <c r="G56" s="75" t="n">
        <f aca="false">SUMIFS('Dados Mov Financeira'!$N:$N,'Dados Mov Financeira'!$O:$O,'DRE 2021'!$B56,'Dados Mov Financeira'!$A:$A,'DRE 2021'!G$1,'Dados Mov Financeira'!$B:$B,'DRE 2021'!G$2)</f>
        <v>0</v>
      </c>
      <c r="H56" s="91" t="n">
        <f aca="false">IFERROR(G56/G$5,0)</f>
        <v>0</v>
      </c>
      <c r="J56" s="75" t="n">
        <f aca="false">SUMIFS('Dados Mov Financeira'!$N:$N,'Dados Mov Financeira'!$O:$O,'DRE 2021'!$B56,'Dados Mov Financeira'!$A:$A,'DRE 2021'!J$1,'Dados Mov Financeira'!$B:$B,'DRE 2021'!J$2)</f>
        <v>0</v>
      </c>
      <c r="K56" s="91" t="n">
        <f aca="false">IFERROR(J56/J$5,0)</f>
        <v>0</v>
      </c>
      <c r="M56" s="75" t="n">
        <f aca="false">SUMIFS('Dados Mov Financeira'!$N:$N,'Dados Mov Financeira'!$O:$O,'DRE 2021'!$B56,'Dados Mov Financeira'!$A:$A,'DRE 2021'!M$1,'Dados Mov Financeira'!$B:$B,'DRE 2021'!M$2)</f>
        <v>0</v>
      </c>
      <c r="N56" s="91" t="n">
        <f aca="false">IFERROR(M56/M$5,0)</f>
        <v>0</v>
      </c>
      <c r="P56" s="75" t="n">
        <f aca="false">SUMIFS('Dados Mov Financeira'!$N:$N,'Dados Mov Financeira'!$O:$O,'DRE 2021'!$B56,'Dados Mov Financeira'!$A:$A,'DRE 2021'!P$1,'Dados Mov Financeira'!$B:$B,'DRE 2021'!P$2)</f>
        <v>0</v>
      </c>
      <c r="Q56" s="91" t="n">
        <f aca="false">IFERROR(P56/P$5,0)</f>
        <v>0</v>
      </c>
      <c r="S56" s="75" t="n">
        <f aca="false">SUMIFS('Dados Mov Financeira'!$N:$N,'Dados Mov Financeira'!$O:$O,'DRE 2021'!$B56,'Dados Mov Financeira'!$A:$A,'DRE 2021'!S$1,'Dados Mov Financeira'!$B:$B,'DRE 2021'!S$2)</f>
        <v>0</v>
      </c>
      <c r="T56" s="91" t="n">
        <f aca="false">IFERROR(S56/S$5,0)</f>
        <v>0</v>
      </c>
      <c r="V56" s="75" t="n">
        <f aca="false">SUMIFS('Dados Mov Financeira'!$N:$N,'Dados Mov Financeira'!$O:$O,'DRE 2021'!$B56,'Dados Mov Financeira'!$A:$A,'DRE 2021'!V$1,'Dados Mov Financeira'!$B:$B,'DRE 2021'!V$2)</f>
        <v>0</v>
      </c>
      <c r="W56" s="91" t="n">
        <f aca="false">IFERROR(V56/V$5,0)</f>
        <v>0</v>
      </c>
      <c r="Y56" s="75" t="n">
        <f aca="false">SUMIFS('Dados Mov Financeira'!$N:$N,'Dados Mov Financeira'!$O:$O,'DRE 2021'!$B56,'Dados Mov Financeira'!$A:$A,'DRE 2021'!Y$1,'Dados Mov Financeira'!$B:$B,'DRE 2021'!Y$2)</f>
        <v>0</v>
      </c>
      <c r="Z56" s="91" t="n">
        <f aca="false">IFERROR(Y56/Y$5,0)</f>
        <v>0</v>
      </c>
      <c r="AB56" s="75" t="n">
        <f aca="false">SUMIFS('Dados Mov Financeira'!$N:$N,'Dados Mov Financeira'!$O:$O,'DRE 2021'!$B56,'Dados Mov Financeira'!$A:$A,'DRE 2021'!AB$1,'Dados Mov Financeira'!$B:$B,'DRE 2021'!AB$2)</f>
        <v>0</v>
      </c>
      <c r="AC56" s="91" t="n">
        <f aca="false">IFERROR(AB56/AB$5,0)</f>
        <v>0</v>
      </c>
      <c r="AE56" s="75" t="n">
        <f aca="false">SUMIFS('Dados Mov Financeira'!$N:$N,'Dados Mov Financeira'!$O:$O,'DRE 2021'!$B56,'Dados Mov Financeira'!$A:$A,'DRE 2021'!AE$1,'Dados Mov Financeira'!$B:$B,'DRE 2021'!AE$2)</f>
        <v>0</v>
      </c>
      <c r="AF56" s="91" t="n">
        <f aca="false">IFERROR(AE56/AE$5,0)</f>
        <v>0</v>
      </c>
      <c r="AH56" s="75" t="n">
        <f aca="false">SUMIFS('Dados Mov Financeira'!$N:$N,'Dados Mov Financeira'!$O:$O,'DRE 2021'!$B56,'Dados Mov Financeira'!$A:$A,'DRE 2021'!AH$1,'Dados Mov Financeira'!$B:$B,'DRE 2021'!AH$2)</f>
        <v>0</v>
      </c>
      <c r="AI56" s="91" t="n">
        <f aca="false">IFERROR(AH56/AH$5,0)</f>
        <v>0</v>
      </c>
      <c r="AK56" s="75" t="n">
        <f aca="false">SUMIFS('Dados Mov Financeira'!$N:$N,'Dados Mov Financeira'!$O:$O,'DRE 2021'!$B56,'Dados Mov Financeira'!$A:$A,'DRE 2021'!AK$1,'Dados Mov Financeira'!$B:$B,'DRE 2021'!AK$2)</f>
        <v>0</v>
      </c>
      <c r="AL56" s="91" t="n">
        <f aca="false">IFERROR(AK56/AK$5,0)</f>
        <v>0</v>
      </c>
      <c r="AN56" s="92" t="n">
        <f aca="false">SUM(D56,G56,J56,M56,P56,S56,V56,Y56,AB56,AE56,AH56,AK56)</f>
        <v>0</v>
      </c>
      <c r="AO56" s="91" t="n">
        <f aca="false">IFERROR(AN56/AN$5,0)</f>
        <v>0</v>
      </c>
      <c r="AQ56" s="93" t="n">
        <f aca="false">AN56/$AR$1</f>
        <v>0</v>
      </c>
      <c r="AR56" s="94" t="n">
        <f aca="false">IFERROR(AQ56/AQ$5,0)</f>
        <v>0</v>
      </c>
    </row>
    <row r="57" customFormat="false" ht="15.75" hidden="true" customHeight="true" outlineLevel="1" collapsed="false">
      <c r="B57" s="89" t="s">
        <v>77</v>
      </c>
      <c r="D57" s="75" t="n">
        <f aca="false">SUMIFS('Dados Mov Financeira'!$N:$N,'Dados Mov Financeira'!$O:$O,'DRE 2021'!$B57,'Dados Mov Financeira'!$A:$A,'DRE 2021'!D$1,'Dados Mov Financeira'!$B:$B,'DRE 2021'!D$2)</f>
        <v>0</v>
      </c>
      <c r="E57" s="91" t="n">
        <f aca="false">IFERROR(D57/D$5,0)</f>
        <v>0</v>
      </c>
      <c r="G57" s="75" t="n">
        <f aca="false">SUMIFS('Dados Mov Financeira'!$N:$N,'Dados Mov Financeira'!$O:$O,'DRE 2021'!$B57,'Dados Mov Financeira'!$A:$A,'DRE 2021'!G$1,'Dados Mov Financeira'!$B:$B,'DRE 2021'!G$2)</f>
        <v>0</v>
      </c>
      <c r="H57" s="91" t="n">
        <f aca="false">IFERROR(G57/G$5,0)</f>
        <v>0</v>
      </c>
      <c r="J57" s="75" t="n">
        <f aca="false">SUMIFS('Dados Mov Financeira'!$N:$N,'Dados Mov Financeira'!$O:$O,'DRE 2021'!$B57,'Dados Mov Financeira'!$A:$A,'DRE 2021'!J$1,'Dados Mov Financeira'!$B:$B,'DRE 2021'!J$2)</f>
        <v>0</v>
      </c>
      <c r="K57" s="91" t="n">
        <f aca="false">IFERROR(J57/J$5,0)</f>
        <v>0</v>
      </c>
      <c r="M57" s="75" t="n">
        <f aca="false">SUMIFS('Dados Mov Financeira'!$N:$N,'Dados Mov Financeira'!$O:$O,'DRE 2021'!$B57,'Dados Mov Financeira'!$A:$A,'DRE 2021'!M$1,'Dados Mov Financeira'!$B:$B,'DRE 2021'!M$2)</f>
        <v>0</v>
      </c>
      <c r="N57" s="91" t="n">
        <f aca="false">IFERROR(M57/M$5,0)</f>
        <v>0</v>
      </c>
      <c r="P57" s="75" t="n">
        <f aca="false">SUMIFS('Dados Mov Financeira'!$N:$N,'Dados Mov Financeira'!$O:$O,'DRE 2021'!$B57,'Dados Mov Financeira'!$A:$A,'DRE 2021'!P$1,'Dados Mov Financeira'!$B:$B,'DRE 2021'!P$2)</f>
        <v>0</v>
      </c>
      <c r="Q57" s="91" t="n">
        <f aca="false">IFERROR(P57/P$5,0)</f>
        <v>0</v>
      </c>
      <c r="S57" s="75" t="n">
        <f aca="false">SUMIFS('Dados Mov Financeira'!$N:$N,'Dados Mov Financeira'!$O:$O,'DRE 2021'!$B57,'Dados Mov Financeira'!$A:$A,'DRE 2021'!S$1,'Dados Mov Financeira'!$B:$B,'DRE 2021'!S$2)</f>
        <v>0</v>
      </c>
      <c r="T57" s="91" t="n">
        <f aca="false">IFERROR(S57/S$5,0)</f>
        <v>0</v>
      </c>
      <c r="V57" s="75" t="n">
        <f aca="false">SUMIFS('Dados Mov Financeira'!$N:$N,'Dados Mov Financeira'!$O:$O,'DRE 2021'!$B57,'Dados Mov Financeira'!$A:$A,'DRE 2021'!V$1,'Dados Mov Financeira'!$B:$B,'DRE 2021'!V$2)</f>
        <v>0</v>
      </c>
      <c r="W57" s="91" t="n">
        <f aca="false">IFERROR(V57/V$5,0)</f>
        <v>0</v>
      </c>
      <c r="Y57" s="75" t="n">
        <f aca="false">SUMIFS('Dados Mov Financeira'!$N:$N,'Dados Mov Financeira'!$O:$O,'DRE 2021'!$B57,'Dados Mov Financeira'!$A:$A,'DRE 2021'!Y$1,'Dados Mov Financeira'!$B:$B,'DRE 2021'!Y$2)</f>
        <v>0</v>
      </c>
      <c r="Z57" s="91" t="n">
        <f aca="false">IFERROR(Y57/Y$5,0)</f>
        <v>0</v>
      </c>
      <c r="AB57" s="75" t="n">
        <f aca="false">SUMIFS('Dados Mov Financeira'!$N:$N,'Dados Mov Financeira'!$O:$O,'DRE 2021'!$B57,'Dados Mov Financeira'!$A:$A,'DRE 2021'!AB$1,'Dados Mov Financeira'!$B:$B,'DRE 2021'!AB$2)</f>
        <v>0</v>
      </c>
      <c r="AC57" s="91" t="n">
        <f aca="false">IFERROR(AB57/AB$5,0)</f>
        <v>0</v>
      </c>
      <c r="AE57" s="75" t="n">
        <f aca="false">SUMIFS('Dados Mov Financeira'!$N:$N,'Dados Mov Financeira'!$O:$O,'DRE 2021'!$B57,'Dados Mov Financeira'!$A:$A,'DRE 2021'!AE$1,'Dados Mov Financeira'!$B:$B,'DRE 2021'!AE$2)</f>
        <v>0</v>
      </c>
      <c r="AF57" s="91" t="n">
        <f aca="false">IFERROR(AE57/AE$5,0)</f>
        <v>0</v>
      </c>
      <c r="AH57" s="75" t="n">
        <f aca="false">SUMIFS('Dados Mov Financeira'!$N:$N,'Dados Mov Financeira'!$O:$O,'DRE 2021'!$B57,'Dados Mov Financeira'!$A:$A,'DRE 2021'!AH$1,'Dados Mov Financeira'!$B:$B,'DRE 2021'!AH$2)</f>
        <v>0</v>
      </c>
      <c r="AI57" s="91" t="n">
        <f aca="false">IFERROR(AH57/AH$5,0)</f>
        <v>0</v>
      </c>
      <c r="AK57" s="75" t="n">
        <f aca="false">SUMIFS('Dados Mov Financeira'!$N:$N,'Dados Mov Financeira'!$O:$O,'DRE 2021'!$B57,'Dados Mov Financeira'!$A:$A,'DRE 2021'!AK$1,'Dados Mov Financeira'!$B:$B,'DRE 2021'!AK$2)</f>
        <v>0</v>
      </c>
      <c r="AL57" s="91" t="n">
        <f aca="false">IFERROR(AK57/AK$5,0)</f>
        <v>0</v>
      </c>
      <c r="AN57" s="92" t="n">
        <f aca="false">SUM(D57,G57,J57,M57,P57,S57,V57,Y57,AB57,AE57,AH57,AK57)</f>
        <v>0</v>
      </c>
      <c r="AO57" s="91" t="n">
        <f aca="false">IFERROR(AN57/AN$5,0)</f>
        <v>0</v>
      </c>
      <c r="AQ57" s="93" t="n">
        <f aca="false">AN57/$AR$1</f>
        <v>0</v>
      </c>
      <c r="AR57" s="94" t="n">
        <f aca="false">IFERROR(AQ57/AQ$5,0)</f>
        <v>0</v>
      </c>
    </row>
    <row r="58" customFormat="false" ht="15.75" hidden="true" customHeight="true" outlineLevel="1" collapsed="false">
      <c r="B58" s="89" t="s">
        <v>78</v>
      </c>
      <c r="D58" s="75" t="n">
        <f aca="false">SUMIFS('Dados Mov Financeira'!$N:$N,'Dados Mov Financeira'!$O:$O,'DRE 2021'!$B58,'Dados Mov Financeira'!$A:$A,'DRE 2021'!D$1,'Dados Mov Financeira'!$B:$B,'DRE 2021'!D$2)</f>
        <v>0</v>
      </c>
      <c r="E58" s="91" t="n">
        <f aca="false">IFERROR(D58/D$5,0)</f>
        <v>0</v>
      </c>
      <c r="G58" s="75" t="n">
        <f aca="false">SUMIFS('Dados Mov Financeira'!$N:$N,'Dados Mov Financeira'!$O:$O,'DRE 2021'!$B58,'Dados Mov Financeira'!$A:$A,'DRE 2021'!G$1,'Dados Mov Financeira'!$B:$B,'DRE 2021'!G$2)</f>
        <v>0</v>
      </c>
      <c r="H58" s="91" t="n">
        <f aca="false">IFERROR(G58/G$5,0)</f>
        <v>0</v>
      </c>
      <c r="J58" s="75" t="n">
        <f aca="false">SUMIFS('Dados Mov Financeira'!$N:$N,'Dados Mov Financeira'!$O:$O,'DRE 2021'!$B58,'Dados Mov Financeira'!$A:$A,'DRE 2021'!J$1,'Dados Mov Financeira'!$B:$B,'DRE 2021'!J$2)</f>
        <v>0</v>
      </c>
      <c r="K58" s="91" t="n">
        <f aca="false">IFERROR(J58/J$5,0)</f>
        <v>0</v>
      </c>
      <c r="M58" s="75" t="n">
        <f aca="false">SUMIFS('Dados Mov Financeira'!$N:$N,'Dados Mov Financeira'!$O:$O,'DRE 2021'!$B58,'Dados Mov Financeira'!$A:$A,'DRE 2021'!M$1,'Dados Mov Financeira'!$B:$B,'DRE 2021'!M$2)</f>
        <v>0</v>
      </c>
      <c r="N58" s="91" t="n">
        <f aca="false">IFERROR(M58/M$5,0)</f>
        <v>0</v>
      </c>
      <c r="P58" s="75" t="n">
        <f aca="false">SUMIFS('Dados Mov Financeira'!$N:$N,'Dados Mov Financeira'!$O:$O,'DRE 2021'!$B58,'Dados Mov Financeira'!$A:$A,'DRE 2021'!P$1,'Dados Mov Financeira'!$B:$B,'DRE 2021'!P$2)</f>
        <v>0</v>
      </c>
      <c r="Q58" s="91" t="n">
        <f aca="false">IFERROR(P58/P$5,0)</f>
        <v>0</v>
      </c>
      <c r="S58" s="75" t="n">
        <f aca="false">SUMIFS('Dados Mov Financeira'!$N:$N,'Dados Mov Financeira'!$O:$O,'DRE 2021'!$B58,'Dados Mov Financeira'!$A:$A,'DRE 2021'!S$1,'Dados Mov Financeira'!$B:$B,'DRE 2021'!S$2)</f>
        <v>0</v>
      </c>
      <c r="T58" s="91" t="n">
        <f aca="false">IFERROR(S58/S$5,0)</f>
        <v>0</v>
      </c>
      <c r="V58" s="75" t="n">
        <f aca="false">SUMIFS('Dados Mov Financeira'!$N:$N,'Dados Mov Financeira'!$O:$O,'DRE 2021'!$B58,'Dados Mov Financeira'!$A:$A,'DRE 2021'!V$1,'Dados Mov Financeira'!$B:$B,'DRE 2021'!V$2)</f>
        <v>0</v>
      </c>
      <c r="W58" s="91" t="n">
        <f aca="false">IFERROR(V58/V$5,0)</f>
        <v>0</v>
      </c>
      <c r="Y58" s="75" t="n">
        <f aca="false">SUMIFS('Dados Mov Financeira'!$N:$N,'Dados Mov Financeira'!$O:$O,'DRE 2021'!$B58,'Dados Mov Financeira'!$A:$A,'DRE 2021'!Y$1,'Dados Mov Financeira'!$B:$B,'DRE 2021'!Y$2)</f>
        <v>0</v>
      </c>
      <c r="Z58" s="91" t="n">
        <f aca="false">IFERROR(Y58/Y$5,0)</f>
        <v>0</v>
      </c>
      <c r="AB58" s="75" t="n">
        <f aca="false">SUMIFS('Dados Mov Financeira'!$N:$N,'Dados Mov Financeira'!$O:$O,'DRE 2021'!$B58,'Dados Mov Financeira'!$A:$A,'DRE 2021'!AB$1,'Dados Mov Financeira'!$B:$B,'DRE 2021'!AB$2)</f>
        <v>0</v>
      </c>
      <c r="AC58" s="91" t="n">
        <f aca="false">IFERROR(AB58/AB$5,0)</f>
        <v>0</v>
      </c>
      <c r="AE58" s="75" t="n">
        <f aca="false">SUMIFS('Dados Mov Financeira'!$N:$N,'Dados Mov Financeira'!$O:$O,'DRE 2021'!$B58,'Dados Mov Financeira'!$A:$A,'DRE 2021'!AE$1,'Dados Mov Financeira'!$B:$B,'DRE 2021'!AE$2)</f>
        <v>0</v>
      </c>
      <c r="AF58" s="91" t="n">
        <f aca="false">IFERROR(AE58/AE$5,0)</f>
        <v>0</v>
      </c>
      <c r="AH58" s="75" t="n">
        <f aca="false">SUMIFS('Dados Mov Financeira'!$N:$N,'Dados Mov Financeira'!$O:$O,'DRE 2021'!$B58,'Dados Mov Financeira'!$A:$A,'DRE 2021'!AH$1,'Dados Mov Financeira'!$B:$B,'DRE 2021'!AH$2)</f>
        <v>0</v>
      </c>
      <c r="AI58" s="91" t="n">
        <f aca="false">IFERROR(AH58/AH$5,0)</f>
        <v>0</v>
      </c>
      <c r="AK58" s="75" t="n">
        <f aca="false">SUMIFS('Dados Mov Financeira'!$N:$N,'Dados Mov Financeira'!$O:$O,'DRE 2021'!$B58,'Dados Mov Financeira'!$A:$A,'DRE 2021'!AK$1,'Dados Mov Financeira'!$B:$B,'DRE 2021'!AK$2)</f>
        <v>0</v>
      </c>
      <c r="AL58" s="91" t="n">
        <f aca="false">IFERROR(AK58/AK$5,0)</f>
        <v>0</v>
      </c>
      <c r="AN58" s="92" t="n">
        <f aca="false">SUM(D58,G58,J58,M58,P58,S58,V58,Y58,AB58,AE58,AH58,AK58)</f>
        <v>0</v>
      </c>
      <c r="AO58" s="91" t="n">
        <f aca="false">IFERROR(AN58/AN$5,0)</f>
        <v>0</v>
      </c>
      <c r="AQ58" s="93" t="n">
        <f aca="false">AN58/$AR$1</f>
        <v>0</v>
      </c>
      <c r="AR58" s="94" t="n">
        <f aca="false">IFERROR(AQ58/AQ$5,0)</f>
        <v>0</v>
      </c>
    </row>
    <row r="59" customFormat="false" ht="14.25" hidden="true" customHeight="false" outlineLevel="1" collapsed="false">
      <c r="B59" s="89" t="s">
        <v>79</v>
      </c>
      <c r="D59" s="75" t="n">
        <f aca="false">SUMIFS('Dados Mov Financeira'!$N:$N,'Dados Mov Financeira'!$O:$O,'DRE 2021'!$B59,'Dados Mov Financeira'!$A:$A,'DRE 2021'!D$1,'Dados Mov Financeira'!$B:$B,'DRE 2021'!D$2)</f>
        <v>0</v>
      </c>
      <c r="E59" s="91" t="n">
        <f aca="false">IFERROR(D59/D$5,0)</f>
        <v>0</v>
      </c>
      <c r="G59" s="75" t="n">
        <f aca="false">SUMIFS('Dados Mov Financeira'!$N:$N,'Dados Mov Financeira'!$O:$O,'DRE 2021'!$B59,'Dados Mov Financeira'!$A:$A,'DRE 2021'!G$1,'Dados Mov Financeira'!$B:$B,'DRE 2021'!G$2)</f>
        <v>0</v>
      </c>
      <c r="H59" s="91" t="n">
        <f aca="false">IFERROR(G59/G$5,0)</f>
        <v>0</v>
      </c>
      <c r="J59" s="75" t="n">
        <f aca="false">SUMIFS('Dados Mov Financeira'!$N:$N,'Dados Mov Financeira'!$O:$O,'DRE 2021'!$B59,'Dados Mov Financeira'!$A:$A,'DRE 2021'!J$1,'Dados Mov Financeira'!$B:$B,'DRE 2021'!J$2)</f>
        <v>0</v>
      </c>
      <c r="K59" s="91" t="n">
        <f aca="false">IFERROR(J59/J$5,0)</f>
        <v>0</v>
      </c>
      <c r="M59" s="75" t="n">
        <f aca="false">SUMIFS('Dados Mov Financeira'!$N:$N,'Dados Mov Financeira'!$O:$O,'DRE 2021'!$B59,'Dados Mov Financeira'!$A:$A,'DRE 2021'!M$1,'Dados Mov Financeira'!$B:$B,'DRE 2021'!M$2)</f>
        <v>0</v>
      </c>
      <c r="N59" s="91" t="n">
        <f aca="false">IFERROR(M59/M$5,0)</f>
        <v>0</v>
      </c>
      <c r="P59" s="75" t="n">
        <f aca="false">SUMIFS('Dados Mov Financeira'!$N:$N,'Dados Mov Financeira'!$O:$O,'DRE 2021'!$B59,'Dados Mov Financeira'!$A:$A,'DRE 2021'!P$1,'Dados Mov Financeira'!$B:$B,'DRE 2021'!P$2)</f>
        <v>0</v>
      </c>
      <c r="Q59" s="91" t="n">
        <f aca="false">IFERROR(P59/P$5,0)</f>
        <v>0</v>
      </c>
      <c r="S59" s="75" t="n">
        <f aca="false">SUMIFS('Dados Mov Financeira'!$N:$N,'Dados Mov Financeira'!$O:$O,'DRE 2021'!$B59,'Dados Mov Financeira'!$A:$A,'DRE 2021'!S$1,'Dados Mov Financeira'!$B:$B,'DRE 2021'!S$2)</f>
        <v>0</v>
      </c>
      <c r="T59" s="91" t="n">
        <f aca="false">IFERROR(S59/S$5,0)</f>
        <v>0</v>
      </c>
      <c r="V59" s="75" t="n">
        <f aca="false">SUMIFS('Dados Mov Financeira'!$N:$N,'Dados Mov Financeira'!$O:$O,'DRE 2021'!$B59,'Dados Mov Financeira'!$A:$A,'DRE 2021'!V$1,'Dados Mov Financeira'!$B:$B,'DRE 2021'!V$2)</f>
        <v>0</v>
      </c>
      <c r="W59" s="91" t="n">
        <f aca="false">IFERROR(V59/V$5,0)</f>
        <v>0</v>
      </c>
      <c r="Y59" s="75" t="n">
        <f aca="false">SUMIFS('Dados Mov Financeira'!$N:$N,'Dados Mov Financeira'!$O:$O,'DRE 2021'!$B59,'Dados Mov Financeira'!$A:$A,'DRE 2021'!Y$1,'Dados Mov Financeira'!$B:$B,'DRE 2021'!Y$2)</f>
        <v>0</v>
      </c>
      <c r="Z59" s="91" t="n">
        <f aca="false">IFERROR(Y59/Y$5,0)</f>
        <v>0</v>
      </c>
      <c r="AB59" s="75" t="n">
        <f aca="false">SUMIFS('Dados Mov Financeira'!$N:$N,'Dados Mov Financeira'!$O:$O,'DRE 2021'!$B59,'Dados Mov Financeira'!$A:$A,'DRE 2021'!AB$1,'Dados Mov Financeira'!$B:$B,'DRE 2021'!AB$2)</f>
        <v>0</v>
      </c>
      <c r="AC59" s="91" t="n">
        <f aca="false">IFERROR(AB59/AB$5,0)</f>
        <v>0</v>
      </c>
      <c r="AE59" s="75" t="n">
        <f aca="false">SUMIFS('Dados Mov Financeira'!$N:$N,'Dados Mov Financeira'!$O:$O,'DRE 2021'!$B59,'Dados Mov Financeira'!$A:$A,'DRE 2021'!AE$1,'Dados Mov Financeira'!$B:$B,'DRE 2021'!AE$2)</f>
        <v>0</v>
      </c>
      <c r="AF59" s="91" t="n">
        <f aca="false">IFERROR(AE59/AE$5,0)</f>
        <v>0</v>
      </c>
      <c r="AH59" s="75" t="n">
        <f aca="false">SUMIFS('Dados Mov Financeira'!$N:$N,'Dados Mov Financeira'!$O:$O,'DRE 2021'!$B59,'Dados Mov Financeira'!$A:$A,'DRE 2021'!AH$1,'Dados Mov Financeira'!$B:$B,'DRE 2021'!AH$2)</f>
        <v>0</v>
      </c>
      <c r="AI59" s="91" t="n">
        <f aca="false">IFERROR(AH59/AH$5,0)</f>
        <v>0</v>
      </c>
      <c r="AK59" s="75" t="n">
        <f aca="false">SUMIFS('Dados Mov Financeira'!$N:$N,'Dados Mov Financeira'!$O:$O,'DRE 2021'!$B59,'Dados Mov Financeira'!$A:$A,'DRE 2021'!AK$1,'Dados Mov Financeira'!$B:$B,'DRE 2021'!AK$2)</f>
        <v>0</v>
      </c>
      <c r="AL59" s="91" t="n">
        <f aca="false">IFERROR(AK59/AK$5,0)</f>
        <v>0</v>
      </c>
      <c r="AN59" s="92" t="n">
        <f aca="false">SUM(D59,G59,J59,M59,P59,S59,V59,Y59,AB59,AE59,AH59,AK59)</f>
        <v>0</v>
      </c>
      <c r="AO59" s="91" t="n">
        <f aca="false">IFERROR(AN59/AN$5,0)</f>
        <v>0</v>
      </c>
      <c r="AQ59" s="93" t="n">
        <f aca="false">AN59/$AR$1</f>
        <v>0</v>
      </c>
      <c r="AR59" s="94" t="n">
        <f aca="false">IFERROR(AQ59/AQ$5,0)</f>
        <v>0</v>
      </c>
    </row>
    <row r="60" customFormat="false" ht="15.75" hidden="true" customHeight="true" outlineLevel="1" collapsed="false">
      <c r="B60" s="89" t="s">
        <v>80</v>
      </c>
      <c r="D60" s="75" t="n">
        <f aca="false">SUMIFS('Dados Mov Financeira'!$N:$N,'Dados Mov Financeira'!$O:$O,'DRE 2021'!$B60,'Dados Mov Financeira'!$A:$A,'DRE 2021'!D$1,'Dados Mov Financeira'!$B:$B,'DRE 2021'!D$2)</f>
        <v>0</v>
      </c>
      <c r="E60" s="91" t="n">
        <f aca="false">IFERROR(D60/D$5,0)</f>
        <v>0</v>
      </c>
      <c r="G60" s="75" t="n">
        <f aca="false">SUMIFS('Dados Mov Financeira'!$N:$N,'Dados Mov Financeira'!$O:$O,'DRE 2021'!$B60,'Dados Mov Financeira'!$A:$A,'DRE 2021'!G$1,'Dados Mov Financeira'!$B:$B,'DRE 2021'!G$2)</f>
        <v>0</v>
      </c>
      <c r="H60" s="91" t="n">
        <f aca="false">IFERROR(G60/G$5,0)</f>
        <v>0</v>
      </c>
      <c r="J60" s="75" t="n">
        <f aca="false">SUMIFS('Dados Mov Financeira'!$N:$N,'Dados Mov Financeira'!$O:$O,'DRE 2021'!$B60,'Dados Mov Financeira'!$A:$A,'DRE 2021'!J$1,'Dados Mov Financeira'!$B:$B,'DRE 2021'!J$2)</f>
        <v>0</v>
      </c>
      <c r="K60" s="91" t="n">
        <f aca="false">IFERROR(J60/J$5,0)</f>
        <v>0</v>
      </c>
      <c r="M60" s="75" t="n">
        <f aca="false">SUMIFS('Dados Mov Financeira'!$N:$N,'Dados Mov Financeira'!$O:$O,'DRE 2021'!$B60,'Dados Mov Financeira'!$A:$A,'DRE 2021'!M$1,'Dados Mov Financeira'!$B:$B,'DRE 2021'!M$2)</f>
        <v>0</v>
      </c>
      <c r="N60" s="91" t="n">
        <f aca="false">IFERROR(M60/M$5,0)</f>
        <v>0</v>
      </c>
      <c r="P60" s="75" t="n">
        <f aca="false">SUMIFS('Dados Mov Financeira'!$N:$N,'Dados Mov Financeira'!$O:$O,'DRE 2021'!$B60,'Dados Mov Financeira'!$A:$A,'DRE 2021'!P$1,'Dados Mov Financeira'!$B:$B,'DRE 2021'!P$2)</f>
        <v>0</v>
      </c>
      <c r="Q60" s="91" t="n">
        <f aca="false">IFERROR(P60/P$5,0)</f>
        <v>0</v>
      </c>
      <c r="S60" s="75" t="n">
        <f aca="false">SUMIFS('Dados Mov Financeira'!$N:$N,'Dados Mov Financeira'!$O:$O,'DRE 2021'!$B60,'Dados Mov Financeira'!$A:$A,'DRE 2021'!S$1,'Dados Mov Financeira'!$B:$B,'DRE 2021'!S$2)</f>
        <v>0</v>
      </c>
      <c r="T60" s="91" t="n">
        <f aca="false">IFERROR(S60/S$5,0)</f>
        <v>0</v>
      </c>
      <c r="V60" s="75" t="n">
        <f aca="false">SUMIFS('Dados Mov Financeira'!$N:$N,'Dados Mov Financeira'!$O:$O,'DRE 2021'!$B60,'Dados Mov Financeira'!$A:$A,'DRE 2021'!V$1,'Dados Mov Financeira'!$B:$B,'DRE 2021'!V$2)</f>
        <v>0</v>
      </c>
      <c r="W60" s="91" t="n">
        <f aca="false">IFERROR(V60/V$5,0)</f>
        <v>0</v>
      </c>
      <c r="Y60" s="75" t="n">
        <f aca="false">SUMIFS('Dados Mov Financeira'!$N:$N,'Dados Mov Financeira'!$O:$O,'DRE 2021'!$B60,'Dados Mov Financeira'!$A:$A,'DRE 2021'!Y$1,'Dados Mov Financeira'!$B:$B,'DRE 2021'!Y$2)</f>
        <v>0</v>
      </c>
      <c r="Z60" s="91" t="n">
        <f aca="false">IFERROR(Y60/Y$5,0)</f>
        <v>0</v>
      </c>
      <c r="AB60" s="75" t="n">
        <f aca="false">SUMIFS('Dados Mov Financeira'!$N:$N,'Dados Mov Financeira'!$O:$O,'DRE 2021'!$B60,'Dados Mov Financeira'!$A:$A,'DRE 2021'!AB$1,'Dados Mov Financeira'!$B:$B,'DRE 2021'!AB$2)</f>
        <v>0</v>
      </c>
      <c r="AC60" s="91" t="n">
        <f aca="false">IFERROR(AB60/AB$5,0)</f>
        <v>0</v>
      </c>
      <c r="AE60" s="75" t="n">
        <f aca="false">SUMIFS('Dados Mov Financeira'!$N:$N,'Dados Mov Financeira'!$O:$O,'DRE 2021'!$B60,'Dados Mov Financeira'!$A:$A,'DRE 2021'!AE$1,'Dados Mov Financeira'!$B:$B,'DRE 2021'!AE$2)</f>
        <v>0</v>
      </c>
      <c r="AF60" s="91" t="n">
        <f aca="false">IFERROR(AE60/AE$5,0)</f>
        <v>0</v>
      </c>
      <c r="AH60" s="75" t="n">
        <f aca="false">SUMIFS('Dados Mov Financeira'!$N:$N,'Dados Mov Financeira'!$O:$O,'DRE 2021'!$B60,'Dados Mov Financeira'!$A:$A,'DRE 2021'!AH$1,'Dados Mov Financeira'!$B:$B,'DRE 2021'!AH$2)</f>
        <v>0</v>
      </c>
      <c r="AI60" s="91" t="n">
        <f aca="false">IFERROR(AH60/AH$5,0)</f>
        <v>0</v>
      </c>
      <c r="AK60" s="75" t="n">
        <f aca="false">SUMIFS('Dados Mov Financeira'!$N:$N,'Dados Mov Financeira'!$O:$O,'DRE 2021'!$B60,'Dados Mov Financeira'!$A:$A,'DRE 2021'!AK$1,'Dados Mov Financeira'!$B:$B,'DRE 2021'!AK$2)</f>
        <v>0</v>
      </c>
      <c r="AL60" s="91" t="n">
        <f aca="false">IFERROR(AK60/AK$5,0)</f>
        <v>0</v>
      </c>
      <c r="AN60" s="92" t="n">
        <f aca="false">SUM(D60,G60,J60,M60,P60,S60,V60,Y60,AB60,AE60,AH60,AK60)</f>
        <v>0</v>
      </c>
      <c r="AO60" s="91" t="n">
        <f aca="false">IFERROR(AN60/AN$5,0)</f>
        <v>0</v>
      </c>
      <c r="AQ60" s="93" t="n">
        <f aca="false">AN60/$AR$1</f>
        <v>0</v>
      </c>
      <c r="AR60" s="94" t="n">
        <f aca="false">IFERROR(AQ60/AQ$5,0)</f>
        <v>0</v>
      </c>
    </row>
    <row r="61" customFormat="false" ht="15.75" hidden="true" customHeight="true" outlineLevel="1" collapsed="false">
      <c r="B61" s="89" t="s">
        <v>81</v>
      </c>
      <c r="D61" s="75" t="n">
        <f aca="false">SUMIFS('Dados Mov Financeira'!$N:$N,'Dados Mov Financeira'!$O:$O,'DRE 2021'!$B61,'Dados Mov Financeira'!$A:$A,'DRE 2021'!D$1,'Dados Mov Financeira'!$B:$B,'DRE 2021'!D$2)</f>
        <v>0</v>
      </c>
      <c r="E61" s="91" t="n">
        <f aca="false">IFERROR(D61/D$5,0)</f>
        <v>0</v>
      </c>
      <c r="G61" s="75" t="n">
        <f aca="false">SUMIFS('Dados Mov Financeira'!$N:$N,'Dados Mov Financeira'!$O:$O,'DRE 2021'!$B61,'Dados Mov Financeira'!$A:$A,'DRE 2021'!G$1,'Dados Mov Financeira'!$B:$B,'DRE 2021'!G$2)</f>
        <v>0</v>
      </c>
      <c r="H61" s="91" t="n">
        <f aca="false">IFERROR(G61/G$5,0)</f>
        <v>0</v>
      </c>
      <c r="J61" s="75" t="n">
        <f aca="false">SUMIFS('Dados Mov Financeira'!$N:$N,'Dados Mov Financeira'!$O:$O,'DRE 2021'!$B61,'Dados Mov Financeira'!$A:$A,'DRE 2021'!J$1,'Dados Mov Financeira'!$B:$B,'DRE 2021'!J$2)</f>
        <v>0</v>
      </c>
      <c r="K61" s="91" t="n">
        <f aca="false">IFERROR(J61/J$5,0)</f>
        <v>0</v>
      </c>
      <c r="M61" s="75" t="n">
        <f aca="false">SUMIFS('Dados Mov Financeira'!$N:$N,'Dados Mov Financeira'!$O:$O,'DRE 2021'!$B61,'Dados Mov Financeira'!$A:$A,'DRE 2021'!M$1,'Dados Mov Financeira'!$B:$B,'DRE 2021'!M$2)</f>
        <v>0</v>
      </c>
      <c r="N61" s="91" t="n">
        <f aca="false">IFERROR(M61/M$5,0)</f>
        <v>0</v>
      </c>
      <c r="P61" s="75" t="n">
        <f aca="false">SUMIFS('Dados Mov Financeira'!$N:$N,'Dados Mov Financeira'!$O:$O,'DRE 2021'!$B61,'Dados Mov Financeira'!$A:$A,'DRE 2021'!P$1,'Dados Mov Financeira'!$B:$B,'DRE 2021'!P$2)</f>
        <v>0</v>
      </c>
      <c r="Q61" s="91" t="n">
        <f aca="false">IFERROR(P61/P$5,0)</f>
        <v>0</v>
      </c>
      <c r="S61" s="75" t="n">
        <f aca="false">SUMIFS('Dados Mov Financeira'!$N:$N,'Dados Mov Financeira'!$O:$O,'DRE 2021'!$B61,'Dados Mov Financeira'!$A:$A,'DRE 2021'!S$1,'Dados Mov Financeira'!$B:$B,'DRE 2021'!S$2)</f>
        <v>0</v>
      </c>
      <c r="T61" s="91" t="n">
        <f aca="false">IFERROR(S61/S$5,0)</f>
        <v>0</v>
      </c>
      <c r="V61" s="75" t="n">
        <f aca="false">SUMIFS('Dados Mov Financeira'!$N:$N,'Dados Mov Financeira'!$O:$O,'DRE 2021'!$B61,'Dados Mov Financeira'!$A:$A,'DRE 2021'!V$1,'Dados Mov Financeira'!$B:$B,'DRE 2021'!V$2)</f>
        <v>0</v>
      </c>
      <c r="W61" s="91" t="n">
        <f aca="false">IFERROR(V61/V$5,0)</f>
        <v>0</v>
      </c>
      <c r="Y61" s="75" t="n">
        <f aca="false">SUMIFS('Dados Mov Financeira'!$N:$N,'Dados Mov Financeira'!$O:$O,'DRE 2021'!$B61,'Dados Mov Financeira'!$A:$A,'DRE 2021'!Y$1,'Dados Mov Financeira'!$B:$B,'DRE 2021'!Y$2)</f>
        <v>0</v>
      </c>
      <c r="Z61" s="91" t="n">
        <f aca="false">IFERROR(Y61/Y$5,0)</f>
        <v>0</v>
      </c>
      <c r="AB61" s="75" t="n">
        <f aca="false">SUMIFS('Dados Mov Financeira'!$N:$N,'Dados Mov Financeira'!$O:$O,'DRE 2021'!$B61,'Dados Mov Financeira'!$A:$A,'DRE 2021'!AB$1,'Dados Mov Financeira'!$B:$B,'DRE 2021'!AB$2)</f>
        <v>0</v>
      </c>
      <c r="AC61" s="91" t="n">
        <f aca="false">IFERROR(AB61/AB$5,0)</f>
        <v>0</v>
      </c>
      <c r="AE61" s="75" t="n">
        <f aca="false">SUMIFS('Dados Mov Financeira'!$N:$N,'Dados Mov Financeira'!$O:$O,'DRE 2021'!$B61,'Dados Mov Financeira'!$A:$A,'DRE 2021'!AE$1,'Dados Mov Financeira'!$B:$B,'DRE 2021'!AE$2)</f>
        <v>0</v>
      </c>
      <c r="AF61" s="91" t="n">
        <f aca="false">IFERROR(AE61/AE$5,0)</f>
        <v>0</v>
      </c>
      <c r="AH61" s="75" t="n">
        <f aca="false">SUMIFS('Dados Mov Financeira'!$N:$N,'Dados Mov Financeira'!$O:$O,'DRE 2021'!$B61,'Dados Mov Financeira'!$A:$A,'DRE 2021'!AH$1,'Dados Mov Financeira'!$B:$B,'DRE 2021'!AH$2)</f>
        <v>0</v>
      </c>
      <c r="AI61" s="91" t="n">
        <f aca="false">IFERROR(AH61/AH$5,0)</f>
        <v>0</v>
      </c>
      <c r="AK61" s="75" t="n">
        <f aca="false">SUMIFS('Dados Mov Financeira'!$N:$N,'Dados Mov Financeira'!$O:$O,'DRE 2021'!$B61,'Dados Mov Financeira'!$A:$A,'DRE 2021'!AK$1,'Dados Mov Financeira'!$B:$B,'DRE 2021'!AK$2)</f>
        <v>0</v>
      </c>
      <c r="AL61" s="91" t="n">
        <f aca="false">IFERROR(AK61/AK$5,0)</f>
        <v>0</v>
      </c>
      <c r="AN61" s="92" t="n">
        <f aca="false">SUM(D61,G61,J61,M61,P61,S61,V61,Y61,AB61,AE61,AH61,AK61)</f>
        <v>0</v>
      </c>
      <c r="AO61" s="91" t="n">
        <f aca="false">IFERROR(AN61/AN$5,0)</f>
        <v>0</v>
      </c>
      <c r="AQ61" s="93" t="n">
        <f aca="false">AN61/$AR$1</f>
        <v>0</v>
      </c>
      <c r="AR61" s="94" t="n">
        <f aca="false">IFERROR(AQ61/AQ$5,0)</f>
        <v>0</v>
      </c>
    </row>
    <row r="62" customFormat="false" ht="15.75" hidden="true" customHeight="true" outlineLevel="1" collapsed="false">
      <c r="B62" s="89" t="s">
        <v>82</v>
      </c>
      <c r="D62" s="75" t="n">
        <f aca="false">SUMIFS('Dados Mov Financeira'!$N:$N,'Dados Mov Financeira'!$O:$O,'DRE 2021'!$B62,'Dados Mov Financeira'!$A:$A,'DRE 2021'!D$1,'Dados Mov Financeira'!$B:$B,'DRE 2021'!D$2)</f>
        <v>0</v>
      </c>
      <c r="E62" s="91" t="n">
        <f aca="false">IFERROR(D62/D$5,0)</f>
        <v>0</v>
      </c>
      <c r="G62" s="75" t="n">
        <f aca="false">SUMIFS('Dados Mov Financeira'!$N:$N,'Dados Mov Financeira'!$O:$O,'DRE 2021'!$B62,'Dados Mov Financeira'!$A:$A,'DRE 2021'!G$1,'Dados Mov Financeira'!$B:$B,'DRE 2021'!G$2)</f>
        <v>0</v>
      </c>
      <c r="H62" s="91" t="n">
        <f aca="false">IFERROR(G62/G$5,0)</f>
        <v>0</v>
      </c>
      <c r="J62" s="75" t="n">
        <f aca="false">SUMIFS('Dados Mov Financeira'!$N:$N,'Dados Mov Financeira'!$O:$O,'DRE 2021'!$B62,'Dados Mov Financeira'!$A:$A,'DRE 2021'!J$1,'Dados Mov Financeira'!$B:$B,'DRE 2021'!J$2)</f>
        <v>0</v>
      </c>
      <c r="K62" s="91" t="n">
        <f aca="false">IFERROR(J62/J$5,0)</f>
        <v>0</v>
      </c>
      <c r="M62" s="75" t="n">
        <f aca="false">SUMIFS('Dados Mov Financeira'!$N:$N,'Dados Mov Financeira'!$O:$O,'DRE 2021'!$B62,'Dados Mov Financeira'!$A:$A,'DRE 2021'!M$1,'Dados Mov Financeira'!$B:$B,'DRE 2021'!M$2)</f>
        <v>0</v>
      </c>
      <c r="N62" s="91" t="n">
        <f aca="false">IFERROR(M62/M$5,0)</f>
        <v>0</v>
      </c>
      <c r="P62" s="75" t="n">
        <f aca="false">SUMIFS('Dados Mov Financeira'!$N:$N,'Dados Mov Financeira'!$O:$O,'DRE 2021'!$B62,'Dados Mov Financeira'!$A:$A,'DRE 2021'!P$1,'Dados Mov Financeira'!$B:$B,'DRE 2021'!P$2)</f>
        <v>0</v>
      </c>
      <c r="Q62" s="91" t="n">
        <f aca="false">IFERROR(P62/P$5,0)</f>
        <v>0</v>
      </c>
      <c r="S62" s="75" t="n">
        <f aca="false">SUMIFS('Dados Mov Financeira'!$N:$N,'Dados Mov Financeira'!$O:$O,'DRE 2021'!$B62,'Dados Mov Financeira'!$A:$A,'DRE 2021'!S$1,'Dados Mov Financeira'!$B:$B,'DRE 2021'!S$2)</f>
        <v>0</v>
      </c>
      <c r="T62" s="91" t="n">
        <f aca="false">IFERROR(S62/S$5,0)</f>
        <v>0</v>
      </c>
      <c r="V62" s="75" t="n">
        <f aca="false">SUMIFS('Dados Mov Financeira'!$N:$N,'Dados Mov Financeira'!$O:$O,'DRE 2021'!$B62,'Dados Mov Financeira'!$A:$A,'DRE 2021'!V$1,'Dados Mov Financeira'!$B:$B,'DRE 2021'!V$2)</f>
        <v>0</v>
      </c>
      <c r="W62" s="91" t="n">
        <f aca="false">IFERROR(V62/V$5,0)</f>
        <v>0</v>
      </c>
      <c r="Y62" s="75" t="n">
        <f aca="false">SUMIFS('Dados Mov Financeira'!$N:$N,'Dados Mov Financeira'!$O:$O,'DRE 2021'!$B62,'Dados Mov Financeira'!$A:$A,'DRE 2021'!Y$1,'Dados Mov Financeira'!$B:$B,'DRE 2021'!Y$2)</f>
        <v>0</v>
      </c>
      <c r="Z62" s="91" t="n">
        <f aca="false">IFERROR(Y62/Y$5,0)</f>
        <v>0</v>
      </c>
      <c r="AB62" s="75" t="n">
        <f aca="false">SUMIFS('Dados Mov Financeira'!$N:$N,'Dados Mov Financeira'!$O:$O,'DRE 2021'!$B62,'Dados Mov Financeira'!$A:$A,'DRE 2021'!AB$1,'Dados Mov Financeira'!$B:$B,'DRE 2021'!AB$2)</f>
        <v>0</v>
      </c>
      <c r="AC62" s="91" t="n">
        <f aca="false">IFERROR(AB62/AB$5,0)</f>
        <v>0</v>
      </c>
      <c r="AE62" s="75" t="n">
        <f aca="false">SUMIFS('Dados Mov Financeira'!$N:$N,'Dados Mov Financeira'!$O:$O,'DRE 2021'!$B62,'Dados Mov Financeira'!$A:$A,'DRE 2021'!AE$1,'Dados Mov Financeira'!$B:$B,'DRE 2021'!AE$2)</f>
        <v>0</v>
      </c>
      <c r="AF62" s="91" t="n">
        <f aca="false">IFERROR(AE62/AE$5,0)</f>
        <v>0</v>
      </c>
      <c r="AH62" s="75" t="n">
        <f aca="false">SUMIFS('Dados Mov Financeira'!$N:$N,'Dados Mov Financeira'!$O:$O,'DRE 2021'!$B62,'Dados Mov Financeira'!$A:$A,'DRE 2021'!AH$1,'Dados Mov Financeira'!$B:$B,'DRE 2021'!AH$2)</f>
        <v>0</v>
      </c>
      <c r="AI62" s="91" t="n">
        <f aca="false">IFERROR(AH62/AH$5,0)</f>
        <v>0</v>
      </c>
      <c r="AK62" s="75" t="n">
        <f aca="false">SUMIFS('Dados Mov Financeira'!$N:$N,'Dados Mov Financeira'!$O:$O,'DRE 2021'!$B62,'Dados Mov Financeira'!$A:$A,'DRE 2021'!AK$1,'Dados Mov Financeira'!$B:$B,'DRE 2021'!AK$2)</f>
        <v>0</v>
      </c>
      <c r="AL62" s="91" t="n">
        <f aca="false">IFERROR(AK62/AK$5,0)</f>
        <v>0</v>
      </c>
      <c r="AN62" s="92" t="n">
        <f aca="false">SUM(D62,G62,J62,M62,P62,S62,V62,Y62,AB62,AE62,AH62,AK62)</f>
        <v>0</v>
      </c>
      <c r="AO62" s="91" t="n">
        <f aca="false">IFERROR(AN62/AN$5,0)</f>
        <v>0</v>
      </c>
      <c r="AQ62" s="125" t="n">
        <f aca="false">AN62/$AR$1</f>
        <v>0</v>
      </c>
      <c r="AR62" s="94" t="n">
        <f aca="false">IFERROR(AQ62/AQ$5,0)</f>
        <v>0</v>
      </c>
    </row>
    <row r="63" customFormat="false" ht="15.75" hidden="true" customHeight="true" outlineLevel="1" collapsed="false">
      <c r="B63" s="89" t="s">
        <v>83</v>
      </c>
      <c r="D63" s="75" t="n">
        <f aca="false">SUMIFS('Dados Mov Financeira'!$N:$N,'Dados Mov Financeira'!$O:$O,'DRE 2021'!$B63,'Dados Mov Financeira'!$A:$A,'DRE 2021'!D$1,'Dados Mov Financeira'!$B:$B,'DRE 2021'!D$2)</f>
        <v>0</v>
      </c>
      <c r="E63" s="91" t="n">
        <f aca="false">IFERROR(D63/D$5,0)</f>
        <v>0</v>
      </c>
      <c r="G63" s="75" t="n">
        <f aca="false">SUMIFS('Dados Mov Financeira'!$N:$N,'Dados Mov Financeira'!$O:$O,'DRE 2021'!$B63,'Dados Mov Financeira'!$A:$A,'DRE 2021'!G$1,'Dados Mov Financeira'!$B:$B,'DRE 2021'!G$2)</f>
        <v>0</v>
      </c>
      <c r="H63" s="91" t="n">
        <f aca="false">IFERROR(G63/G$5,0)</f>
        <v>0</v>
      </c>
      <c r="J63" s="75" t="n">
        <f aca="false">SUMIFS('Dados Mov Financeira'!$N:$N,'Dados Mov Financeira'!$O:$O,'DRE 2021'!$B63,'Dados Mov Financeira'!$A:$A,'DRE 2021'!J$1,'Dados Mov Financeira'!$B:$B,'DRE 2021'!J$2)</f>
        <v>0</v>
      </c>
      <c r="K63" s="91" t="n">
        <f aca="false">IFERROR(J63/J$5,0)</f>
        <v>0</v>
      </c>
      <c r="M63" s="75" t="n">
        <f aca="false">SUMIFS('Dados Mov Financeira'!$N:$N,'Dados Mov Financeira'!$O:$O,'DRE 2021'!$B63,'Dados Mov Financeira'!$A:$A,'DRE 2021'!M$1,'Dados Mov Financeira'!$B:$B,'DRE 2021'!M$2)</f>
        <v>0</v>
      </c>
      <c r="N63" s="91" t="n">
        <f aca="false">IFERROR(M63/M$5,0)</f>
        <v>0</v>
      </c>
      <c r="P63" s="75" t="n">
        <f aca="false">SUMIFS('Dados Mov Financeira'!$N:$N,'Dados Mov Financeira'!$O:$O,'DRE 2021'!$B63,'Dados Mov Financeira'!$A:$A,'DRE 2021'!P$1,'Dados Mov Financeira'!$B:$B,'DRE 2021'!P$2)</f>
        <v>0</v>
      </c>
      <c r="Q63" s="91" t="n">
        <f aca="false">IFERROR(P63/P$5,0)</f>
        <v>0</v>
      </c>
      <c r="S63" s="75" t="n">
        <f aca="false">SUMIFS('Dados Mov Financeira'!$N:$N,'Dados Mov Financeira'!$O:$O,'DRE 2021'!$B63,'Dados Mov Financeira'!$A:$A,'DRE 2021'!S$1,'Dados Mov Financeira'!$B:$B,'DRE 2021'!S$2)</f>
        <v>0</v>
      </c>
      <c r="T63" s="91" t="n">
        <f aca="false">IFERROR(S63/S$5,0)</f>
        <v>0</v>
      </c>
      <c r="V63" s="75" t="n">
        <f aca="false">SUMIFS('Dados Mov Financeira'!$N:$N,'Dados Mov Financeira'!$O:$O,'DRE 2021'!$B63,'Dados Mov Financeira'!$A:$A,'DRE 2021'!V$1,'Dados Mov Financeira'!$B:$B,'DRE 2021'!V$2)</f>
        <v>0</v>
      </c>
      <c r="W63" s="91" t="n">
        <f aca="false">IFERROR(V63/V$5,0)</f>
        <v>0</v>
      </c>
      <c r="Y63" s="75" t="n">
        <f aca="false">SUMIFS('Dados Mov Financeira'!$N:$N,'Dados Mov Financeira'!$O:$O,'DRE 2021'!$B63,'Dados Mov Financeira'!$A:$A,'DRE 2021'!Y$1,'Dados Mov Financeira'!$B:$B,'DRE 2021'!Y$2)</f>
        <v>0</v>
      </c>
      <c r="Z63" s="91" t="n">
        <f aca="false">IFERROR(Y63/Y$5,0)</f>
        <v>0</v>
      </c>
      <c r="AB63" s="75" t="n">
        <f aca="false">SUMIFS('Dados Mov Financeira'!$N:$N,'Dados Mov Financeira'!$O:$O,'DRE 2021'!$B63,'Dados Mov Financeira'!$A:$A,'DRE 2021'!AB$1,'Dados Mov Financeira'!$B:$B,'DRE 2021'!AB$2)</f>
        <v>0</v>
      </c>
      <c r="AC63" s="91" t="n">
        <f aca="false">IFERROR(AB63/AB$5,0)</f>
        <v>0</v>
      </c>
      <c r="AE63" s="75" t="n">
        <f aca="false">SUMIFS('Dados Mov Financeira'!$N:$N,'Dados Mov Financeira'!$O:$O,'DRE 2021'!$B63,'Dados Mov Financeira'!$A:$A,'DRE 2021'!AE$1,'Dados Mov Financeira'!$B:$B,'DRE 2021'!AE$2)</f>
        <v>0</v>
      </c>
      <c r="AF63" s="91" t="n">
        <f aca="false">IFERROR(AE63/AE$5,0)</f>
        <v>0</v>
      </c>
      <c r="AH63" s="75" t="n">
        <f aca="false">SUMIFS('Dados Mov Financeira'!$N:$N,'Dados Mov Financeira'!$O:$O,'DRE 2021'!$B63,'Dados Mov Financeira'!$A:$A,'DRE 2021'!AH$1,'Dados Mov Financeira'!$B:$B,'DRE 2021'!AH$2)</f>
        <v>0</v>
      </c>
      <c r="AI63" s="91" t="n">
        <f aca="false">IFERROR(AH63/AH$5,0)</f>
        <v>0</v>
      </c>
      <c r="AK63" s="75" t="n">
        <f aca="false">SUMIFS('Dados Mov Financeira'!$N:$N,'Dados Mov Financeira'!$O:$O,'DRE 2021'!$B63,'Dados Mov Financeira'!$A:$A,'DRE 2021'!AK$1,'Dados Mov Financeira'!$B:$B,'DRE 2021'!AK$2)</f>
        <v>0</v>
      </c>
      <c r="AL63" s="91" t="n">
        <f aca="false">IFERROR(AK63/AK$5,0)</f>
        <v>0</v>
      </c>
      <c r="AN63" s="92" t="n">
        <f aca="false">SUM(D63,G63,J63,M63,P63,S63,V63,Y63,AB63,AE63,AH63,AK63)</f>
        <v>0</v>
      </c>
      <c r="AO63" s="91" t="n">
        <f aca="false">IFERROR(AN63/AN$5,0)</f>
        <v>0</v>
      </c>
      <c r="AQ63" s="93" t="n">
        <f aca="false">AN63/$AR$1</f>
        <v>0</v>
      </c>
      <c r="AR63" s="94" t="n">
        <f aca="false">IFERROR(AQ63/AQ$5,0)</f>
        <v>0</v>
      </c>
    </row>
    <row r="64" customFormat="false" ht="15.75" hidden="true" customHeight="true" outlineLevel="1" collapsed="false">
      <c r="B64" s="89" t="s">
        <v>84</v>
      </c>
      <c r="D64" s="75" t="n">
        <f aca="false">SUMIFS('Dados Mov Financeira'!$N:$N,'Dados Mov Financeira'!$O:$O,'DRE 2021'!$B64,'Dados Mov Financeira'!$A:$A,'DRE 2021'!D$1,'Dados Mov Financeira'!$B:$B,'DRE 2021'!D$2)</f>
        <v>0</v>
      </c>
      <c r="E64" s="91" t="n">
        <f aca="false">IFERROR(D64/D$5,0)</f>
        <v>0</v>
      </c>
      <c r="G64" s="75" t="n">
        <f aca="false">SUMIFS('Dados Mov Financeira'!$N:$N,'Dados Mov Financeira'!$O:$O,'DRE 2021'!$B64,'Dados Mov Financeira'!$A:$A,'DRE 2021'!G$1,'Dados Mov Financeira'!$B:$B,'DRE 2021'!G$2)</f>
        <v>0</v>
      </c>
      <c r="H64" s="91" t="n">
        <f aca="false">IFERROR(G64/G$5,0)</f>
        <v>0</v>
      </c>
      <c r="J64" s="75" t="n">
        <f aca="false">SUMIFS('Dados Mov Financeira'!$N:$N,'Dados Mov Financeira'!$O:$O,'DRE 2021'!$B64,'Dados Mov Financeira'!$A:$A,'DRE 2021'!J$1,'Dados Mov Financeira'!$B:$B,'DRE 2021'!J$2)</f>
        <v>0</v>
      </c>
      <c r="K64" s="91" t="n">
        <f aca="false">IFERROR(J64/J$5,0)</f>
        <v>0</v>
      </c>
      <c r="M64" s="75" t="n">
        <f aca="false">SUMIFS('Dados Mov Financeira'!$N:$N,'Dados Mov Financeira'!$O:$O,'DRE 2021'!$B64,'Dados Mov Financeira'!$A:$A,'DRE 2021'!M$1,'Dados Mov Financeira'!$B:$B,'DRE 2021'!M$2)</f>
        <v>0</v>
      </c>
      <c r="N64" s="91" t="n">
        <f aca="false">IFERROR(M64/M$5,0)</f>
        <v>0</v>
      </c>
      <c r="P64" s="75" t="n">
        <f aca="false">SUMIFS('Dados Mov Financeira'!$N:$N,'Dados Mov Financeira'!$O:$O,'DRE 2021'!$B64,'Dados Mov Financeira'!$A:$A,'DRE 2021'!P$1,'Dados Mov Financeira'!$B:$B,'DRE 2021'!P$2)</f>
        <v>0</v>
      </c>
      <c r="Q64" s="91" t="n">
        <f aca="false">IFERROR(P64/P$5,0)</f>
        <v>0</v>
      </c>
      <c r="S64" s="75" t="n">
        <f aca="false">SUMIFS('Dados Mov Financeira'!$N:$N,'Dados Mov Financeira'!$O:$O,'DRE 2021'!$B64,'Dados Mov Financeira'!$A:$A,'DRE 2021'!S$1,'Dados Mov Financeira'!$B:$B,'DRE 2021'!S$2)</f>
        <v>0</v>
      </c>
      <c r="T64" s="91" t="n">
        <f aca="false">IFERROR(S64/S$5,0)</f>
        <v>0</v>
      </c>
      <c r="V64" s="75" t="n">
        <f aca="false">SUMIFS('Dados Mov Financeira'!$N:$N,'Dados Mov Financeira'!$O:$O,'DRE 2021'!$B64,'Dados Mov Financeira'!$A:$A,'DRE 2021'!V$1,'Dados Mov Financeira'!$B:$B,'DRE 2021'!V$2)</f>
        <v>0</v>
      </c>
      <c r="W64" s="91" t="n">
        <f aca="false">IFERROR(V64/V$5,0)</f>
        <v>0</v>
      </c>
      <c r="Y64" s="75" t="n">
        <f aca="false">SUMIFS('Dados Mov Financeira'!$N:$N,'Dados Mov Financeira'!$O:$O,'DRE 2021'!$B64,'Dados Mov Financeira'!$A:$A,'DRE 2021'!Y$1,'Dados Mov Financeira'!$B:$B,'DRE 2021'!Y$2)</f>
        <v>0</v>
      </c>
      <c r="Z64" s="91" t="n">
        <f aca="false">IFERROR(Y64/Y$5,0)</f>
        <v>0</v>
      </c>
      <c r="AB64" s="75" t="n">
        <f aca="false">SUMIFS('Dados Mov Financeira'!$N:$N,'Dados Mov Financeira'!$O:$O,'DRE 2021'!$B64,'Dados Mov Financeira'!$A:$A,'DRE 2021'!AB$1,'Dados Mov Financeira'!$B:$B,'DRE 2021'!AB$2)</f>
        <v>0</v>
      </c>
      <c r="AC64" s="91" t="n">
        <f aca="false">IFERROR(AB64/AB$5,0)</f>
        <v>0</v>
      </c>
      <c r="AE64" s="75" t="n">
        <f aca="false">SUMIFS('Dados Mov Financeira'!$N:$N,'Dados Mov Financeira'!$O:$O,'DRE 2021'!$B64,'Dados Mov Financeira'!$A:$A,'DRE 2021'!AE$1,'Dados Mov Financeira'!$B:$B,'DRE 2021'!AE$2)</f>
        <v>0</v>
      </c>
      <c r="AF64" s="91" t="n">
        <f aca="false">IFERROR(AE64/AE$5,0)</f>
        <v>0</v>
      </c>
      <c r="AH64" s="75" t="n">
        <f aca="false">SUMIFS('Dados Mov Financeira'!$N:$N,'Dados Mov Financeira'!$O:$O,'DRE 2021'!$B64,'Dados Mov Financeira'!$A:$A,'DRE 2021'!AH$1,'Dados Mov Financeira'!$B:$B,'DRE 2021'!AH$2)</f>
        <v>0</v>
      </c>
      <c r="AI64" s="91" t="n">
        <f aca="false">IFERROR(AH64/AH$5,0)</f>
        <v>0</v>
      </c>
      <c r="AK64" s="75" t="n">
        <f aca="false">SUMIFS('Dados Mov Financeira'!$N:$N,'Dados Mov Financeira'!$O:$O,'DRE 2021'!$B64,'Dados Mov Financeira'!$A:$A,'DRE 2021'!AK$1,'Dados Mov Financeira'!$B:$B,'DRE 2021'!AK$2)</f>
        <v>0</v>
      </c>
      <c r="AL64" s="91" t="n">
        <f aca="false">IFERROR(AK64/AK$5,0)</f>
        <v>0</v>
      </c>
      <c r="AN64" s="92" t="n">
        <f aca="false">SUM(D64,G64,J64,M64,P64,S64,V64,Y64,AB64,AE64,AH64,AK64)</f>
        <v>0</v>
      </c>
      <c r="AO64" s="91" t="n">
        <f aca="false">IFERROR(AN64/AN$5,0)</f>
        <v>0</v>
      </c>
      <c r="AQ64" s="93" t="n">
        <f aca="false">AN64/$AR$1</f>
        <v>0</v>
      </c>
      <c r="AR64" s="94" t="n">
        <f aca="false">IFERROR(AQ64/AQ$5,0)</f>
        <v>0</v>
      </c>
    </row>
    <row r="65" customFormat="false" ht="15.75" hidden="true" customHeight="true" outlineLevel="1" collapsed="false">
      <c r="B65" s="89" t="s">
        <v>85</v>
      </c>
      <c r="D65" s="75" t="n">
        <f aca="false">SUMIFS('Dados Mov Financeira'!$N:$N,'Dados Mov Financeira'!$O:$O,'DRE 2021'!$B65,'Dados Mov Financeira'!$A:$A,'DRE 2021'!D$1,'Dados Mov Financeira'!$B:$B,'DRE 2021'!D$2)</f>
        <v>0</v>
      </c>
      <c r="E65" s="91" t="n">
        <f aca="false">IFERROR(D65/D$5,0)</f>
        <v>0</v>
      </c>
      <c r="G65" s="75" t="n">
        <f aca="false">SUMIFS('Dados Mov Financeira'!$N:$N,'Dados Mov Financeira'!$O:$O,'DRE 2021'!$B65,'Dados Mov Financeira'!$A:$A,'DRE 2021'!G$1,'Dados Mov Financeira'!$B:$B,'DRE 2021'!G$2)</f>
        <v>0</v>
      </c>
      <c r="H65" s="91" t="n">
        <f aca="false">IFERROR(G65/G$5,0)</f>
        <v>0</v>
      </c>
      <c r="J65" s="75" t="n">
        <f aca="false">SUMIFS('Dados Mov Financeira'!$N:$N,'Dados Mov Financeira'!$O:$O,'DRE 2021'!$B65,'Dados Mov Financeira'!$A:$A,'DRE 2021'!J$1,'Dados Mov Financeira'!$B:$B,'DRE 2021'!J$2)</f>
        <v>0</v>
      </c>
      <c r="K65" s="91" t="n">
        <f aca="false">IFERROR(J65/J$5,0)</f>
        <v>0</v>
      </c>
      <c r="M65" s="75" t="n">
        <f aca="false">SUMIFS('Dados Mov Financeira'!$N:$N,'Dados Mov Financeira'!$O:$O,'DRE 2021'!$B65,'Dados Mov Financeira'!$A:$A,'DRE 2021'!M$1,'Dados Mov Financeira'!$B:$B,'DRE 2021'!M$2)</f>
        <v>0</v>
      </c>
      <c r="N65" s="91" t="n">
        <f aca="false">IFERROR(M65/M$5,0)</f>
        <v>0</v>
      </c>
      <c r="P65" s="75" t="n">
        <f aca="false">SUMIFS('Dados Mov Financeira'!$N:$N,'Dados Mov Financeira'!$O:$O,'DRE 2021'!$B65,'Dados Mov Financeira'!$A:$A,'DRE 2021'!P$1,'Dados Mov Financeira'!$B:$B,'DRE 2021'!P$2)</f>
        <v>0</v>
      </c>
      <c r="Q65" s="91" t="n">
        <f aca="false">IFERROR(P65/P$5,0)</f>
        <v>0</v>
      </c>
      <c r="S65" s="75" t="n">
        <f aca="false">SUMIFS('Dados Mov Financeira'!$N:$N,'Dados Mov Financeira'!$O:$O,'DRE 2021'!$B65,'Dados Mov Financeira'!$A:$A,'DRE 2021'!S$1,'Dados Mov Financeira'!$B:$B,'DRE 2021'!S$2)</f>
        <v>0</v>
      </c>
      <c r="T65" s="91" t="n">
        <f aca="false">IFERROR(S65/S$5,0)</f>
        <v>0</v>
      </c>
      <c r="V65" s="75" t="n">
        <f aca="false">SUMIFS('Dados Mov Financeira'!$N:$N,'Dados Mov Financeira'!$O:$O,'DRE 2021'!$B65,'Dados Mov Financeira'!$A:$A,'DRE 2021'!V$1,'Dados Mov Financeira'!$B:$B,'DRE 2021'!V$2)</f>
        <v>0</v>
      </c>
      <c r="W65" s="91" t="n">
        <f aca="false">IFERROR(V65/V$5,0)</f>
        <v>0</v>
      </c>
      <c r="Y65" s="75" t="n">
        <f aca="false">SUMIFS('Dados Mov Financeira'!$N:$N,'Dados Mov Financeira'!$O:$O,'DRE 2021'!$B65,'Dados Mov Financeira'!$A:$A,'DRE 2021'!Y$1,'Dados Mov Financeira'!$B:$B,'DRE 2021'!Y$2)</f>
        <v>0</v>
      </c>
      <c r="Z65" s="91" t="n">
        <f aca="false">IFERROR(Y65/Y$5,0)</f>
        <v>0</v>
      </c>
      <c r="AB65" s="75" t="n">
        <f aca="false">SUMIFS('Dados Mov Financeira'!$N:$N,'Dados Mov Financeira'!$O:$O,'DRE 2021'!$B65,'Dados Mov Financeira'!$A:$A,'DRE 2021'!AB$1,'Dados Mov Financeira'!$B:$B,'DRE 2021'!AB$2)</f>
        <v>0</v>
      </c>
      <c r="AC65" s="91" t="n">
        <f aca="false">IFERROR(AB65/AB$5,0)</f>
        <v>0</v>
      </c>
      <c r="AE65" s="75" t="n">
        <f aca="false">SUMIFS('Dados Mov Financeira'!$N:$N,'Dados Mov Financeira'!$O:$O,'DRE 2021'!$B65,'Dados Mov Financeira'!$A:$A,'DRE 2021'!AE$1,'Dados Mov Financeira'!$B:$B,'DRE 2021'!AE$2)</f>
        <v>0</v>
      </c>
      <c r="AF65" s="91" t="n">
        <f aca="false">IFERROR(AE65/AE$5,0)</f>
        <v>0</v>
      </c>
      <c r="AH65" s="75" t="n">
        <f aca="false">SUMIFS('Dados Mov Financeira'!$N:$N,'Dados Mov Financeira'!$O:$O,'DRE 2021'!$B65,'Dados Mov Financeira'!$A:$A,'DRE 2021'!AH$1,'Dados Mov Financeira'!$B:$B,'DRE 2021'!AH$2)</f>
        <v>0</v>
      </c>
      <c r="AI65" s="91" t="n">
        <f aca="false">IFERROR(AH65/AH$5,0)</f>
        <v>0</v>
      </c>
      <c r="AK65" s="75" t="n">
        <f aca="false">SUMIFS('Dados Mov Financeira'!$N:$N,'Dados Mov Financeira'!$O:$O,'DRE 2021'!$B65,'Dados Mov Financeira'!$A:$A,'DRE 2021'!AK$1,'Dados Mov Financeira'!$B:$B,'DRE 2021'!AK$2)</f>
        <v>0</v>
      </c>
      <c r="AL65" s="91" t="n">
        <f aca="false">IFERROR(AK65/AK$5,0)</f>
        <v>0</v>
      </c>
      <c r="AN65" s="92" t="n">
        <f aca="false">SUM(D65,G65,J65,M65,P65,S65,V65,Y65,AB65,AE65,AH65,AK65)</f>
        <v>0</v>
      </c>
      <c r="AO65" s="91" t="n">
        <f aca="false">IFERROR(AN65/AN$5,0)</f>
        <v>0</v>
      </c>
      <c r="AQ65" s="93" t="n">
        <f aca="false">AN65/$AR$1</f>
        <v>0</v>
      </c>
      <c r="AR65" s="94" t="n">
        <f aca="false">IFERROR(AQ65/AQ$5,0)</f>
        <v>0</v>
      </c>
    </row>
    <row r="66" customFormat="false" ht="15.75" hidden="true" customHeight="true" outlineLevel="1" collapsed="false">
      <c r="B66" s="89" t="s">
        <v>86</v>
      </c>
      <c r="D66" s="75" t="n">
        <f aca="false">SUMIFS('Dados Mov Financeira'!$N:$N,'Dados Mov Financeira'!$O:$O,'DRE 2021'!$B66,'Dados Mov Financeira'!$A:$A,'DRE 2021'!D$1,'Dados Mov Financeira'!$B:$B,'DRE 2021'!D$2)</f>
        <v>0</v>
      </c>
      <c r="E66" s="91" t="n">
        <f aca="false">IFERROR(D66/D$5,0)</f>
        <v>0</v>
      </c>
      <c r="G66" s="75" t="n">
        <f aca="false">SUMIFS('Dados Mov Financeira'!$N:$N,'Dados Mov Financeira'!$O:$O,'DRE 2021'!$B66,'Dados Mov Financeira'!$A:$A,'DRE 2021'!G$1,'Dados Mov Financeira'!$B:$B,'DRE 2021'!G$2)</f>
        <v>0</v>
      </c>
      <c r="H66" s="91" t="n">
        <f aca="false">IFERROR(G66/G$5,0)</f>
        <v>0</v>
      </c>
      <c r="J66" s="75" t="n">
        <f aca="false">SUMIFS('Dados Mov Financeira'!$N:$N,'Dados Mov Financeira'!$O:$O,'DRE 2021'!$B66,'Dados Mov Financeira'!$A:$A,'DRE 2021'!J$1,'Dados Mov Financeira'!$B:$B,'DRE 2021'!J$2)</f>
        <v>0</v>
      </c>
      <c r="K66" s="91" t="n">
        <f aca="false">IFERROR(J66/J$5,0)</f>
        <v>0</v>
      </c>
      <c r="M66" s="75" t="n">
        <f aca="false">SUMIFS('Dados Mov Financeira'!$N:$N,'Dados Mov Financeira'!$O:$O,'DRE 2021'!$B66,'Dados Mov Financeira'!$A:$A,'DRE 2021'!M$1,'Dados Mov Financeira'!$B:$B,'DRE 2021'!M$2)</f>
        <v>0</v>
      </c>
      <c r="N66" s="91" t="n">
        <f aca="false">IFERROR(M66/M$5,0)</f>
        <v>0</v>
      </c>
      <c r="P66" s="75" t="n">
        <f aca="false">SUMIFS('Dados Mov Financeira'!$N:$N,'Dados Mov Financeira'!$O:$O,'DRE 2021'!$B66,'Dados Mov Financeira'!$A:$A,'DRE 2021'!P$1,'Dados Mov Financeira'!$B:$B,'DRE 2021'!P$2)</f>
        <v>0</v>
      </c>
      <c r="Q66" s="91" t="n">
        <f aca="false">IFERROR(P66/P$5,0)</f>
        <v>0</v>
      </c>
      <c r="S66" s="75" t="n">
        <f aca="false">SUMIFS('Dados Mov Financeira'!$N:$N,'Dados Mov Financeira'!$O:$O,'DRE 2021'!$B66,'Dados Mov Financeira'!$A:$A,'DRE 2021'!S$1,'Dados Mov Financeira'!$B:$B,'DRE 2021'!S$2)</f>
        <v>0</v>
      </c>
      <c r="T66" s="91" t="n">
        <f aca="false">IFERROR(S66/S$5,0)</f>
        <v>0</v>
      </c>
      <c r="V66" s="75" t="n">
        <f aca="false">SUMIFS('Dados Mov Financeira'!$N:$N,'Dados Mov Financeira'!$O:$O,'DRE 2021'!$B66,'Dados Mov Financeira'!$A:$A,'DRE 2021'!V$1,'Dados Mov Financeira'!$B:$B,'DRE 2021'!V$2)</f>
        <v>0</v>
      </c>
      <c r="W66" s="91" t="n">
        <f aca="false">IFERROR(V66/V$5,0)</f>
        <v>0</v>
      </c>
      <c r="Y66" s="75" t="n">
        <f aca="false">SUMIFS('Dados Mov Financeira'!$N:$N,'Dados Mov Financeira'!$O:$O,'DRE 2021'!$B66,'Dados Mov Financeira'!$A:$A,'DRE 2021'!Y$1,'Dados Mov Financeira'!$B:$B,'DRE 2021'!Y$2)</f>
        <v>0</v>
      </c>
      <c r="Z66" s="91" t="n">
        <f aca="false">IFERROR(Y66/Y$5,0)</f>
        <v>0</v>
      </c>
      <c r="AB66" s="75" t="n">
        <f aca="false">SUMIFS('Dados Mov Financeira'!$N:$N,'Dados Mov Financeira'!$O:$O,'DRE 2021'!$B66,'Dados Mov Financeira'!$A:$A,'DRE 2021'!AB$1,'Dados Mov Financeira'!$B:$B,'DRE 2021'!AB$2)</f>
        <v>0</v>
      </c>
      <c r="AC66" s="91" t="n">
        <f aca="false">IFERROR(AB66/AB$5,0)</f>
        <v>0</v>
      </c>
      <c r="AE66" s="75" t="n">
        <f aca="false">SUMIFS('Dados Mov Financeira'!$N:$N,'Dados Mov Financeira'!$O:$O,'DRE 2021'!$B66,'Dados Mov Financeira'!$A:$A,'DRE 2021'!AE$1,'Dados Mov Financeira'!$B:$B,'DRE 2021'!AE$2)</f>
        <v>0</v>
      </c>
      <c r="AF66" s="91" t="n">
        <f aca="false">IFERROR(AE66/AE$5,0)</f>
        <v>0</v>
      </c>
      <c r="AH66" s="99" t="n">
        <f aca="false">SUMIFS('Dados Mov Financeira'!$N:$N,'Dados Mov Financeira'!$O:$O,'DRE 2021'!$B66,'Dados Mov Financeira'!$A:$A,'DRE 2021'!AH$1,'Dados Mov Financeira'!$B:$B,'DRE 2021'!AH$2)</f>
        <v>0</v>
      </c>
      <c r="AI66" s="91" t="n">
        <f aca="false">IFERROR(AH66/AH$5,0)</f>
        <v>0</v>
      </c>
      <c r="AK66" s="75" t="n">
        <f aca="false">SUMIFS('Dados Mov Financeira'!$N:$N,'Dados Mov Financeira'!$O:$O,'DRE 2021'!$B66,'Dados Mov Financeira'!$A:$A,'DRE 2021'!AK$1,'Dados Mov Financeira'!$B:$B,'DRE 2021'!AK$2)</f>
        <v>0</v>
      </c>
      <c r="AL66" s="91" t="n">
        <f aca="false">IFERROR(AK66/AK$5,0)</f>
        <v>0</v>
      </c>
      <c r="AN66" s="92" t="n">
        <f aca="false">SUM(D66,G66,J66,M66,P66,S66,V66,Y66,AB66,AE66,AH66,AK66)</f>
        <v>0</v>
      </c>
      <c r="AO66" s="91" t="n">
        <f aca="false">IFERROR(AN66/AN$5,0)</f>
        <v>0</v>
      </c>
      <c r="AQ66" s="93" t="n">
        <f aca="false">AN66/$AR$1</f>
        <v>0</v>
      </c>
      <c r="AR66" s="94" t="n">
        <f aca="false">IFERROR(AQ66/AQ$5,0)</f>
        <v>0</v>
      </c>
    </row>
    <row r="67" customFormat="false" ht="15.75" hidden="true" customHeight="true" outlineLevel="1" collapsed="false">
      <c r="B67" s="89" t="s">
        <v>87</v>
      </c>
      <c r="D67" s="75" t="n">
        <f aca="false">SUMIFS('Dados Mov Financeira'!$N:$N,'Dados Mov Financeira'!$O:$O,'DRE 2021'!$B67,'Dados Mov Financeira'!$A:$A,'DRE 2021'!D$1,'Dados Mov Financeira'!$B:$B,'DRE 2021'!D$2)</f>
        <v>0</v>
      </c>
      <c r="E67" s="91" t="n">
        <f aca="false">IFERROR(D67/D$5,0)</f>
        <v>0</v>
      </c>
      <c r="G67" s="75" t="n">
        <f aca="false">SUMIFS('Dados Mov Financeira'!$N:$N,'Dados Mov Financeira'!$O:$O,'DRE 2021'!$B67,'Dados Mov Financeira'!$A:$A,'DRE 2021'!G$1,'Dados Mov Financeira'!$B:$B,'DRE 2021'!G$2)</f>
        <v>0</v>
      </c>
      <c r="H67" s="91" t="n">
        <f aca="false">IFERROR(G67/G$5,0)</f>
        <v>0</v>
      </c>
      <c r="J67" s="75" t="n">
        <f aca="false">SUMIFS('Dados Mov Financeira'!$N:$N,'Dados Mov Financeira'!$O:$O,'DRE 2021'!$B67,'Dados Mov Financeira'!$A:$A,'DRE 2021'!J$1,'Dados Mov Financeira'!$B:$B,'DRE 2021'!J$2)</f>
        <v>0</v>
      </c>
      <c r="K67" s="91" t="n">
        <f aca="false">IFERROR(J67/J$5,0)</f>
        <v>0</v>
      </c>
      <c r="M67" s="75" t="n">
        <f aca="false">SUMIFS('Dados Mov Financeira'!$N:$N,'Dados Mov Financeira'!$O:$O,'DRE 2021'!$B67,'Dados Mov Financeira'!$A:$A,'DRE 2021'!M$1,'Dados Mov Financeira'!$B:$B,'DRE 2021'!M$2)</f>
        <v>0</v>
      </c>
      <c r="N67" s="91" t="n">
        <f aca="false">IFERROR(M67/M$5,0)</f>
        <v>0</v>
      </c>
      <c r="P67" s="75" t="n">
        <f aca="false">SUMIFS('Dados Mov Financeira'!$N:$N,'Dados Mov Financeira'!$O:$O,'DRE 2021'!$B67,'Dados Mov Financeira'!$A:$A,'DRE 2021'!P$1,'Dados Mov Financeira'!$B:$B,'DRE 2021'!P$2)</f>
        <v>0</v>
      </c>
      <c r="Q67" s="91" t="n">
        <f aca="false">IFERROR(P67/P$5,0)</f>
        <v>0</v>
      </c>
      <c r="S67" s="75" t="n">
        <f aca="false">SUMIFS('Dados Mov Financeira'!$N:$N,'Dados Mov Financeira'!$O:$O,'DRE 2021'!$B67,'Dados Mov Financeira'!$A:$A,'DRE 2021'!S$1,'Dados Mov Financeira'!$B:$B,'DRE 2021'!S$2)</f>
        <v>0</v>
      </c>
      <c r="T67" s="91" t="n">
        <f aca="false">IFERROR(S67/S$5,0)</f>
        <v>0</v>
      </c>
      <c r="V67" s="75" t="n">
        <f aca="false">SUMIFS('Dados Mov Financeira'!$N:$N,'Dados Mov Financeira'!$O:$O,'DRE 2021'!$B67,'Dados Mov Financeira'!$A:$A,'DRE 2021'!V$1,'Dados Mov Financeira'!$B:$B,'DRE 2021'!V$2)</f>
        <v>0</v>
      </c>
      <c r="W67" s="91" t="n">
        <f aca="false">IFERROR(V67/V$5,0)</f>
        <v>0</v>
      </c>
      <c r="Y67" s="75" t="n">
        <f aca="false">SUMIFS('Dados Mov Financeira'!$N:$N,'Dados Mov Financeira'!$O:$O,'DRE 2021'!$B67,'Dados Mov Financeira'!$A:$A,'DRE 2021'!Y$1,'Dados Mov Financeira'!$B:$B,'DRE 2021'!Y$2)</f>
        <v>0</v>
      </c>
      <c r="Z67" s="91" t="n">
        <f aca="false">IFERROR(Y67/Y$5,0)</f>
        <v>0</v>
      </c>
      <c r="AB67" s="75" t="n">
        <f aca="false">SUMIFS('Dados Mov Financeira'!$N:$N,'Dados Mov Financeira'!$O:$O,'DRE 2021'!$B67,'Dados Mov Financeira'!$A:$A,'DRE 2021'!AB$1,'Dados Mov Financeira'!$B:$B,'DRE 2021'!AB$2)</f>
        <v>0</v>
      </c>
      <c r="AC67" s="91" t="n">
        <f aca="false">IFERROR(AB67/AB$5,0)</f>
        <v>0</v>
      </c>
      <c r="AE67" s="75" t="n">
        <f aca="false">SUMIFS('Dados Mov Financeira'!$N:$N,'Dados Mov Financeira'!$O:$O,'DRE 2021'!$B67,'Dados Mov Financeira'!$A:$A,'DRE 2021'!AE$1,'Dados Mov Financeira'!$B:$B,'DRE 2021'!AE$2)</f>
        <v>0</v>
      </c>
      <c r="AF67" s="91" t="n">
        <f aca="false">IFERROR(AE67/AE$5,0)</f>
        <v>0</v>
      </c>
      <c r="AH67" s="75" t="n">
        <f aca="false">SUMIFS('Dados Mov Financeira'!$N:$N,'Dados Mov Financeira'!$O:$O,'DRE 2021'!$B67,'Dados Mov Financeira'!$A:$A,'DRE 2021'!AH$1,'Dados Mov Financeira'!$B:$B,'DRE 2021'!AH$2)</f>
        <v>0</v>
      </c>
      <c r="AI67" s="91" t="n">
        <f aca="false">IFERROR(AH67/AH$5,0)</f>
        <v>0</v>
      </c>
      <c r="AK67" s="75" t="n">
        <f aca="false">SUMIFS('Dados Mov Financeira'!$N:$N,'Dados Mov Financeira'!$O:$O,'DRE 2021'!$B67,'Dados Mov Financeira'!$A:$A,'DRE 2021'!AK$1,'Dados Mov Financeira'!$B:$B,'DRE 2021'!AK$2)</f>
        <v>0</v>
      </c>
      <c r="AL67" s="91" t="n">
        <f aca="false">IFERROR(AK67/AK$5,0)</f>
        <v>0</v>
      </c>
      <c r="AN67" s="92" t="n">
        <f aca="false">SUM(D67,G67,J67,M67,P67,S67,V67,Y67,AB67,AE67,AH67,AK67)</f>
        <v>0</v>
      </c>
      <c r="AO67" s="91" t="n">
        <f aca="false">IFERROR(AN67/AN$5,0)</f>
        <v>0</v>
      </c>
      <c r="AQ67" s="93" t="n">
        <f aca="false">AN67/$AR$1</f>
        <v>0</v>
      </c>
      <c r="AR67" s="94" t="n">
        <f aca="false">IFERROR(AQ67/AQ$5,0)</f>
        <v>0</v>
      </c>
    </row>
    <row r="68" customFormat="false" ht="15.75" hidden="true" customHeight="true" outlineLevel="1" collapsed="false">
      <c r="B68" s="89" t="s">
        <v>88</v>
      </c>
      <c r="D68" s="75" t="n">
        <f aca="false">SUMIFS('Dados Mov Financeira'!$N:$N,'Dados Mov Financeira'!$O:$O,'DRE 2021'!$B68,'Dados Mov Financeira'!$A:$A,'DRE 2021'!D$1,'Dados Mov Financeira'!$B:$B,'DRE 2021'!D$2)</f>
        <v>0</v>
      </c>
      <c r="E68" s="91" t="n">
        <f aca="false">IFERROR(D68/D$5,0)</f>
        <v>0</v>
      </c>
      <c r="G68" s="75" t="n">
        <f aca="false">SUMIFS('Dados Mov Financeira'!$N:$N,'Dados Mov Financeira'!$O:$O,'DRE 2021'!$B68,'Dados Mov Financeira'!$A:$A,'DRE 2021'!G$1,'Dados Mov Financeira'!$B:$B,'DRE 2021'!G$2)</f>
        <v>0</v>
      </c>
      <c r="H68" s="91" t="n">
        <f aca="false">IFERROR(G68/G$5,0)</f>
        <v>0</v>
      </c>
      <c r="J68" s="75" t="n">
        <f aca="false">SUMIFS('Dados Mov Financeira'!$N:$N,'Dados Mov Financeira'!$O:$O,'DRE 2021'!$B68,'Dados Mov Financeira'!$A:$A,'DRE 2021'!J$1,'Dados Mov Financeira'!$B:$B,'DRE 2021'!J$2)</f>
        <v>0</v>
      </c>
      <c r="K68" s="91" t="n">
        <f aca="false">IFERROR(J68/J$5,0)</f>
        <v>0</v>
      </c>
      <c r="M68" s="75" t="n">
        <f aca="false">SUMIFS('Dados Mov Financeira'!$N:$N,'Dados Mov Financeira'!$O:$O,'DRE 2021'!$B68,'Dados Mov Financeira'!$A:$A,'DRE 2021'!M$1,'Dados Mov Financeira'!$B:$B,'DRE 2021'!M$2)</f>
        <v>0</v>
      </c>
      <c r="N68" s="91" t="n">
        <f aca="false">IFERROR(M68/M$5,0)</f>
        <v>0</v>
      </c>
      <c r="P68" s="75" t="n">
        <f aca="false">SUMIFS('Dados Mov Financeira'!$N:$N,'Dados Mov Financeira'!$O:$O,'DRE 2021'!$B68,'Dados Mov Financeira'!$A:$A,'DRE 2021'!P$1,'Dados Mov Financeira'!$B:$B,'DRE 2021'!P$2)</f>
        <v>0</v>
      </c>
      <c r="Q68" s="91" t="n">
        <f aca="false">IFERROR(P68/P$5,0)</f>
        <v>0</v>
      </c>
      <c r="S68" s="75" t="n">
        <f aca="false">SUMIFS('Dados Mov Financeira'!$N:$N,'Dados Mov Financeira'!$O:$O,'DRE 2021'!$B68,'Dados Mov Financeira'!$A:$A,'DRE 2021'!S$1,'Dados Mov Financeira'!$B:$B,'DRE 2021'!S$2)</f>
        <v>0</v>
      </c>
      <c r="T68" s="91" t="n">
        <f aca="false">IFERROR(S68/S$5,0)</f>
        <v>0</v>
      </c>
      <c r="V68" s="75" t="n">
        <f aca="false">SUMIFS('Dados Mov Financeira'!$N:$N,'Dados Mov Financeira'!$O:$O,'DRE 2021'!$B68,'Dados Mov Financeira'!$A:$A,'DRE 2021'!V$1,'Dados Mov Financeira'!$B:$B,'DRE 2021'!V$2)</f>
        <v>0</v>
      </c>
      <c r="W68" s="91" t="n">
        <f aca="false">IFERROR(V68/V$5,0)</f>
        <v>0</v>
      </c>
      <c r="Y68" s="75" t="n">
        <f aca="false">SUMIFS('Dados Mov Financeira'!$N:$N,'Dados Mov Financeira'!$O:$O,'DRE 2021'!$B68,'Dados Mov Financeira'!$A:$A,'DRE 2021'!Y$1,'Dados Mov Financeira'!$B:$B,'DRE 2021'!Y$2)</f>
        <v>0</v>
      </c>
      <c r="Z68" s="91" t="n">
        <f aca="false">IFERROR(Y68/Y$5,0)</f>
        <v>0</v>
      </c>
      <c r="AB68" s="75" t="n">
        <f aca="false">SUMIFS('Dados Mov Financeira'!$N:$N,'Dados Mov Financeira'!$O:$O,'DRE 2021'!$B68,'Dados Mov Financeira'!$A:$A,'DRE 2021'!AB$1,'Dados Mov Financeira'!$B:$B,'DRE 2021'!AB$2)</f>
        <v>0</v>
      </c>
      <c r="AC68" s="91" t="n">
        <f aca="false">IFERROR(AB68/AB$5,0)</f>
        <v>0</v>
      </c>
      <c r="AE68" s="75" t="n">
        <f aca="false">SUMIFS('Dados Mov Financeira'!$N:$N,'Dados Mov Financeira'!$O:$O,'DRE 2021'!$B68,'Dados Mov Financeira'!$A:$A,'DRE 2021'!AE$1,'Dados Mov Financeira'!$B:$B,'DRE 2021'!AE$2)</f>
        <v>0</v>
      </c>
      <c r="AF68" s="91" t="n">
        <f aca="false">IFERROR(AE68/AE$5,0)</f>
        <v>0</v>
      </c>
      <c r="AH68" s="99" t="n">
        <f aca="false">SUMIFS('Dados Mov Financeira'!$N:$N,'Dados Mov Financeira'!$O:$O,'DRE 2021'!$B68,'Dados Mov Financeira'!$A:$A,'DRE 2021'!AH$1,'Dados Mov Financeira'!$B:$B,'DRE 2021'!AH$2)</f>
        <v>0</v>
      </c>
      <c r="AI68" s="91" t="n">
        <f aca="false">IFERROR(AH68/AH$5,0)</f>
        <v>0</v>
      </c>
      <c r="AK68" s="75" t="n">
        <f aca="false">SUMIFS('Dados Mov Financeira'!$N:$N,'Dados Mov Financeira'!$O:$O,'DRE 2021'!$B68,'Dados Mov Financeira'!$A:$A,'DRE 2021'!AK$1,'Dados Mov Financeira'!$B:$B,'DRE 2021'!AK$2)</f>
        <v>0</v>
      </c>
      <c r="AL68" s="91" t="n">
        <f aca="false">IFERROR(AK68/AK$5,0)</f>
        <v>0</v>
      </c>
      <c r="AN68" s="92" t="n">
        <f aca="false">SUM(D68,G68,J68,M68,P68,S68,V68,Y68,AB68,AE68,AH68,AK68)</f>
        <v>0</v>
      </c>
      <c r="AO68" s="91" t="n">
        <f aca="false">IFERROR(AN68/AN$5,0)</f>
        <v>0</v>
      </c>
      <c r="AQ68" s="93" t="n">
        <f aca="false">AN68/$AR$1</f>
        <v>0</v>
      </c>
      <c r="AR68" s="94" t="n">
        <f aca="false">IFERROR(AQ68/AQ$5,0)</f>
        <v>0</v>
      </c>
    </row>
    <row r="69" customFormat="false" ht="15.75" hidden="true" customHeight="true" outlineLevel="1" collapsed="false">
      <c r="B69" s="89" t="s">
        <v>89</v>
      </c>
      <c r="D69" s="75" t="n">
        <f aca="false">SUMIFS('Dados Mov Financeira'!$N:$N,'Dados Mov Financeira'!$O:$O,'DRE 2021'!$B69,'Dados Mov Financeira'!$A:$A,'DRE 2021'!D$1,'Dados Mov Financeira'!$B:$B,'DRE 2021'!D$2)</f>
        <v>0</v>
      </c>
      <c r="E69" s="91" t="n">
        <f aca="false">IFERROR(D69/D$5,0)</f>
        <v>0</v>
      </c>
      <c r="G69" s="75" t="n">
        <f aca="false">SUMIFS('Dados Mov Financeira'!$N:$N,'Dados Mov Financeira'!$O:$O,'DRE 2021'!$B69,'Dados Mov Financeira'!$A:$A,'DRE 2021'!G$1,'Dados Mov Financeira'!$B:$B,'DRE 2021'!G$2)</f>
        <v>0</v>
      </c>
      <c r="H69" s="91" t="n">
        <f aca="false">IFERROR(G69/G$5,0)</f>
        <v>0</v>
      </c>
      <c r="J69" s="75" t="n">
        <f aca="false">SUMIFS('Dados Mov Financeira'!$N:$N,'Dados Mov Financeira'!$O:$O,'DRE 2021'!$B69,'Dados Mov Financeira'!$A:$A,'DRE 2021'!J$1,'Dados Mov Financeira'!$B:$B,'DRE 2021'!J$2)</f>
        <v>0</v>
      </c>
      <c r="K69" s="91" t="n">
        <f aca="false">IFERROR(J69/J$5,0)</f>
        <v>0</v>
      </c>
      <c r="M69" s="75" t="n">
        <f aca="false">SUMIFS('Dados Mov Financeira'!$N:$N,'Dados Mov Financeira'!$O:$O,'DRE 2021'!$B69,'Dados Mov Financeira'!$A:$A,'DRE 2021'!M$1,'Dados Mov Financeira'!$B:$B,'DRE 2021'!M$2)</f>
        <v>0</v>
      </c>
      <c r="N69" s="91" t="n">
        <f aca="false">IFERROR(M69/M$5,0)</f>
        <v>0</v>
      </c>
      <c r="P69" s="75" t="n">
        <f aca="false">SUMIFS('Dados Mov Financeira'!$N:$N,'Dados Mov Financeira'!$O:$O,'DRE 2021'!$B69,'Dados Mov Financeira'!$A:$A,'DRE 2021'!P$1,'Dados Mov Financeira'!$B:$B,'DRE 2021'!P$2)</f>
        <v>0</v>
      </c>
      <c r="Q69" s="91" t="n">
        <f aca="false">IFERROR(P69/P$5,0)</f>
        <v>0</v>
      </c>
      <c r="S69" s="75" t="n">
        <f aca="false">SUMIFS('Dados Mov Financeira'!$N:$N,'Dados Mov Financeira'!$O:$O,'DRE 2021'!$B69,'Dados Mov Financeira'!$A:$A,'DRE 2021'!S$1,'Dados Mov Financeira'!$B:$B,'DRE 2021'!S$2)</f>
        <v>0</v>
      </c>
      <c r="T69" s="91" t="n">
        <f aca="false">IFERROR(S69/S$5,0)</f>
        <v>0</v>
      </c>
      <c r="V69" s="75" t="n">
        <f aca="false">SUMIFS('Dados Mov Financeira'!$N:$N,'Dados Mov Financeira'!$O:$O,'DRE 2021'!$B69,'Dados Mov Financeira'!$A:$A,'DRE 2021'!V$1,'Dados Mov Financeira'!$B:$B,'DRE 2021'!V$2)</f>
        <v>0</v>
      </c>
      <c r="W69" s="91" t="n">
        <f aca="false">IFERROR(V69/V$5,0)</f>
        <v>0</v>
      </c>
      <c r="Y69" s="75" t="n">
        <f aca="false">SUMIFS('Dados Mov Financeira'!$N:$N,'Dados Mov Financeira'!$O:$O,'DRE 2021'!$B69,'Dados Mov Financeira'!$A:$A,'DRE 2021'!Y$1,'Dados Mov Financeira'!$B:$B,'DRE 2021'!Y$2)</f>
        <v>0</v>
      </c>
      <c r="Z69" s="91" t="n">
        <f aca="false">IFERROR(Y69/Y$5,0)</f>
        <v>0</v>
      </c>
      <c r="AB69" s="75" t="n">
        <f aca="false">SUMIFS('Dados Mov Financeira'!$N:$N,'Dados Mov Financeira'!$O:$O,'DRE 2021'!$B69,'Dados Mov Financeira'!$A:$A,'DRE 2021'!AB$1,'Dados Mov Financeira'!$B:$B,'DRE 2021'!AB$2)</f>
        <v>0</v>
      </c>
      <c r="AC69" s="91" t="n">
        <f aca="false">IFERROR(AB69/AB$5,0)</f>
        <v>0</v>
      </c>
      <c r="AE69" s="75" t="n">
        <f aca="false">SUMIFS('Dados Mov Financeira'!$N:$N,'Dados Mov Financeira'!$O:$O,'DRE 2021'!$B69,'Dados Mov Financeira'!$A:$A,'DRE 2021'!AE$1,'Dados Mov Financeira'!$B:$B,'DRE 2021'!AE$2)</f>
        <v>0</v>
      </c>
      <c r="AF69" s="91" t="n">
        <f aca="false">IFERROR(AE69/AE$5,0)</f>
        <v>0</v>
      </c>
      <c r="AH69" s="75" t="n">
        <f aca="false">SUMIFS('Dados Mov Financeira'!$N:$N,'Dados Mov Financeira'!$O:$O,'DRE 2021'!$B69,'Dados Mov Financeira'!$A:$A,'DRE 2021'!AH$1,'Dados Mov Financeira'!$B:$B,'DRE 2021'!AH$2)</f>
        <v>0</v>
      </c>
      <c r="AI69" s="91" t="n">
        <f aca="false">IFERROR(AH69/AH$5,0)</f>
        <v>0</v>
      </c>
      <c r="AK69" s="75" t="n">
        <f aca="false">SUMIFS('Dados Mov Financeira'!$N:$N,'Dados Mov Financeira'!$O:$O,'DRE 2021'!$B69,'Dados Mov Financeira'!$A:$A,'DRE 2021'!AK$1,'Dados Mov Financeira'!$B:$B,'DRE 2021'!AK$2)</f>
        <v>0</v>
      </c>
      <c r="AL69" s="91" t="n">
        <f aca="false">IFERROR(AK69/AK$5,0)</f>
        <v>0</v>
      </c>
      <c r="AN69" s="92" t="n">
        <f aca="false">SUM(D69,G69,J69,M69,P69,S69,V69,Y69,AB69,AE69,AH69,AK69)</f>
        <v>0</v>
      </c>
      <c r="AO69" s="91" t="n">
        <f aca="false">IFERROR(AN69/AN$5,0)</f>
        <v>0</v>
      </c>
      <c r="AQ69" s="93" t="n">
        <f aca="false">AN69/$AR$1</f>
        <v>0</v>
      </c>
      <c r="AR69" s="94" t="n">
        <f aca="false">IFERROR(AQ69/AQ$5,0)</f>
        <v>0</v>
      </c>
    </row>
    <row r="70" customFormat="false" ht="15.75" hidden="true" customHeight="true" outlineLevel="1" collapsed="false">
      <c r="B70" s="89" t="s">
        <v>90</v>
      </c>
      <c r="D70" s="75" t="n">
        <f aca="false">SUMIFS('Dados Mov Financeira'!$N:$N,'Dados Mov Financeira'!$O:$O,'DRE 2021'!$B70,'Dados Mov Financeira'!$A:$A,'DRE 2021'!D$1,'Dados Mov Financeira'!$B:$B,'DRE 2021'!D$2)</f>
        <v>0</v>
      </c>
      <c r="E70" s="91" t="n">
        <f aca="false">IFERROR(D70/D$5,0)</f>
        <v>0</v>
      </c>
      <c r="G70" s="75" t="n">
        <f aca="false">SUMIFS('Dados Mov Financeira'!$N:$N,'Dados Mov Financeira'!$O:$O,'DRE 2021'!$B70,'Dados Mov Financeira'!$A:$A,'DRE 2021'!G$1,'Dados Mov Financeira'!$B:$B,'DRE 2021'!G$2)</f>
        <v>0</v>
      </c>
      <c r="H70" s="91" t="n">
        <f aca="false">IFERROR(G70/G$5,0)</f>
        <v>0</v>
      </c>
      <c r="J70" s="75" t="n">
        <f aca="false">SUMIFS('Dados Mov Financeira'!$N:$N,'Dados Mov Financeira'!$O:$O,'DRE 2021'!$B70,'Dados Mov Financeira'!$A:$A,'DRE 2021'!J$1,'Dados Mov Financeira'!$B:$B,'DRE 2021'!J$2)</f>
        <v>0</v>
      </c>
      <c r="K70" s="91" t="n">
        <f aca="false">IFERROR(J70/J$5,0)</f>
        <v>0</v>
      </c>
      <c r="M70" s="99" t="n">
        <f aca="false">SUMIFS('Dados Mov Financeira'!$N:$N,'Dados Mov Financeira'!$O:$O,'DRE 2021'!$B70,'Dados Mov Financeira'!$A:$A,'DRE 2021'!M$1,'Dados Mov Financeira'!$B:$B,'DRE 2021'!M$2)</f>
        <v>0</v>
      </c>
      <c r="N70" s="91" t="n">
        <f aca="false">IFERROR(M70/M$5,0)</f>
        <v>0</v>
      </c>
      <c r="P70" s="75" t="n">
        <f aca="false">SUMIFS('Dados Mov Financeira'!$N:$N,'Dados Mov Financeira'!$O:$O,'DRE 2021'!$B70,'Dados Mov Financeira'!$A:$A,'DRE 2021'!P$1,'Dados Mov Financeira'!$B:$B,'DRE 2021'!P$2)</f>
        <v>0</v>
      </c>
      <c r="Q70" s="91" t="n">
        <f aca="false">IFERROR(P70/P$5,0)</f>
        <v>0</v>
      </c>
      <c r="S70" s="75" t="n">
        <f aca="false">SUMIFS('Dados Mov Financeira'!$N:$N,'Dados Mov Financeira'!$O:$O,'DRE 2021'!$B70,'Dados Mov Financeira'!$A:$A,'DRE 2021'!S$1,'Dados Mov Financeira'!$B:$B,'DRE 2021'!S$2)</f>
        <v>0</v>
      </c>
      <c r="T70" s="91" t="n">
        <f aca="false">IFERROR(S70/S$5,0)</f>
        <v>0</v>
      </c>
      <c r="V70" s="75" t="n">
        <f aca="false">SUMIFS('Dados Mov Financeira'!$N:$N,'Dados Mov Financeira'!$O:$O,'DRE 2021'!$B70,'Dados Mov Financeira'!$A:$A,'DRE 2021'!V$1,'Dados Mov Financeira'!$B:$B,'DRE 2021'!V$2)</f>
        <v>0</v>
      </c>
      <c r="W70" s="91" t="n">
        <f aca="false">IFERROR(V70/V$5,0)</f>
        <v>0</v>
      </c>
      <c r="Y70" s="75" t="n">
        <f aca="false">SUMIFS('Dados Mov Financeira'!$N:$N,'Dados Mov Financeira'!$O:$O,'DRE 2021'!$B70,'Dados Mov Financeira'!$A:$A,'DRE 2021'!Y$1,'Dados Mov Financeira'!$B:$B,'DRE 2021'!Y$2)</f>
        <v>0</v>
      </c>
      <c r="Z70" s="91" t="n">
        <f aca="false">IFERROR(Y70/Y$5,0)</f>
        <v>0</v>
      </c>
      <c r="AB70" s="75" t="n">
        <f aca="false">SUMIFS('Dados Mov Financeira'!$N:$N,'Dados Mov Financeira'!$O:$O,'DRE 2021'!$B70,'Dados Mov Financeira'!$A:$A,'DRE 2021'!AB$1,'Dados Mov Financeira'!$B:$B,'DRE 2021'!AB$2)</f>
        <v>0</v>
      </c>
      <c r="AC70" s="91" t="n">
        <f aca="false">IFERROR(AB70/AB$5,0)</f>
        <v>0</v>
      </c>
      <c r="AE70" s="75" t="n">
        <f aca="false">SUMIFS('Dados Mov Financeira'!$N:$N,'Dados Mov Financeira'!$O:$O,'DRE 2021'!$B70,'Dados Mov Financeira'!$A:$A,'DRE 2021'!AE$1,'Dados Mov Financeira'!$B:$B,'DRE 2021'!AE$2)</f>
        <v>0</v>
      </c>
      <c r="AF70" s="91" t="n">
        <f aca="false">IFERROR(AE70/AE$5,0)</f>
        <v>0</v>
      </c>
      <c r="AH70" s="75" t="n">
        <f aca="false">SUMIFS('Dados Mov Financeira'!$N:$N,'Dados Mov Financeira'!$O:$O,'DRE 2021'!$B70,'Dados Mov Financeira'!$A:$A,'DRE 2021'!AH$1,'Dados Mov Financeira'!$B:$B,'DRE 2021'!AH$2)</f>
        <v>0</v>
      </c>
      <c r="AI70" s="91" t="n">
        <f aca="false">IFERROR(AH70/AH$5,0)</f>
        <v>0</v>
      </c>
      <c r="AK70" s="75" t="n">
        <f aca="false">SUMIFS('Dados Mov Financeira'!$N:$N,'Dados Mov Financeira'!$O:$O,'DRE 2021'!$B70,'Dados Mov Financeira'!$A:$A,'DRE 2021'!AK$1,'Dados Mov Financeira'!$B:$B,'DRE 2021'!AK$2)</f>
        <v>0</v>
      </c>
      <c r="AL70" s="91" t="n">
        <f aca="false">IFERROR(AK70/AK$5,0)</f>
        <v>0</v>
      </c>
      <c r="AN70" s="92" t="n">
        <f aca="false">SUM(D70,G70,J70,M70,P70,S70,V70,Y70,AB70,AE70,AH70,AK70)</f>
        <v>0</v>
      </c>
      <c r="AO70" s="91" t="n">
        <f aca="false">IFERROR(AN70/AN$5,0)</f>
        <v>0</v>
      </c>
      <c r="AQ70" s="93" t="n">
        <f aca="false">AN70/$AR$1</f>
        <v>0</v>
      </c>
      <c r="AR70" s="94" t="n">
        <f aca="false">IFERROR(AQ70/AQ$5,0)</f>
        <v>0</v>
      </c>
    </row>
    <row r="71" customFormat="false" ht="15.75" hidden="true" customHeight="true" outlineLevel="1" collapsed="false">
      <c r="B71" s="89" t="s">
        <v>91</v>
      </c>
      <c r="D71" s="75" t="n">
        <f aca="false">SUMIFS('Dados Mov Financeira'!$N:$N,'Dados Mov Financeira'!$O:$O,'DRE 2021'!$B71,'Dados Mov Financeira'!$A:$A,'DRE 2021'!D$1,'Dados Mov Financeira'!$B:$B,'DRE 2021'!D$2)</f>
        <v>0</v>
      </c>
      <c r="E71" s="91" t="n">
        <f aca="false">IFERROR(D71/D$5,0)</f>
        <v>0</v>
      </c>
      <c r="G71" s="75" t="n">
        <f aca="false">SUMIFS('Dados Mov Financeira'!$N:$N,'Dados Mov Financeira'!$O:$O,'DRE 2021'!$B71,'Dados Mov Financeira'!$A:$A,'DRE 2021'!G$1,'Dados Mov Financeira'!$B:$B,'DRE 2021'!G$2)</f>
        <v>0</v>
      </c>
      <c r="H71" s="91" t="n">
        <f aca="false">IFERROR(G71/G$5,0)</f>
        <v>0</v>
      </c>
      <c r="J71" s="75" t="n">
        <f aca="false">SUMIFS('Dados Mov Financeira'!$N:$N,'Dados Mov Financeira'!$O:$O,'DRE 2021'!$B71,'Dados Mov Financeira'!$A:$A,'DRE 2021'!J$1,'Dados Mov Financeira'!$B:$B,'DRE 2021'!J$2)</f>
        <v>0</v>
      </c>
      <c r="K71" s="91" t="n">
        <f aca="false">IFERROR(J71/J$5,0)</f>
        <v>0</v>
      </c>
      <c r="M71" s="75" t="n">
        <f aca="false">SUMIFS('Dados Mov Financeira'!$N:$N,'Dados Mov Financeira'!$O:$O,'DRE 2021'!$B71,'Dados Mov Financeira'!$A:$A,'DRE 2021'!M$1,'Dados Mov Financeira'!$B:$B,'DRE 2021'!M$2)</f>
        <v>0</v>
      </c>
      <c r="N71" s="91" t="n">
        <f aca="false">IFERROR(M71/M$5,0)</f>
        <v>0</v>
      </c>
      <c r="P71" s="75" t="n">
        <f aca="false">SUMIFS('Dados Mov Financeira'!$N:$N,'Dados Mov Financeira'!$O:$O,'DRE 2021'!$B71,'Dados Mov Financeira'!$A:$A,'DRE 2021'!P$1,'Dados Mov Financeira'!$B:$B,'DRE 2021'!P$2)</f>
        <v>0</v>
      </c>
      <c r="Q71" s="91" t="n">
        <f aca="false">IFERROR(P71/P$5,0)</f>
        <v>0</v>
      </c>
      <c r="S71" s="75" t="n">
        <f aca="false">SUMIFS('Dados Mov Financeira'!$N:$N,'Dados Mov Financeira'!$O:$O,'DRE 2021'!$B71,'Dados Mov Financeira'!$A:$A,'DRE 2021'!S$1,'Dados Mov Financeira'!$B:$B,'DRE 2021'!S$2)</f>
        <v>0</v>
      </c>
      <c r="T71" s="91" t="n">
        <f aca="false">IFERROR(S71/S$5,0)</f>
        <v>0</v>
      </c>
      <c r="V71" s="75" t="n">
        <f aca="false">SUMIFS('Dados Mov Financeira'!$N:$N,'Dados Mov Financeira'!$O:$O,'DRE 2021'!$B71,'Dados Mov Financeira'!$A:$A,'DRE 2021'!V$1,'Dados Mov Financeira'!$B:$B,'DRE 2021'!V$2)</f>
        <v>0</v>
      </c>
      <c r="W71" s="91" t="n">
        <f aca="false">IFERROR(V71/V$5,0)</f>
        <v>0</v>
      </c>
      <c r="Y71" s="75" t="n">
        <f aca="false">SUMIFS('Dados Mov Financeira'!$N:$N,'Dados Mov Financeira'!$O:$O,'DRE 2021'!$B71,'Dados Mov Financeira'!$A:$A,'DRE 2021'!Y$1,'Dados Mov Financeira'!$B:$B,'DRE 2021'!Y$2)</f>
        <v>0</v>
      </c>
      <c r="Z71" s="91" t="n">
        <f aca="false">IFERROR(Y71/Y$5,0)</f>
        <v>0</v>
      </c>
      <c r="AB71" s="75" t="n">
        <f aca="false">SUMIFS('Dados Mov Financeira'!$N:$N,'Dados Mov Financeira'!$O:$O,'DRE 2021'!$B71,'Dados Mov Financeira'!$A:$A,'DRE 2021'!AB$1,'Dados Mov Financeira'!$B:$B,'DRE 2021'!AB$2)</f>
        <v>0</v>
      </c>
      <c r="AC71" s="91" t="n">
        <f aca="false">IFERROR(AB71/AB$5,0)</f>
        <v>0</v>
      </c>
      <c r="AE71" s="75" t="n">
        <f aca="false">SUMIFS('Dados Mov Financeira'!$N:$N,'Dados Mov Financeira'!$O:$O,'DRE 2021'!$B71,'Dados Mov Financeira'!$A:$A,'DRE 2021'!AE$1,'Dados Mov Financeira'!$B:$B,'DRE 2021'!AE$2)</f>
        <v>0</v>
      </c>
      <c r="AF71" s="91" t="n">
        <f aca="false">IFERROR(AE71/AE$5,0)</f>
        <v>0</v>
      </c>
      <c r="AH71" s="75" t="n">
        <f aca="false">SUMIFS('Dados Mov Financeira'!$N:$N,'Dados Mov Financeira'!$O:$O,'DRE 2021'!$B71,'Dados Mov Financeira'!$A:$A,'DRE 2021'!AH$1,'Dados Mov Financeira'!$B:$B,'DRE 2021'!AH$2)</f>
        <v>0</v>
      </c>
      <c r="AI71" s="91" t="n">
        <f aca="false">IFERROR(AH71/AH$5,0)</f>
        <v>0</v>
      </c>
      <c r="AK71" s="75" t="n">
        <f aca="false">SUMIFS('Dados Mov Financeira'!$N:$N,'Dados Mov Financeira'!$O:$O,'DRE 2021'!$B71,'Dados Mov Financeira'!$A:$A,'DRE 2021'!AK$1,'Dados Mov Financeira'!$B:$B,'DRE 2021'!AK$2)</f>
        <v>0</v>
      </c>
      <c r="AL71" s="91" t="n">
        <f aca="false">IFERROR(AK71/AK$5,0)</f>
        <v>0</v>
      </c>
      <c r="AN71" s="92" t="n">
        <f aca="false">SUM(D71,G71,J71,M71,P71,S71,V71,Y71,AB71,AE71,AH71,AK71)</f>
        <v>0</v>
      </c>
      <c r="AO71" s="91" t="n">
        <f aca="false">IFERROR(AN71/AN$5,0)</f>
        <v>0</v>
      </c>
      <c r="AQ71" s="93" t="n">
        <f aca="false">AN71/$AR$1</f>
        <v>0</v>
      </c>
      <c r="AR71" s="94" t="n">
        <f aca="false">IFERROR(AQ71/AQ$5,0)</f>
        <v>0</v>
      </c>
    </row>
    <row r="72" customFormat="false" ht="15.75" hidden="true" customHeight="true" outlineLevel="1" collapsed="false">
      <c r="B72" s="89" t="s">
        <v>92</v>
      </c>
      <c r="D72" s="75" t="n">
        <f aca="false">SUMIFS('Dados Mov Financeira'!$N:$N,'Dados Mov Financeira'!$O:$O,'DRE 2021'!$B72,'Dados Mov Financeira'!$A:$A,'DRE 2021'!D$1,'Dados Mov Financeira'!$B:$B,'DRE 2021'!D$2)</f>
        <v>0</v>
      </c>
      <c r="E72" s="91" t="n">
        <f aca="false">IFERROR(D72/D$5,0)</f>
        <v>0</v>
      </c>
      <c r="G72" s="75" t="n">
        <f aca="false">SUMIFS('Dados Mov Financeira'!$N:$N,'Dados Mov Financeira'!$O:$O,'DRE 2021'!$B72,'Dados Mov Financeira'!$A:$A,'DRE 2021'!G$1,'Dados Mov Financeira'!$B:$B,'DRE 2021'!G$2)</f>
        <v>0</v>
      </c>
      <c r="H72" s="91" t="n">
        <f aca="false">IFERROR(G72/G$5,0)</f>
        <v>0</v>
      </c>
      <c r="J72" s="75" t="n">
        <f aca="false">SUMIFS('Dados Mov Financeira'!$N:$N,'Dados Mov Financeira'!$O:$O,'DRE 2021'!$B72,'Dados Mov Financeira'!$A:$A,'DRE 2021'!J$1,'Dados Mov Financeira'!$B:$B,'DRE 2021'!J$2)</f>
        <v>0</v>
      </c>
      <c r="K72" s="91" t="n">
        <f aca="false">IFERROR(J72/J$5,0)</f>
        <v>0</v>
      </c>
      <c r="M72" s="75" t="n">
        <f aca="false">SUMIFS('Dados Mov Financeira'!$N:$N,'Dados Mov Financeira'!$O:$O,'DRE 2021'!$B72,'Dados Mov Financeira'!$A:$A,'DRE 2021'!M$1,'Dados Mov Financeira'!$B:$B,'DRE 2021'!M$2)</f>
        <v>0</v>
      </c>
      <c r="N72" s="91" t="n">
        <f aca="false">IFERROR(M72/M$5,0)</f>
        <v>0</v>
      </c>
      <c r="P72" s="99" t="n">
        <f aca="false">SUMIFS('Dados Mov Financeira'!$N:$N,'Dados Mov Financeira'!$O:$O,'DRE 2021'!$B72,'Dados Mov Financeira'!$A:$A,'DRE 2021'!P$1,'Dados Mov Financeira'!$B:$B,'DRE 2021'!P$2)</f>
        <v>0</v>
      </c>
      <c r="Q72" s="91" t="n">
        <f aca="false">IFERROR(P72/P$5,0)</f>
        <v>0</v>
      </c>
      <c r="S72" s="99" t="n">
        <f aca="false">SUMIFS('Dados Mov Financeira'!$N:$N,'Dados Mov Financeira'!$O:$O,'DRE 2021'!$B72,'Dados Mov Financeira'!$A:$A,'DRE 2021'!S$1,'Dados Mov Financeira'!$B:$B,'DRE 2021'!S$2)</f>
        <v>0</v>
      </c>
      <c r="T72" s="91" t="n">
        <f aca="false">IFERROR(S72/S$5,0)</f>
        <v>0</v>
      </c>
      <c r="V72" s="99" t="n">
        <f aca="false">SUMIFS('Dados Mov Financeira'!$N:$N,'Dados Mov Financeira'!$O:$O,'DRE 2021'!$B72,'Dados Mov Financeira'!$A:$A,'DRE 2021'!V$1,'Dados Mov Financeira'!$B:$B,'DRE 2021'!V$2)</f>
        <v>0</v>
      </c>
      <c r="W72" s="91" t="n">
        <f aca="false">IFERROR(V72/V$5,0)</f>
        <v>0</v>
      </c>
      <c r="Y72" s="99" t="n">
        <f aca="false">SUMIFS('Dados Mov Financeira'!$N:$N,'Dados Mov Financeira'!$O:$O,'DRE 2021'!$B72,'Dados Mov Financeira'!$A:$A,'DRE 2021'!Y$1,'Dados Mov Financeira'!$B:$B,'DRE 2021'!Y$2)</f>
        <v>0</v>
      </c>
      <c r="Z72" s="91" t="n">
        <f aca="false">IFERROR(Y72/Y$5,0)</f>
        <v>0</v>
      </c>
      <c r="AB72" s="99" t="n">
        <f aca="false">SUMIFS('Dados Mov Financeira'!$N:$N,'Dados Mov Financeira'!$O:$O,'DRE 2021'!$B72,'Dados Mov Financeira'!$A:$A,'DRE 2021'!AB$1,'Dados Mov Financeira'!$B:$B,'DRE 2021'!AB$2)</f>
        <v>0</v>
      </c>
      <c r="AC72" s="91" t="n">
        <f aca="false">IFERROR(AB72/AB$5,0)</f>
        <v>0</v>
      </c>
      <c r="AE72" s="99" t="n">
        <f aca="false">SUMIFS('Dados Mov Financeira'!$N:$N,'Dados Mov Financeira'!$O:$O,'DRE 2021'!$B72,'Dados Mov Financeira'!$A:$A,'DRE 2021'!AE$1,'Dados Mov Financeira'!$B:$B,'DRE 2021'!AE$2)</f>
        <v>0</v>
      </c>
      <c r="AF72" s="91" t="n">
        <f aca="false">IFERROR(AE72/AE$5,0)</f>
        <v>0</v>
      </c>
      <c r="AH72" s="99" t="n">
        <f aca="false">SUMIFS('Dados Mov Financeira'!$N:$N,'Dados Mov Financeira'!$O:$O,'DRE 2021'!$B72,'Dados Mov Financeira'!$A:$A,'DRE 2021'!AH$1,'Dados Mov Financeira'!$B:$B,'DRE 2021'!AH$2)</f>
        <v>0</v>
      </c>
      <c r="AI72" s="91" t="n">
        <f aca="false">IFERROR(AH72/AH$5,0)</f>
        <v>0</v>
      </c>
      <c r="AK72" s="99" t="n">
        <f aca="false">SUMIFS('Dados Mov Financeira'!$N:$N,'Dados Mov Financeira'!$O:$O,'DRE 2021'!$B72,'Dados Mov Financeira'!$A:$A,'DRE 2021'!AK$1,'Dados Mov Financeira'!$B:$B,'DRE 2021'!AK$2)</f>
        <v>0</v>
      </c>
      <c r="AL72" s="91" t="n">
        <f aca="false">IFERROR(AK72/AK$5,0)</f>
        <v>0</v>
      </c>
      <c r="AN72" s="92" t="n">
        <f aca="false">SUM(D72,G72,J72,M72,P72,S72,V72,Y72,AB72,AE72,AH72,AK72)</f>
        <v>0</v>
      </c>
      <c r="AO72" s="91" t="n">
        <f aca="false">IFERROR(AN72/AN$5,0)</f>
        <v>0</v>
      </c>
      <c r="AQ72" s="93" t="n">
        <f aca="false">AN72/$AR$1</f>
        <v>0</v>
      </c>
      <c r="AR72" s="94" t="n">
        <f aca="false">IFERROR(AQ72/AQ$5,0)</f>
        <v>0</v>
      </c>
    </row>
    <row r="73" customFormat="false" ht="15.75" hidden="true" customHeight="true" outlineLevel="1" collapsed="false">
      <c r="B73" s="89" t="s">
        <v>93</v>
      </c>
      <c r="D73" s="75" t="n">
        <f aca="false">SUMIFS('Dados Mov Financeira'!$N:$N,'Dados Mov Financeira'!$O:$O,'DRE 2021'!$B73,'Dados Mov Financeira'!$A:$A,'DRE 2021'!D$1,'Dados Mov Financeira'!$B:$B,'DRE 2021'!D$2)</f>
        <v>0</v>
      </c>
      <c r="E73" s="91" t="n">
        <f aca="false">IFERROR(D73/D$5,0)</f>
        <v>0</v>
      </c>
      <c r="G73" s="75" t="n">
        <f aca="false">SUMIFS('Dados Mov Financeira'!$N:$N,'Dados Mov Financeira'!$O:$O,'DRE 2021'!$B73,'Dados Mov Financeira'!$A:$A,'DRE 2021'!G$1,'Dados Mov Financeira'!$B:$B,'DRE 2021'!G$2)</f>
        <v>0</v>
      </c>
      <c r="H73" s="91" t="n">
        <f aca="false">IFERROR(G73/G$5,0)</f>
        <v>0</v>
      </c>
      <c r="J73" s="75" t="n">
        <f aca="false">SUMIFS('Dados Mov Financeira'!$N:$N,'Dados Mov Financeira'!$O:$O,'DRE 2021'!$B73,'Dados Mov Financeira'!$A:$A,'DRE 2021'!J$1,'Dados Mov Financeira'!$B:$B,'DRE 2021'!J$2)</f>
        <v>0</v>
      </c>
      <c r="K73" s="91" t="n">
        <f aca="false">IFERROR(J73/J$5,0)</f>
        <v>0</v>
      </c>
      <c r="M73" s="75" t="n">
        <f aca="false">SUMIFS('Dados Mov Financeira'!$N:$N,'Dados Mov Financeira'!$O:$O,'DRE 2021'!$B73,'Dados Mov Financeira'!$A:$A,'DRE 2021'!M$1,'Dados Mov Financeira'!$B:$B,'DRE 2021'!M$2)</f>
        <v>0</v>
      </c>
      <c r="N73" s="91" t="n">
        <f aca="false">IFERROR(M73/M$5,0)</f>
        <v>0</v>
      </c>
      <c r="P73" s="75" t="n">
        <f aca="false">SUMIFS('Dados Mov Financeira'!$N:$N,'Dados Mov Financeira'!$O:$O,'DRE 2021'!$B73,'Dados Mov Financeira'!$A:$A,'DRE 2021'!P$1,'Dados Mov Financeira'!$B:$B,'DRE 2021'!P$2)</f>
        <v>0</v>
      </c>
      <c r="Q73" s="91" t="n">
        <f aca="false">IFERROR(P73/P$5,0)</f>
        <v>0</v>
      </c>
      <c r="S73" s="75" t="n">
        <f aca="false">SUMIFS('Dados Mov Financeira'!$N:$N,'Dados Mov Financeira'!$O:$O,'DRE 2021'!$B73,'Dados Mov Financeira'!$A:$A,'DRE 2021'!S$1,'Dados Mov Financeira'!$B:$B,'DRE 2021'!S$2)</f>
        <v>0</v>
      </c>
      <c r="T73" s="91" t="n">
        <f aca="false">IFERROR(S73/S$5,0)</f>
        <v>0</v>
      </c>
      <c r="V73" s="75" t="n">
        <f aca="false">SUMIFS('Dados Mov Financeira'!$N:$N,'Dados Mov Financeira'!$O:$O,'DRE 2021'!$B73,'Dados Mov Financeira'!$A:$A,'DRE 2021'!V$1,'Dados Mov Financeira'!$B:$B,'DRE 2021'!V$2)</f>
        <v>0</v>
      </c>
      <c r="W73" s="91" t="n">
        <f aca="false">IFERROR(V73/V$5,0)</f>
        <v>0</v>
      </c>
      <c r="Y73" s="75" t="n">
        <f aca="false">SUMIFS('Dados Mov Financeira'!$N:$N,'Dados Mov Financeira'!$O:$O,'DRE 2021'!$B73,'Dados Mov Financeira'!$A:$A,'DRE 2021'!Y$1,'Dados Mov Financeira'!$B:$B,'DRE 2021'!Y$2)</f>
        <v>0</v>
      </c>
      <c r="Z73" s="91" t="n">
        <f aca="false">IFERROR(Y73/Y$5,0)</f>
        <v>0</v>
      </c>
      <c r="AB73" s="75" t="n">
        <f aca="false">SUMIFS('Dados Mov Financeira'!$N:$N,'Dados Mov Financeira'!$O:$O,'DRE 2021'!$B73,'Dados Mov Financeira'!$A:$A,'DRE 2021'!AB$1,'Dados Mov Financeira'!$B:$B,'DRE 2021'!AB$2)</f>
        <v>0</v>
      </c>
      <c r="AC73" s="91" t="n">
        <f aca="false">IFERROR(AB73/AB$5,0)</f>
        <v>0</v>
      </c>
      <c r="AE73" s="75" t="n">
        <f aca="false">SUMIFS('Dados Mov Financeira'!$N:$N,'Dados Mov Financeira'!$O:$O,'DRE 2021'!$B73,'Dados Mov Financeira'!$A:$A,'DRE 2021'!AE$1,'Dados Mov Financeira'!$B:$B,'DRE 2021'!AE$2)</f>
        <v>0</v>
      </c>
      <c r="AF73" s="91" t="n">
        <f aca="false">IFERROR(AE73/AE$5,0)</f>
        <v>0</v>
      </c>
      <c r="AH73" s="75" t="n">
        <f aca="false">SUMIFS('Dados Mov Financeira'!$N:$N,'Dados Mov Financeira'!$O:$O,'DRE 2021'!$B73,'Dados Mov Financeira'!$A:$A,'DRE 2021'!AH$1,'Dados Mov Financeira'!$B:$B,'DRE 2021'!AH$2)</f>
        <v>0</v>
      </c>
      <c r="AI73" s="91" t="n">
        <f aca="false">IFERROR(AH73/AH$5,0)</f>
        <v>0</v>
      </c>
      <c r="AK73" s="75" t="n">
        <f aca="false">SUMIFS('Dados Mov Financeira'!$N:$N,'Dados Mov Financeira'!$O:$O,'DRE 2021'!$B73,'Dados Mov Financeira'!$A:$A,'DRE 2021'!AK$1,'Dados Mov Financeira'!$B:$B,'DRE 2021'!AK$2)</f>
        <v>0</v>
      </c>
      <c r="AL73" s="91" t="n">
        <f aca="false">IFERROR(AK73/AK$5,0)</f>
        <v>0</v>
      </c>
      <c r="AN73" s="92" t="n">
        <f aca="false">SUM(D73,G73,J73,M73,P73,S73,V73,Y73,AB73,AE73,AH73,AK73)</f>
        <v>0</v>
      </c>
      <c r="AO73" s="91" t="n">
        <f aca="false">IFERROR(AN73/AN$5,0)</f>
        <v>0</v>
      </c>
      <c r="AQ73" s="93" t="n">
        <f aca="false">AN73/$AR$1</f>
        <v>0</v>
      </c>
      <c r="AR73" s="94" t="n">
        <f aca="false">IFERROR(AQ73/AQ$5,0)</f>
        <v>0</v>
      </c>
    </row>
    <row r="74" customFormat="false" ht="15.75" hidden="true" customHeight="true" outlineLevel="1" collapsed="false">
      <c r="B74" s="89" t="s">
        <v>94</v>
      </c>
      <c r="D74" s="75" t="n">
        <f aca="false">SUMIFS('Dados Mov Financeira'!$N:$N,'Dados Mov Financeira'!$O:$O,'DRE 2021'!$B74,'Dados Mov Financeira'!$A:$A,'DRE 2021'!D$1,'Dados Mov Financeira'!$B:$B,'DRE 2021'!D$2)</f>
        <v>0</v>
      </c>
      <c r="E74" s="91" t="n">
        <f aca="false">IFERROR(D74/D$5,0)</f>
        <v>0</v>
      </c>
      <c r="G74" s="75" t="n">
        <f aca="false">SUMIFS('Dados Mov Financeira'!$N:$N,'Dados Mov Financeira'!$O:$O,'DRE 2021'!$B74,'Dados Mov Financeira'!$A:$A,'DRE 2021'!G$1,'Dados Mov Financeira'!$B:$B,'DRE 2021'!G$2)</f>
        <v>0</v>
      </c>
      <c r="H74" s="91" t="n">
        <f aca="false">IFERROR(G74/G$5,0)</f>
        <v>0</v>
      </c>
      <c r="J74" s="75" t="n">
        <f aca="false">SUMIFS('Dados Mov Financeira'!$N:$N,'Dados Mov Financeira'!$O:$O,'DRE 2021'!$B74,'Dados Mov Financeira'!$A:$A,'DRE 2021'!J$1,'Dados Mov Financeira'!$B:$B,'DRE 2021'!J$2)</f>
        <v>0</v>
      </c>
      <c r="K74" s="91" t="n">
        <f aca="false">IFERROR(J74/J$5,0)</f>
        <v>0</v>
      </c>
      <c r="M74" s="75" t="n">
        <f aca="false">SUMIFS('Dados Mov Financeira'!$N:$N,'Dados Mov Financeira'!$O:$O,'DRE 2021'!$B74,'Dados Mov Financeira'!$A:$A,'DRE 2021'!M$1,'Dados Mov Financeira'!$B:$B,'DRE 2021'!M$2)</f>
        <v>0</v>
      </c>
      <c r="N74" s="91" t="n">
        <f aca="false">IFERROR(M74/M$5,0)</f>
        <v>0</v>
      </c>
      <c r="P74" s="75" t="n">
        <f aca="false">SUMIFS('Dados Mov Financeira'!$N:$N,'Dados Mov Financeira'!$O:$O,'DRE 2021'!$B74,'Dados Mov Financeira'!$A:$A,'DRE 2021'!P$1,'Dados Mov Financeira'!$B:$B,'DRE 2021'!P$2)</f>
        <v>0</v>
      </c>
      <c r="Q74" s="91" t="n">
        <f aca="false">IFERROR(P74/P$5,0)</f>
        <v>0</v>
      </c>
      <c r="S74" s="75" t="n">
        <f aca="false">SUMIFS('Dados Mov Financeira'!$N:$N,'Dados Mov Financeira'!$O:$O,'DRE 2021'!$B74,'Dados Mov Financeira'!$A:$A,'DRE 2021'!S$1,'Dados Mov Financeira'!$B:$B,'DRE 2021'!S$2)</f>
        <v>0</v>
      </c>
      <c r="T74" s="91" t="n">
        <f aca="false">IFERROR(S74/S$5,0)</f>
        <v>0</v>
      </c>
      <c r="V74" s="75" t="n">
        <f aca="false">SUMIFS('Dados Mov Financeira'!$N:$N,'Dados Mov Financeira'!$O:$O,'DRE 2021'!$B74,'Dados Mov Financeira'!$A:$A,'DRE 2021'!V$1,'Dados Mov Financeira'!$B:$B,'DRE 2021'!V$2)</f>
        <v>0</v>
      </c>
      <c r="W74" s="91" t="n">
        <f aca="false">IFERROR(V74/V$5,0)</f>
        <v>0</v>
      </c>
      <c r="Y74" s="75" t="n">
        <f aca="false">SUMIFS('Dados Mov Financeira'!$N:$N,'Dados Mov Financeira'!$O:$O,'DRE 2021'!$B74,'Dados Mov Financeira'!$A:$A,'DRE 2021'!Y$1,'Dados Mov Financeira'!$B:$B,'DRE 2021'!Y$2)</f>
        <v>0</v>
      </c>
      <c r="Z74" s="91" t="n">
        <f aca="false">IFERROR(Y74/Y$5,0)</f>
        <v>0</v>
      </c>
      <c r="AB74" s="75" t="n">
        <f aca="false">SUMIFS('Dados Mov Financeira'!$N:$N,'Dados Mov Financeira'!$O:$O,'DRE 2021'!$B74,'Dados Mov Financeira'!$A:$A,'DRE 2021'!AB$1,'Dados Mov Financeira'!$B:$B,'DRE 2021'!AB$2)</f>
        <v>0</v>
      </c>
      <c r="AC74" s="91" t="n">
        <f aca="false">IFERROR(AB74/AB$5,0)</f>
        <v>0</v>
      </c>
      <c r="AE74" s="75" t="n">
        <f aca="false">SUMIFS('Dados Mov Financeira'!$N:$N,'Dados Mov Financeira'!$O:$O,'DRE 2021'!$B74,'Dados Mov Financeira'!$A:$A,'DRE 2021'!AE$1,'Dados Mov Financeira'!$B:$B,'DRE 2021'!AE$2)</f>
        <v>0</v>
      </c>
      <c r="AF74" s="91" t="n">
        <f aca="false">IFERROR(AE74/AE$5,0)</f>
        <v>0</v>
      </c>
      <c r="AH74" s="75" t="n">
        <f aca="false">SUMIFS('Dados Mov Financeira'!$N:$N,'Dados Mov Financeira'!$O:$O,'DRE 2021'!$B74,'Dados Mov Financeira'!$A:$A,'DRE 2021'!AH$1,'Dados Mov Financeira'!$B:$B,'DRE 2021'!AH$2)</f>
        <v>0</v>
      </c>
      <c r="AI74" s="91" t="n">
        <f aca="false">IFERROR(AH74/AH$5,0)</f>
        <v>0</v>
      </c>
      <c r="AK74" s="75" t="n">
        <f aca="false">SUMIFS('Dados Mov Financeira'!$N:$N,'Dados Mov Financeira'!$O:$O,'DRE 2021'!$B74,'Dados Mov Financeira'!$A:$A,'DRE 2021'!AK$1,'Dados Mov Financeira'!$B:$B,'DRE 2021'!AK$2)</f>
        <v>0</v>
      </c>
      <c r="AL74" s="91" t="n">
        <f aca="false">IFERROR(AK74/AK$5,0)</f>
        <v>0</v>
      </c>
      <c r="AN74" s="92" t="n">
        <f aca="false">SUM(D74,G74,J74,M74,P74,S74,V74,Y74,AB74,AE74,AH74,AK74)</f>
        <v>0</v>
      </c>
      <c r="AO74" s="91" t="n">
        <f aca="false">IFERROR(AN74/AN$5,0)</f>
        <v>0</v>
      </c>
      <c r="AQ74" s="93" t="n">
        <f aca="false">AN74/$AR$1</f>
        <v>0</v>
      </c>
      <c r="AR74" s="94" t="n">
        <f aca="false">IFERROR(AQ74/AQ$5,0)</f>
        <v>0</v>
      </c>
    </row>
    <row r="75" customFormat="false" ht="15.75" hidden="true" customHeight="true" outlineLevel="1" collapsed="false">
      <c r="B75" s="89" t="s">
        <v>95</v>
      </c>
      <c r="D75" s="75" t="n">
        <f aca="false">SUMIFS('Dados Mov Financeira'!$N:$N,'Dados Mov Financeira'!$O:$O,'DRE 2021'!$B75,'Dados Mov Financeira'!$A:$A,'DRE 2021'!D$1,'Dados Mov Financeira'!$B:$B,'DRE 2021'!D$2)</f>
        <v>0</v>
      </c>
      <c r="E75" s="91" t="n">
        <f aca="false">IFERROR(D75/D$5,0)</f>
        <v>0</v>
      </c>
      <c r="G75" s="75" t="n">
        <f aca="false">SUMIFS('Dados Mov Financeira'!$N:$N,'Dados Mov Financeira'!$O:$O,'DRE 2021'!$B75,'Dados Mov Financeira'!$A:$A,'DRE 2021'!G$1,'Dados Mov Financeira'!$B:$B,'DRE 2021'!G$2)</f>
        <v>0</v>
      </c>
      <c r="H75" s="91" t="n">
        <f aca="false">IFERROR(G75/G$5,0)</f>
        <v>0</v>
      </c>
      <c r="J75" s="75" t="n">
        <f aca="false">SUMIFS('Dados Mov Financeira'!$N:$N,'Dados Mov Financeira'!$O:$O,'DRE 2021'!$B75,'Dados Mov Financeira'!$A:$A,'DRE 2021'!J$1,'Dados Mov Financeira'!$B:$B,'DRE 2021'!J$2)</f>
        <v>0</v>
      </c>
      <c r="K75" s="91" t="n">
        <f aca="false">IFERROR(J75/J$5,0)</f>
        <v>0</v>
      </c>
      <c r="M75" s="75" t="n">
        <f aca="false">SUMIFS('Dados Mov Financeira'!$N:$N,'Dados Mov Financeira'!$O:$O,'DRE 2021'!$B75,'Dados Mov Financeira'!$A:$A,'DRE 2021'!M$1,'Dados Mov Financeira'!$B:$B,'DRE 2021'!M$2)</f>
        <v>0</v>
      </c>
      <c r="N75" s="91" t="n">
        <f aca="false">IFERROR(M75/M$5,0)</f>
        <v>0</v>
      </c>
      <c r="P75" s="75" t="n">
        <f aca="false">SUMIFS('Dados Mov Financeira'!$N:$N,'Dados Mov Financeira'!$O:$O,'DRE 2021'!$B75,'Dados Mov Financeira'!$A:$A,'DRE 2021'!P$1,'Dados Mov Financeira'!$B:$B,'DRE 2021'!P$2)</f>
        <v>0</v>
      </c>
      <c r="Q75" s="91" t="n">
        <f aca="false">IFERROR(P75/P$5,0)</f>
        <v>0</v>
      </c>
      <c r="S75" s="75" t="n">
        <f aca="false">SUMIFS('Dados Mov Financeira'!$N:$N,'Dados Mov Financeira'!$O:$O,'DRE 2021'!$B75,'Dados Mov Financeira'!$A:$A,'DRE 2021'!S$1,'Dados Mov Financeira'!$B:$B,'DRE 2021'!S$2)</f>
        <v>0</v>
      </c>
      <c r="T75" s="91" t="n">
        <f aca="false">IFERROR(S75/S$5,0)</f>
        <v>0</v>
      </c>
      <c r="V75" s="75" t="n">
        <f aca="false">SUMIFS('Dados Mov Financeira'!$N:$N,'Dados Mov Financeira'!$O:$O,'DRE 2021'!$B75,'Dados Mov Financeira'!$A:$A,'DRE 2021'!V$1,'Dados Mov Financeira'!$B:$B,'DRE 2021'!V$2)</f>
        <v>0</v>
      </c>
      <c r="W75" s="91" t="n">
        <f aca="false">IFERROR(V75/V$5,0)</f>
        <v>0</v>
      </c>
      <c r="Y75" s="75" t="n">
        <f aca="false">SUMIFS('Dados Mov Financeira'!$N:$N,'Dados Mov Financeira'!$O:$O,'DRE 2021'!$B75,'Dados Mov Financeira'!$A:$A,'DRE 2021'!Y$1,'Dados Mov Financeira'!$B:$B,'DRE 2021'!Y$2)</f>
        <v>0</v>
      </c>
      <c r="Z75" s="91" t="n">
        <f aca="false">IFERROR(Y75/Y$5,0)</f>
        <v>0</v>
      </c>
      <c r="AB75" s="75" t="n">
        <f aca="false">SUMIFS('Dados Mov Financeira'!$N:$N,'Dados Mov Financeira'!$O:$O,'DRE 2021'!$B75,'Dados Mov Financeira'!$A:$A,'DRE 2021'!AB$1,'Dados Mov Financeira'!$B:$B,'DRE 2021'!AB$2)</f>
        <v>0</v>
      </c>
      <c r="AC75" s="91" t="n">
        <f aca="false">IFERROR(AB75/AB$5,0)</f>
        <v>0</v>
      </c>
      <c r="AE75" s="75" t="n">
        <f aca="false">SUMIFS('Dados Mov Financeira'!$N:$N,'Dados Mov Financeira'!$O:$O,'DRE 2021'!$B75,'Dados Mov Financeira'!$A:$A,'DRE 2021'!AE$1,'Dados Mov Financeira'!$B:$B,'DRE 2021'!AE$2)</f>
        <v>0</v>
      </c>
      <c r="AF75" s="91" t="n">
        <f aca="false">IFERROR(AE75/AE$5,0)</f>
        <v>0</v>
      </c>
      <c r="AH75" s="75" t="n">
        <f aca="false">SUMIFS('Dados Mov Financeira'!$N:$N,'Dados Mov Financeira'!$O:$O,'DRE 2021'!$B75,'Dados Mov Financeira'!$A:$A,'DRE 2021'!AH$1,'Dados Mov Financeira'!$B:$B,'DRE 2021'!AH$2)</f>
        <v>0</v>
      </c>
      <c r="AI75" s="91" t="n">
        <f aca="false">IFERROR(AH75/AH$5,0)</f>
        <v>0</v>
      </c>
      <c r="AK75" s="75" t="n">
        <f aca="false">SUMIFS('Dados Mov Financeira'!$N:$N,'Dados Mov Financeira'!$O:$O,'DRE 2021'!$B75,'Dados Mov Financeira'!$A:$A,'DRE 2021'!AK$1,'Dados Mov Financeira'!$B:$B,'DRE 2021'!AK$2)</f>
        <v>0</v>
      </c>
      <c r="AL75" s="91" t="n">
        <f aca="false">IFERROR(AK75/AK$5,0)</f>
        <v>0</v>
      </c>
      <c r="AN75" s="92" t="n">
        <f aca="false">SUM(D75,G75,J75,M75,P75,S75,V75,Y75,AB75,AE75,AH75,AK75)</f>
        <v>0</v>
      </c>
      <c r="AO75" s="91" t="n">
        <f aca="false">IFERROR(AN75/AN$5,0)</f>
        <v>0</v>
      </c>
      <c r="AQ75" s="93" t="n">
        <f aca="false">AN75/$AR$1</f>
        <v>0</v>
      </c>
      <c r="AR75" s="94" t="n">
        <f aca="false">IFERROR(AQ75/AQ$5,0)</f>
        <v>0</v>
      </c>
    </row>
    <row r="76" customFormat="false" ht="15.75" hidden="true" customHeight="true" outlineLevel="1" collapsed="false">
      <c r="B76" s="89" t="s">
        <v>96</v>
      </c>
      <c r="D76" s="75" t="n">
        <f aca="false">SUMIFS('Dados Mov Financeira'!$N:$N,'Dados Mov Financeira'!$O:$O,'DRE 2021'!$B76,'Dados Mov Financeira'!$A:$A,'DRE 2021'!D$1,'Dados Mov Financeira'!$B:$B,'DRE 2021'!D$2)</f>
        <v>0</v>
      </c>
      <c r="E76" s="91" t="n">
        <f aca="false">IFERROR(D76/D$5,0)</f>
        <v>0</v>
      </c>
      <c r="G76" s="75" t="n">
        <f aca="false">SUMIFS('Dados Mov Financeira'!$N:$N,'Dados Mov Financeira'!$O:$O,'DRE 2021'!$B76,'Dados Mov Financeira'!$A:$A,'DRE 2021'!G$1,'Dados Mov Financeira'!$B:$B,'DRE 2021'!G$2)</f>
        <v>0</v>
      </c>
      <c r="H76" s="91" t="n">
        <f aca="false">IFERROR(G76/G$5,0)</f>
        <v>0</v>
      </c>
      <c r="J76" s="75" t="n">
        <f aca="false">SUMIFS('Dados Mov Financeira'!$N:$N,'Dados Mov Financeira'!$O:$O,'DRE 2021'!$B76,'Dados Mov Financeira'!$A:$A,'DRE 2021'!J$1,'Dados Mov Financeira'!$B:$B,'DRE 2021'!J$2)</f>
        <v>0</v>
      </c>
      <c r="K76" s="91" t="n">
        <f aca="false">IFERROR(J76/J$5,0)</f>
        <v>0</v>
      </c>
      <c r="M76" s="75" t="n">
        <f aca="false">SUMIFS('Dados Mov Financeira'!$N:$N,'Dados Mov Financeira'!$O:$O,'DRE 2021'!$B76,'Dados Mov Financeira'!$A:$A,'DRE 2021'!M$1,'Dados Mov Financeira'!$B:$B,'DRE 2021'!M$2)</f>
        <v>0</v>
      </c>
      <c r="N76" s="91" t="n">
        <f aca="false">IFERROR(M76/M$5,0)</f>
        <v>0</v>
      </c>
      <c r="P76" s="75" t="n">
        <f aca="false">SUMIFS('Dados Mov Financeira'!$N:$N,'Dados Mov Financeira'!$O:$O,'DRE 2021'!$B76,'Dados Mov Financeira'!$A:$A,'DRE 2021'!P$1,'Dados Mov Financeira'!$B:$B,'DRE 2021'!P$2)</f>
        <v>0</v>
      </c>
      <c r="Q76" s="91" t="n">
        <f aca="false">IFERROR(P76/P$5,0)</f>
        <v>0</v>
      </c>
      <c r="S76" s="75" t="n">
        <f aca="false">SUMIFS('Dados Mov Financeira'!$N:$N,'Dados Mov Financeira'!$O:$O,'DRE 2021'!$B76,'Dados Mov Financeira'!$A:$A,'DRE 2021'!S$1,'Dados Mov Financeira'!$B:$B,'DRE 2021'!S$2)</f>
        <v>0</v>
      </c>
      <c r="T76" s="91" t="n">
        <f aca="false">IFERROR(S76/S$5,0)</f>
        <v>0</v>
      </c>
      <c r="V76" s="75" t="n">
        <f aca="false">SUMIFS('Dados Mov Financeira'!$N:$N,'Dados Mov Financeira'!$O:$O,'DRE 2021'!$B76,'Dados Mov Financeira'!$A:$A,'DRE 2021'!V$1,'Dados Mov Financeira'!$B:$B,'DRE 2021'!V$2)</f>
        <v>0</v>
      </c>
      <c r="W76" s="91" t="n">
        <f aca="false">IFERROR(V76/V$5,0)</f>
        <v>0</v>
      </c>
      <c r="Y76" s="75" t="n">
        <f aca="false">SUMIFS('Dados Mov Financeira'!$N:$N,'Dados Mov Financeira'!$O:$O,'DRE 2021'!$B76,'Dados Mov Financeira'!$A:$A,'DRE 2021'!Y$1,'Dados Mov Financeira'!$B:$B,'DRE 2021'!Y$2)</f>
        <v>0</v>
      </c>
      <c r="Z76" s="91" t="n">
        <f aca="false">IFERROR(Y76/Y$5,0)</f>
        <v>0</v>
      </c>
      <c r="AB76" s="75" t="n">
        <f aca="false">SUMIFS('Dados Mov Financeira'!$N:$N,'Dados Mov Financeira'!$O:$O,'DRE 2021'!$B76,'Dados Mov Financeira'!$A:$A,'DRE 2021'!AB$1,'Dados Mov Financeira'!$B:$B,'DRE 2021'!AB$2)</f>
        <v>0</v>
      </c>
      <c r="AC76" s="91" t="n">
        <f aca="false">IFERROR(AB76/AB$5,0)</f>
        <v>0</v>
      </c>
      <c r="AE76" s="75" t="n">
        <f aca="false">SUMIFS('Dados Mov Financeira'!$N:$N,'Dados Mov Financeira'!$O:$O,'DRE 2021'!$B76,'Dados Mov Financeira'!$A:$A,'DRE 2021'!AE$1,'Dados Mov Financeira'!$B:$B,'DRE 2021'!AE$2)</f>
        <v>0</v>
      </c>
      <c r="AF76" s="91" t="n">
        <f aca="false">IFERROR(AE76/AE$5,0)</f>
        <v>0</v>
      </c>
      <c r="AH76" s="75" t="n">
        <f aca="false">SUMIFS('Dados Mov Financeira'!$N:$N,'Dados Mov Financeira'!$O:$O,'DRE 2021'!$B76,'Dados Mov Financeira'!$A:$A,'DRE 2021'!AH$1,'Dados Mov Financeira'!$B:$B,'DRE 2021'!AH$2)</f>
        <v>0</v>
      </c>
      <c r="AI76" s="91" t="n">
        <f aca="false">IFERROR(AH76/AH$5,0)</f>
        <v>0</v>
      </c>
      <c r="AK76" s="75" t="n">
        <f aca="false">SUMIFS('Dados Mov Financeira'!$N:$N,'Dados Mov Financeira'!$O:$O,'DRE 2021'!$B76,'Dados Mov Financeira'!$A:$A,'DRE 2021'!AK$1,'Dados Mov Financeira'!$B:$B,'DRE 2021'!AK$2)</f>
        <v>0</v>
      </c>
      <c r="AL76" s="91" t="n">
        <f aca="false">IFERROR(AK76/AK$5,0)</f>
        <v>0</v>
      </c>
      <c r="AN76" s="92" t="n">
        <f aca="false">SUM(D76,G76,J76,M76,P76,S76,V76,Y76,AB76,AE76,AH76,AK76)</f>
        <v>0</v>
      </c>
      <c r="AO76" s="91" t="n">
        <f aca="false">IFERROR(AN76/AN$5,0)</f>
        <v>0</v>
      </c>
      <c r="AQ76" s="93" t="n">
        <f aca="false">AN76/$AR$1</f>
        <v>0</v>
      </c>
      <c r="AR76" s="94" t="n">
        <f aca="false">IFERROR(AQ76/AQ$5,0)</f>
        <v>0</v>
      </c>
    </row>
    <row r="77" customFormat="false" ht="15.75" hidden="true" customHeight="true" outlineLevel="1" collapsed="false">
      <c r="B77" s="89" t="s">
        <v>97</v>
      </c>
      <c r="D77" s="75" t="n">
        <f aca="false">SUMIFS('Dados Mov Financeira'!$N:$N,'Dados Mov Financeira'!$O:$O,'DRE 2021'!$B77,'Dados Mov Financeira'!$A:$A,'DRE 2021'!D$1,'Dados Mov Financeira'!$B:$B,'DRE 2021'!D$2)</f>
        <v>0</v>
      </c>
      <c r="E77" s="91" t="n">
        <f aca="false">IFERROR(D77/D$5,0)</f>
        <v>0</v>
      </c>
      <c r="G77" s="75" t="n">
        <f aca="false">SUMIFS('Dados Mov Financeira'!$N:$N,'Dados Mov Financeira'!$O:$O,'DRE 2021'!$B77,'Dados Mov Financeira'!$A:$A,'DRE 2021'!G$1,'Dados Mov Financeira'!$B:$B,'DRE 2021'!G$2)</f>
        <v>0</v>
      </c>
      <c r="H77" s="91" t="n">
        <f aca="false">IFERROR(G77/G$5,0)</f>
        <v>0</v>
      </c>
      <c r="J77" s="75" t="n">
        <f aca="false">SUMIFS('Dados Mov Financeira'!$N:$N,'Dados Mov Financeira'!$O:$O,'DRE 2021'!$B77,'Dados Mov Financeira'!$A:$A,'DRE 2021'!J$1,'Dados Mov Financeira'!$B:$B,'DRE 2021'!J$2)</f>
        <v>0</v>
      </c>
      <c r="K77" s="91" t="n">
        <f aca="false">IFERROR(J77/J$5,0)</f>
        <v>0</v>
      </c>
      <c r="M77" s="99" t="n">
        <f aca="false">SUMIFS('Dados Mov Financeira'!$N:$N,'Dados Mov Financeira'!$O:$O,'DRE 2021'!$B77,'Dados Mov Financeira'!$A:$A,'DRE 2021'!M$1,'Dados Mov Financeira'!$B:$B,'DRE 2021'!M$2)</f>
        <v>0</v>
      </c>
      <c r="N77" s="91" t="n">
        <f aca="false">IFERROR(M77/M$5,0)</f>
        <v>0</v>
      </c>
      <c r="P77" s="99" t="n">
        <f aca="false">SUMIFS('Dados Mov Financeira'!$N:$N,'Dados Mov Financeira'!$O:$O,'DRE 2021'!$B77,'Dados Mov Financeira'!$A:$A,'DRE 2021'!P$1,'Dados Mov Financeira'!$B:$B,'DRE 2021'!P$2)</f>
        <v>0</v>
      </c>
      <c r="Q77" s="91" t="n">
        <f aca="false">IFERROR(P77/P$5,0)</f>
        <v>0</v>
      </c>
      <c r="S77" s="99" t="n">
        <f aca="false">SUMIFS('Dados Mov Financeira'!$N:$N,'Dados Mov Financeira'!$O:$O,'DRE 2021'!$B77,'Dados Mov Financeira'!$A:$A,'DRE 2021'!S$1,'Dados Mov Financeira'!$B:$B,'DRE 2021'!S$2)</f>
        <v>0</v>
      </c>
      <c r="T77" s="91" t="n">
        <f aca="false">IFERROR(S77/S$5,0)</f>
        <v>0</v>
      </c>
      <c r="V77" s="99" t="n">
        <f aca="false">SUMIFS('Dados Mov Financeira'!$N:$N,'Dados Mov Financeira'!$O:$O,'DRE 2021'!$B77,'Dados Mov Financeira'!$A:$A,'DRE 2021'!V$1,'Dados Mov Financeira'!$B:$B,'DRE 2021'!V$2)</f>
        <v>0</v>
      </c>
      <c r="W77" s="91" t="n">
        <f aca="false">IFERROR(V77/V$5,0)</f>
        <v>0</v>
      </c>
      <c r="Y77" s="99" t="n">
        <f aca="false">SUMIFS('Dados Mov Financeira'!$N:$N,'Dados Mov Financeira'!$O:$O,'DRE 2021'!$B77,'Dados Mov Financeira'!$A:$A,'DRE 2021'!Y$1,'Dados Mov Financeira'!$B:$B,'DRE 2021'!Y$2)</f>
        <v>0</v>
      </c>
      <c r="Z77" s="91" t="n">
        <f aca="false">IFERROR(Y77/Y$5,0)</f>
        <v>0</v>
      </c>
      <c r="AB77" s="99" t="n">
        <f aca="false">SUMIFS('Dados Mov Financeira'!$N:$N,'Dados Mov Financeira'!$O:$O,'DRE 2021'!$B77,'Dados Mov Financeira'!$A:$A,'DRE 2021'!AB$1,'Dados Mov Financeira'!$B:$B,'DRE 2021'!AB$2)</f>
        <v>0</v>
      </c>
      <c r="AC77" s="91" t="n">
        <f aca="false">IFERROR(AB77/AB$5,0)</f>
        <v>0</v>
      </c>
      <c r="AE77" s="99" t="n">
        <f aca="false">SUMIFS('Dados Mov Financeira'!$N:$N,'Dados Mov Financeira'!$O:$O,'DRE 2021'!$B77,'Dados Mov Financeira'!$A:$A,'DRE 2021'!AE$1,'Dados Mov Financeira'!$B:$B,'DRE 2021'!AE$2)</f>
        <v>0</v>
      </c>
      <c r="AF77" s="91" t="n">
        <f aca="false">IFERROR(AE77/AE$5,0)</f>
        <v>0</v>
      </c>
      <c r="AH77" s="99" t="n">
        <f aca="false">SUMIFS('Dados Mov Financeira'!$N:$N,'Dados Mov Financeira'!$O:$O,'DRE 2021'!$B77,'Dados Mov Financeira'!$A:$A,'DRE 2021'!AH$1,'Dados Mov Financeira'!$B:$B,'DRE 2021'!AH$2)</f>
        <v>0</v>
      </c>
      <c r="AI77" s="91" t="n">
        <f aca="false">IFERROR(AH77/AH$5,0)</f>
        <v>0</v>
      </c>
      <c r="AK77" s="99" t="n">
        <f aca="false">SUMIFS('Dados Mov Financeira'!$N:$N,'Dados Mov Financeira'!$O:$O,'DRE 2021'!$B77,'Dados Mov Financeira'!$A:$A,'DRE 2021'!AK$1,'Dados Mov Financeira'!$B:$B,'DRE 2021'!AK$2)</f>
        <v>0</v>
      </c>
      <c r="AL77" s="91" t="n">
        <f aca="false">IFERROR(AK77/AK$5,0)</f>
        <v>0</v>
      </c>
      <c r="AN77" s="92" t="n">
        <f aca="false">SUM(D77,G77,J77,M77,P77,S77,V77,Y77,AB77,AE77,AH77,AK77)</f>
        <v>0</v>
      </c>
      <c r="AO77" s="91" t="n">
        <f aca="false">IFERROR(AN77/AN$5,0)</f>
        <v>0</v>
      </c>
      <c r="AQ77" s="93" t="n">
        <f aca="false">AN77/$AR$1</f>
        <v>0</v>
      </c>
      <c r="AR77" s="94" t="n">
        <f aca="false">IFERROR(AQ77/AQ$5,0)</f>
        <v>0</v>
      </c>
    </row>
    <row r="78" s="63" customFormat="true" ht="14.25" hidden="false" customHeight="false" outlineLevel="0" collapsed="false">
      <c r="B78" s="106" t="s">
        <v>98</v>
      </c>
      <c r="D78" s="75" t="n">
        <f aca="false">SUM(D79:D95)</f>
        <v>0</v>
      </c>
      <c r="E78" s="88" t="n">
        <f aca="false">IFERROR(D78/D$5,0)</f>
        <v>0</v>
      </c>
      <c r="G78" s="75" t="n">
        <f aca="false">SUM(G79:G95)</f>
        <v>0</v>
      </c>
      <c r="H78" s="88" t="n">
        <f aca="false">IFERROR(G78/G$5,0)</f>
        <v>0</v>
      </c>
      <c r="J78" s="75" t="n">
        <f aca="false">SUM(J79:J95)</f>
        <v>0</v>
      </c>
      <c r="K78" s="88" t="n">
        <f aca="false">IFERROR(J78/J$5,0)</f>
        <v>0</v>
      </c>
      <c r="M78" s="75" t="n">
        <f aca="false">SUM(M79:M95)</f>
        <v>0</v>
      </c>
      <c r="N78" s="88" t="n">
        <f aca="false">IFERROR(M78/M$5,0)</f>
        <v>0</v>
      </c>
      <c r="P78" s="75" t="n">
        <f aca="false">SUM(P79:P95)</f>
        <v>0</v>
      </c>
      <c r="Q78" s="88" t="n">
        <f aca="false">IFERROR(P78/P$5,0)</f>
        <v>0</v>
      </c>
      <c r="S78" s="75" t="n">
        <f aca="false">SUM(S79:S95)</f>
        <v>0</v>
      </c>
      <c r="T78" s="88" t="n">
        <f aca="false">IFERROR(S78/S$5,0)</f>
        <v>0</v>
      </c>
      <c r="V78" s="75" t="n">
        <f aca="false">SUM(V79:V95)</f>
        <v>0</v>
      </c>
      <c r="W78" s="88" t="n">
        <f aca="false">IFERROR(V78/V$5,0)</f>
        <v>0</v>
      </c>
      <c r="Y78" s="75" t="n">
        <f aca="false">SUM(Y79:Y95)</f>
        <v>0</v>
      </c>
      <c r="Z78" s="88" t="n">
        <f aca="false">IFERROR(Y78/Y$5,0)</f>
        <v>0</v>
      </c>
      <c r="AB78" s="75" t="n">
        <f aca="false">SUM(AB79:AB95)</f>
        <v>0</v>
      </c>
      <c r="AC78" s="88" t="n">
        <f aca="false">IFERROR(AB78/AB$5,0)</f>
        <v>0</v>
      </c>
      <c r="AE78" s="75" t="n">
        <f aca="false">SUM(AE79:AE95)</f>
        <v>0</v>
      </c>
      <c r="AF78" s="88" t="n">
        <f aca="false">IFERROR(AE78/AE$5,0)</f>
        <v>0</v>
      </c>
      <c r="AH78" s="75" t="n">
        <f aca="false">SUM(AH79:AH95)</f>
        <v>0</v>
      </c>
      <c r="AI78" s="88" t="n">
        <f aca="false">IFERROR(AH78/AH$5,0)</f>
        <v>0</v>
      </c>
      <c r="AK78" s="75" t="n">
        <f aca="false">SUM(AK79:AK95)</f>
        <v>0</v>
      </c>
      <c r="AL78" s="88" t="n">
        <f aca="false">IFERROR(AK78/AK$5,0)</f>
        <v>0</v>
      </c>
      <c r="AN78" s="75" t="n">
        <f aca="false">SUM(D78,G78,J78,M78,P78,S78,V78,Y78,AB78,AE78,AH78,AK78)</f>
        <v>0</v>
      </c>
      <c r="AO78" s="88" t="n">
        <f aca="false">IFERROR(AN78/AN$5,0)</f>
        <v>0</v>
      </c>
      <c r="AQ78" s="77" t="n">
        <f aca="false">AN78/$AR$1</f>
        <v>0</v>
      </c>
      <c r="AR78" s="76" t="n">
        <f aca="false">IFERROR(AQ78/AQ$5,0)</f>
        <v>0</v>
      </c>
    </row>
    <row r="79" customFormat="false" ht="14.25" hidden="true" customHeight="false" outlineLevel="1" collapsed="false">
      <c r="B79" s="89" t="s">
        <v>99</v>
      </c>
      <c r="D79" s="75" t="n">
        <f aca="false">SUMIFS('Dados Mov Financeira'!$N:$N,'Dados Mov Financeira'!$O:$O,'DRE 2021'!$B79,'Dados Mov Financeira'!$A:$A,'DRE 2021'!D$1,'Dados Mov Financeira'!$B:$B,'DRE 2021'!D$2)</f>
        <v>0</v>
      </c>
      <c r="E79" s="91" t="n">
        <f aca="false">IFERROR(D79/D$5,0)</f>
        <v>0</v>
      </c>
      <c r="G79" s="75" t="n">
        <f aca="false">SUMIFS('Dados Mov Financeira'!$N:$N,'Dados Mov Financeira'!$O:$O,'DRE 2021'!$B79,'Dados Mov Financeira'!$A:$A,'DRE 2021'!G$1,'Dados Mov Financeira'!$B:$B,'DRE 2021'!G$2)</f>
        <v>0</v>
      </c>
      <c r="H79" s="91" t="n">
        <f aca="false">IFERROR(G79/G$5,0)</f>
        <v>0</v>
      </c>
      <c r="J79" s="75" t="n">
        <f aca="false">SUMIFS('Dados Mov Financeira'!$N:$N,'Dados Mov Financeira'!$O:$O,'DRE 2021'!$B79,'Dados Mov Financeira'!$A:$A,'DRE 2021'!J$1,'Dados Mov Financeira'!$B:$B,'DRE 2021'!J$2)</f>
        <v>0</v>
      </c>
      <c r="K79" s="91" t="n">
        <f aca="false">IFERROR(J79/J$5,0)</f>
        <v>0</v>
      </c>
      <c r="M79" s="75" t="n">
        <f aca="false">SUMIFS('Dados Mov Financeira'!$N:$N,'Dados Mov Financeira'!$O:$O,'DRE 2021'!$B79,'Dados Mov Financeira'!$A:$A,'DRE 2021'!M$1,'Dados Mov Financeira'!$B:$B,'DRE 2021'!M$2)</f>
        <v>0</v>
      </c>
      <c r="N79" s="91" t="n">
        <f aca="false">IFERROR(M79/M$5,0)</f>
        <v>0</v>
      </c>
      <c r="P79" s="75" t="n">
        <f aca="false">SUMIFS('Dados Mov Financeira'!$N:$N,'Dados Mov Financeira'!$O:$O,'DRE 2021'!$B79,'Dados Mov Financeira'!$A:$A,'DRE 2021'!P$1,'Dados Mov Financeira'!$B:$B,'DRE 2021'!P$2)</f>
        <v>0</v>
      </c>
      <c r="Q79" s="91" t="n">
        <f aca="false">IFERROR(P79/P$5,0)</f>
        <v>0</v>
      </c>
      <c r="S79" s="75" t="n">
        <f aca="false">SUMIFS('Dados Mov Financeira'!$N:$N,'Dados Mov Financeira'!$O:$O,'DRE 2021'!$B79,'Dados Mov Financeira'!$A:$A,'DRE 2021'!S$1,'Dados Mov Financeira'!$B:$B,'DRE 2021'!S$2)</f>
        <v>0</v>
      </c>
      <c r="T79" s="91" t="n">
        <f aca="false">IFERROR(S79/S$5,0)</f>
        <v>0</v>
      </c>
      <c r="V79" s="75" t="n">
        <f aca="false">SUMIFS('Dados Mov Financeira'!$N:$N,'Dados Mov Financeira'!$O:$O,'DRE 2021'!$B79,'Dados Mov Financeira'!$A:$A,'DRE 2021'!V$1,'Dados Mov Financeira'!$B:$B,'DRE 2021'!V$2)</f>
        <v>0</v>
      </c>
      <c r="W79" s="91" t="n">
        <f aca="false">IFERROR(V79/V$5,0)</f>
        <v>0</v>
      </c>
      <c r="Y79" s="75" t="n">
        <f aca="false">SUMIFS('Dados Mov Financeira'!$N:$N,'Dados Mov Financeira'!$O:$O,'DRE 2021'!$B79,'Dados Mov Financeira'!$A:$A,'DRE 2021'!Y$1,'Dados Mov Financeira'!$B:$B,'DRE 2021'!Y$2)</f>
        <v>0</v>
      </c>
      <c r="Z79" s="91" t="n">
        <f aca="false">IFERROR(Y79/Y$5,0)</f>
        <v>0</v>
      </c>
      <c r="AB79" s="75" t="n">
        <f aca="false">SUMIFS('Dados Mov Financeira'!$N:$N,'Dados Mov Financeira'!$O:$O,'DRE 2021'!$B79,'Dados Mov Financeira'!$A:$A,'DRE 2021'!AB$1,'Dados Mov Financeira'!$B:$B,'DRE 2021'!AB$2)</f>
        <v>0</v>
      </c>
      <c r="AC79" s="91" t="n">
        <f aca="false">IFERROR(AB79/AB$5,0)</f>
        <v>0</v>
      </c>
      <c r="AE79" s="75" t="n">
        <f aca="false">SUMIFS('Dados Mov Financeira'!$N:$N,'Dados Mov Financeira'!$O:$O,'DRE 2021'!$B79,'Dados Mov Financeira'!$A:$A,'DRE 2021'!AE$1,'Dados Mov Financeira'!$B:$B,'DRE 2021'!AE$2)</f>
        <v>0</v>
      </c>
      <c r="AF79" s="91" t="n">
        <f aca="false">IFERROR(AE79/AE$5,0)</f>
        <v>0</v>
      </c>
      <c r="AH79" s="99" t="n">
        <f aca="false">SUMIFS('Dados Mov Financeira'!$N:$N,'Dados Mov Financeira'!$O:$O,'DRE 2021'!$B79,'Dados Mov Financeira'!$A:$A,'DRE 2021'!AH$1,'Dados Mov Financeira'!$B:$B,'DRE 2021'!AH$2)</f>
        <v>0</v>
      </c>
      <c r="AI79" s="91" t="n">
        <f aca="false">IFERROR(AH79/AH$5,0)</f>
        <v>0</v>
      </c>
      <c r="AK79" s="75" t="n">
        <f aca="false">SUMIFS('Dados Mov Financeira'!$N:$N,'Dados Mov Financeira'!$O:$O,'DRE 2021'!$B79,'Dados Mov Financeira'!$A:$A,'DRE 2021'!AK$1,'Dados Mov Financeira'!$B:$B,'DRE 2021'!AK$2)</f>
        <v>0</v>
      </c>
      <c r="AL79" s="91" t="n">
        <f aca="false">IFERROR(AK79/AK$5,0)</f>
        <v>0</v>
      </c>
      <c r="AN79" s="92" t="n">
        <f aca="false">SUM(D79,G79,J79,M79,P79,S79,V79,Y79,AB79,AE79,AH79,AK79)</f>
        <v>0</v>
      </c>
      <c r="AO79" s="91" t="n">
        <f aca="false">IFERROR(AN79/AN$5,0)</f>
        <v>0</v>
      </c>
      <c r="AQ79" s="93" t="n">
        <f aca="false">AN79/$AR$1</f>
        <v>0</v>
      </c>
      <c r="AR79" s="94" t="n">
        <f aca="false">IFERROR(AQ79/AQ$5,0)</f>
        <v>0</v>
      </c>
    </row>
    <row r="80" customFormat="false" ht="14.25" hidden="true" customHeight="false" outlineLevel="1" collapsed="false">
      <c r="B80" s="89" t="s">
        <v>100</v>
      </c>
      <c r="D80" s="75" t="n">
        <f aca="false">SUMIFS('Dados Mov Financeira'!$N:$N,'Dados Mov Financeira'!$O:$O,'DRE 2021'!$B80,'Dados Mov Financeira'!$A:$A,'DRE 2021'!D$1,'Dados Mov Financeira'!$B:$B,'DRE 2021'!D$2)</f>
        <v>0</v>
      </c>
      <c r="E80" s="91" t="n">
        <f aca="false">IFERROR(D80/D$5,0)</f>
        <v>0</v>
      </c>
      <c r="G80" s="75" t="n">
        <f aca="false">SUMIFS('Dados Mov Financeira'!$N:$N,'Dados Mov Financeira'!$O:$O,'DRE 2021'!$B80,'Dados Mov Financeira'!$A:$A,'DRE 2021'!G$1,'Dados Mov Financeira'!$B:$B,'DRE 2021'!G$2)</f>
        <v>0</v>
      </c>
      <c r="H80" s="91" t="n">
        <f aca="false">IFERROR(G80/G$5,0)</f>
        <v>0</v>
      </c>
      <c r="J80" s="75" t="n">
        <f aca="false">SUMIFS('Dados Mov Financeira'!$N:$N,'Dados Mov Financeira'!$O:$O,'DRE 2021'!$B80,'Dados Mov Financeira'!$A:$A,'DRE 2021'!J$1,'Dados Mov Financeira'!$B:$B,'DRE 2021'!J$2)</f>
        <v>0</v>
      </c>
      <c r="K80" s="91" t="n">
        <f aca="false">IFERROR(J80/J$5,0)</f>
        <v>0</v>
      </c>
      <c r="M80" s="75" t="n">
        <f aca="false">SUMIFS('Dados Mov Financeira'!$N:$N,'Dados Mov Financeira'!$O:$O,'DRE 2021'!$B80,'Dados Mov Financeira'!$A:$A,'DRE 2021'!M$1,'Dados Mov Financeira'!$B:$B,'DRE 2021'!M$2)</f>
        <v>0</v>
      </c>
      <c r="N80" s="91" t="n">
        <f aca="false">IFERROR(M80/M$5,0)</f>
        <v>0</v>
      </c>
      <c r="P80" s="75" t="n">
        <f aca="false">SUMIFS('Dados Mov Financeira'!$N:$N,'Dados Mov Financeira'!$O:$O,'DRE 2021'!$B80,'Dados Mov Financeira'!$A:$A,'DRE 2021'!P$1,'Dados Mov Financeira'!$B:$B,'DRE 2021'!P$2)</f>
        <v>0</v>
      </c>
      <c r="Q80" s="91" t="n">
        <f aca="false">IFERROR(P80/P$5,0)</f>
        <v>0</v>
      </c>
      <c r="S80" s="75" t="n">
        <f aca="false">SUMIFS('Dados Mov Financeira'!$N:$N,'Dados Mov Financeira'!$O:$O,'DRE 2021'!$B80,'Dados Mov Financeira'!$A:$A,'DRE 2021'!S$1,'Dados Mov Financeira'!$B:$B,'DRE 2021'!S$2)</f>
        <v>0</v>
      </c>
      <c r="T80" s="91" t="n">
        <f aca="false">IFERROR(S80/S$5,0)</f>
        <v>0</v>
      </c>
      <c r="V80" s="75" t="n">
        <f aca="false">SUMIFS('Dados Mov Financeira'!$N:$N,'Dados Mov Financeira'!$O:$O,'DRE 2021'!$B80,'Dados Mov Financeira'!$A:$A,'DRE 2021'!V$1,'Dados Mov Financeira'!$B:$B,'DRE 2021'!V$2)</f>
        <v>0</v>
      </c>
      <c r="W80" s="91" t="n">
        <f aca="false">IFERROR(V80/V$5,0)</f>
        <v>0</v>
      </c>
      <c r="Y80" s="75" t="n">
        <f aca="false">SUMIFS('Dados Mov Financeira'!$N:$N,'Dados Mov Financeira'!$O:$O,'DRE 2021'!$B80,'Dados Mov Financeira'!$A:$A,'DRE 2021'!Y$1,'Dados Mov Financeira'!$B:$B,'DRE 2021'!Y$2)</f>
        <v>0</v>
      </c>
      <c r="Z80" s="91" t="n">
        <f aca="false">IFERROR(Y80/Y$5,0)</f>
        <v>0</v>
      </c>
      <c r="AB80" s="75" t="n">
        <f aca="false">SUMIFS('Dados Mov Financeira'!$N:$N,'Dados Mov Financeira'!$O:$O,'DRE 2021'!$B80,'Dados Mov Financeira'!$A:$A,'DRE 2021'!AB$1,'Dados Mov Financeira'!$B:$B,'DRE 2021'!AB$2)</f>
        <v>0</v>
      </c>
      <c r="AC80" s="91" t="n">
        <f aca="false">IFERROR(AB80/AB$5,0)</f>
        <v>0</v>
      </c>
      <c r="AE80" s="75" t="n">
        <f aca="false">SUMIFS('Dados Mov Financeira'!$N:$N,'Dados Mov Financeira'!$O:$O,'DRE 2021'!$B80,'Dados Mov Financeira'!$A:$A,'DRE 2021'!AE$1,'Dados Mov Financeira'!$B:$B,'DRE 2021'!AE$2)</f>
        <v>0</v>
      </c>
      <c r="AF80" s="91" t="n">
        <f aca="false">IFERROR(AE80/AE$5,0)</f>
        <v>0</v>
      </c>
      <c r="AH80" s="75" t="n">
        <f aca="false">SUMIFS('Dados Mov Financeira'!$N:$N,'Dados Mov Financeira'!$O:$O,'DRE 2021'!$B80,'Dados Mov Financeira'!$A:$A,'DRE 2021'!AH$1,'Dados Mov Financeira'!$B:$B,'DRE 2021'!AH$2)</f>
        <v>0</v>
      </c>
      <c r="AI80" s="91" t="n">
        <f aca="false">IFERROR(AH80/AH$5,0)</f>
        <v>0</v>
      </c>
      <c r="AK80" s="75" t="n">
        <f aca="false">SUMIFS('Dados Mov Financeira'!$N:$N,'Dados Mov Financeira'!$O:$O,'DRE 2021'!$B80,'Dados Mov Financeira'!$A:$A,'DRE 2021'!AK$1,'Dados Mov Financeira'!$B:$B,'DRE 2021'!AK$2)</f>
        <v>0</v>
      </c>
      <c r="AL80" s="91" t="n">
        <f aca="false">IFERROR(AK80/AK$5,0)</f>
        <v>0</v>
      </c>
      <c r="AN80" s="92" t="n">
        <f aca="false">SUM(D80,G80,J80,M80,P80,S80,V80,Y80,AB80,AE80,AH80,AK80)</f>
        <v>0</v>
      </c>
      <c r="AO80" s="91" t="n">
        <f aca="false">IFERROR(AN80/AN$5,0)</f>
        <v>0</v>
      </c>
      <c r="AQ80" s="93" t="n">
        <f aca="false">AN80/$AR$1</f>
        <v>0</v>
      </c>
      <c r="AR80" s="94" t="n">
        <f aca="false">IFERROR(AQ80/AQ$5,0)</f>
        <v>0</v>
      </c>
    </row>
    <row r="81" customFormat="false" ht="14.25" hidden="true" customHeight="false" outlineLevel="1" collapsed="false">
      <c r="B81" s="89" t="s">
        <v>101</v>
      </c>
      <c r="D81" s="75" t="n">
        <f aca="false">SUMIFS('Dados Mov Financeira'!$N:$N,'Dados Mov Financeira'!$O:$O,'DRE 2021'!$B81,'Dados Mov Financeira'!$A:$A,'DRE 2021'!D$1,'Dados Mov Financeira'!$B:$B,'DRE 2021'!D$2)</f>
        <v>0</v>
      </c>
      <c r="E81" s="91" t="n">
        <f aca="false">IFERROR(D81/D$5,0)</f>
        <v>0</v>
      </c>
      <c r="G81" s="75" t="n">
        <f aca="false">SUMIFS('Dados Mov Financeira'!$N:$N,'Dados Mov Financeira'!$O:$O,'DRE 2021'!$B81,'Dados Mov Financeira'!$A:$A,'DRE 2021'!G$1,'Dados Mov Financeira'!$B:$B,'DRE 2021'!G$2)</f>
        <v>0</v>
      </c>
      <c r="H81" s="91" t="n">
        <f aca="false">IFERROR(G81/G$5,0)</f>
        <v>0</v>
      </c>
      <c r="J81" s="75" t="n">
        <f aca="false">SUMIFS('Dados Mov Financeira'!$N:$N,'Dados Mov Financeira'!$O:$O,'DRE 2021'!$B81,'Dados Mov Financeira'!$A:$A,'DRE 2021'!J$1,'Dados Mov Financeira'!$B:$B,'DRE 2021'!J$2)</f>
        <v>0</v>
      </c>
      <c r="K81" s="91" t="n">
        <f aca="false">IFERROR(J81/J$5,0)</f>
        <v>0</v>
      </c>
      <c r="M81" s="75" t="n">
        <f aca="false">SUMIFS('Dados Mov Financeira'!$N:$N,'Dados Mov Financeira'!$O:$O,'DRE 2021'!$B81,'Dados Mov Financeira'!$A:$A,'DRE 2021'!M$1,'Dados Mov Financeira'!$B:$B,'DRE 2021'!M$2)</f>
        <v>0</v>
      </c>
      <c r="N81" s="91" t="n">
        <f aca="false">IFERROR(M81/M$5,0)</f>
        <v>0</v>
      </c>
      <c r="P81" s="75" t="n">
        <f aca="false">SUMIFS('Dados Mov Financeira'!$N:$N,'Dados Mov Financeira'!$O:$O,'DRE 2021'!$B81,'Dados Mov Financeira'!$A:$A,'DRE 2021'!P$1,'Dados Mov Financeira'!$B:$B,'DRE 2021'!P$2)</f>
        <v>0</v>
      </c>
      <c r="Q81" s="91" t="n">
        <f aca="false">IFERROR(P81/P$5,0)</f>
        <v>0</v>
      </c>
      <c r="S81" s="75" t="n">
        <f aca="false">SUMIFS('Dados Mov Financeira'!$N:$N,'Dados Mov Financeira'!$O:$O,'DRE 2021'!$B81,'Dados Mov Financeira'!$A:$A,'DRE 2021'!S$1,'Dados Mov Financeira'!$B:$B,'DRE 2021'!S$2)</f>
        <v>0</v>
      </c>
      <c r="T81" s="91" t="n">
        <f aca="false">IFERROR(S81/S$5,0)</f>
        <v>0</v>
      </c>
      <c r="V81" s="75" t="n">
        <f aca="false">SUMIFS('Dados Mov Financeira'!$N:$N,'Dados Mov Financeira'!$O:$O,'DRE 2021'!$B81,'Dados Mov Financeira'!$A:$A,'DRE 2021'!V$1,'Dados Mov Financeira'!$B:$B,'DRE 2021'!V$2)</f>
        <v>0</v>
      </c>
      <c r="W81" s="91" t="n">
        <f aca="false">IFERROR(V81/V$5,0)</f>
        <v>0</v>
      </c>
      <c r="Y81" s="75" t="n">
        <f aca="false">SUMIFS('Dados Mov Financeira'!$N:$N,'Dados Mov Financeira'!$O:$O,'DRE 2021'!$B81,'Dados Mov Financeira'!$A:$A,'DRE 2021'!Y$1,'Dados Mov Financeira'!$B:$B,'DRE 2021'!Y$2)</f>
        <v>0</v>
      </c>
      <c r="Z81" s="91" t="n">
        <f aca="false">IFERROR(Y81/Y$5,0)</f>
        <v>0</v>
      </c>
      <c r="AB81" s="75" t="n">
        <f aca="false">SUMIFS('Dados Mov Financeira'!$N:$N,'Dados Mov Financeira'!$O:$O,'DRE 2021'!$B81,'Dados Mov Financeira'!$A:$A,'DRE 2021'!AB$1,'Dados Mov Financeira'!$B:$B,'DRE 2021'!AB$2)</f>
        <v>0</v>
      </c>
      <c r="AC81" s="91" t="n">
        <f aca="false">IFERROR(AB81/AB$5,0)</f>
        <v>0</v>
      </c>
      <c r="AE81" s="75" t="n">
        <f aca="false">SUMIFS('Dados Mov Financeira'!$N:$N,'Dados Mov Financeira'!$O:$O,'DRE 2021'!$B81,'Dados Mov Financeira'!$A:$A,'DRE 2021'!AE$1,'Dados Mov Financeira'!$B:$B,'DRE 2021'!AE$2)</f>
        <v>0</v>
      </c>
      <c r="AF81" s="91" t="n">
        <f aca="false">IFERROR(AE81/AE$5,0)</f>
        <v>0</v>
      </c>
      <c r="AH81" s="75" t="n">
        <f aca="false">SUMIFS('Dados Mov Financeira'!$N:$N,'Dados Mov Financeira'!$O:$O,'DRE 2021'!$B81,'Dados Mov Financeira'!$A:$A,'DRE 2021'!AH$1,'Dados Mov Financeira'!$B:$B,'DRE 2021'!AH$2)</f>
        <v>0</v>
      </c>
      <c r="AI81" s="91" t="n">
        <f aca="false">IFERROR(AH81/AH$5,0)</f>
        <v>0</v>
      </c>
      <c r="AK81" s="75" t="n">
        <f aca="false">SUMIFS('Dados Mov Financeira'!$N:$N,'Dados Mov Financeira'!$O:$O,'DRE 2021'!$B81,'Dados Mov Financeira'!$A:$A,'DRE 2021'!AK$1,'Dados Mov Financeira'!$B:$B,'DRE 2021'!AK$2)</f>
        <v>0</v>
      </c>
      <c r="AL81" s="91" t="n">
        <f aca="false">IFERROR(AK81/AK$5,0)</f>
        <v>0</v>
      </c>
      <c r="AN81" s="92" t="n">
        <f aca="false">SUM(D81,G81,J81,M81,P81,S81,V81,Y81,AB81,AE81,AH81,AK81)</f>
        <v>0</v>
      </c>
      <c r="AO81" s="91" t="n">
        <f aca="false">IFERROR(AN81/AN$5,0)</f>
        <v>0</v>
      </c>
      <c r="AQ81" s="93" t="n">
        <f aca="false">AN81/$AR$1</f>
        <v>0</v>
      </c>
      <c r="AR81" s="94" t="n">
        <f aca="false">IFERROR(AQ81/AQ$5,0)</f>
        <v>0</v>
      </c>
    </row>
    <row r="82" customFormat="false" ht="14.25" hidden="true" customHeight="false" outlineLevel="1" collapsed="false">
      <c r="B82" s="89" t="s">
        <v>102</v>
      </c>
      <c r="D82" s="75" t="n">
        <f aca="false">SUMIFS('Dados Mov Financeira'!$N:$N,'Dados Mov Financeira'!$O:$O,'DRE 2021'!$B82,'Dados Mov Financeira'!$A:$A,'DRE 2021'!D$1,'Dados Mov Financeira'!$B:$B,'DRE 2021'!D$2)</f>
        <v>0</v>
      </c>
      <c r="E82" s="91" t="n">
        <f aca="false">IFERROR(D82/D$5,0)</f>
        <v>0</v>
      </c>
      <c r="G82" s="75" t="n">
        <f aca="false">SUMIFS('Dados Mov Financeira'!$N:$N,'Dados Mov Financeira'!$O:$O,'DRE 2021'!$B82,'Dados Mov Financeira'!$A:$A,'DRE 2021'!G$1,'Dados Mov Financeira'!$B:$B,'DRE 2021'!G$2)</f>
        <v>0</v>
      </c>
      <c r="H82" s="91" t="n">
        <f aca="false">IFERROR(G82/G$5,0)</f>
        <v>0</v>
      </c>
      <c r="J82" s="75" t="n">
        <f aca="false">SUMIFS('Dados Mov Financeira'!$N:$N,'Dados Mov Financeira'!$O:$O,'DRE 2021'!$B82,'Dados Mov Financeira'!$A:$A,'DRE 2021'!J$1,'Dados Mov Financeira'!$B:$B,'DRE 2021'!J$2)</f>
        <v>0</v>
      </c>
      <c r="K82" s="91" t="n">
        <f aca="false">IFERROR(J82/J$5,0)</f>
        <v>0</v>
      </c>
      <c r="M82" s="75" t="n">
        <f aca="false">SUMIFS('Dados Mov Financeira'!$N:$N,'Dados Mov Financeira'!$O:$O,'DRE 2021'!$B82,'Dados Mov Financeira'!$A:$A,'DRE 2021'!M$1,'Dados Mov Financeira'!$B:$B,'DRE 2021'!M$2)</f>
        <v>0</v>
      </c>
      <c r="N82" s="91" t="n">
        <f aca="false">IFERROR(M82/M$5,0)</f>
        <v>0</v>
      </c>
      <c r="P82" s="75" t="n">
        <f aca="false">SUMIFS('Dados Mov Financeira'!$N:$N,'Dados Mov Financeira'!$O:$O,'DRE 2021'!$B82,'Dados Mov Financeira'!$A:$A,'DRE 2021'!P$1,'Dados Mov Financeira'!$B:$B,'DRE 2021'!P$2)</f>
        <v>0</v>
      </c>
      <c r="Q82" s="91" t="n">
        <f aca="false">IFERROR(P82/P$5,0)</f>
        <v>0</v>
      </c>
      <c r="S82" s="75" t="n">
        <f aca="false">SUMIFS('Dados Mov Financeira'!$N:$N,'Dados Mov Financeira'!$O:$O,'DRE 2021'!$B82,'Dados Mov Financeira'!$A:$A,'DRE 2021'!S$1,'Dados Mov Financeira'!$B:$B,'DRE 2021'!S$2)</f>
        <v>0</v>
      </c>
      <c r="T82" s="91" t="n">
        <f aca="false">IFERROR(S82/S$5,0)</f>
        <v>0</v>
      </c>
      <c r="V82" s="75" t="n">
        <f aca="false">SUMIFS('Dados Mov Financeira'!$N:$N,'Dados Mov Financeira'!$O:$O,'DRE 2021'!$B82,'Dados Mov Financeira'!$A:$A,'DRE 2021'!V$1,'Dados Mov Financeira'!$B:$B,'DRE 2021'!V$2)</f>
        <v>0</v>
      </c>
      <c r="W82" s="91" t="n">
        <f aca="false">IFERROR(V82/V$5,0)</f>
        <v>0</v>
      </c>
      <c r="Y82" s="75" t="n">
        <f aca="false">SUMIFS('Dados Mov Financeira'!$N:$N,'Dados Mov Financeira'!$O:$O,'DRE 2021'!$B82,'Dados Mov Financeira'!$A:$A,'DRE 2021'!Y$1,'Dados Mov Financeira'!$B:$B,'DRE 2021'!Y$2)</f>
        <v>0</v>
      </c>
      <c r="Z82" s="91" t="n">
        <f aca="false">IFERROR(Y82/Y$5,0)</f>
        <v>0</v>
      </c>
      <c r="AB82" s="75" t="n">
        <f aca="false">SUMIFS('Dados Mov Financeira'!$N:$N,'Dados Mov Financeira'!$O:$O,'DRE 2021'!$B82,'Dados Mov Financeira'!$A:$A,'DRE 2021'!AB$1,'Dados Mov Financeira'!$B:$B,'DRE 2021'!AB$2)</f>
        <v>0</v>
      </c>
      <c r="AC82" s="91" t="n">
        <f aca="false">IFERROR(AB82/AB$5,0)</f>
        <v>0</v>
      </c>
      <c r="AE82" s="75" t="n">
        <f aca="false">SUMIFS('Dados Mov Financeira'!$N:$N,'Dados Mov Financeira'!$O:$O,'DRE 2021'!$B82,'Dados Mov Financeira'!$A:$A,'DRE 2021'!AE$1,'Dados Mov Financeira'!$B:$B,'DRE 2021'!AE$2)</f>
        <v>0</v>
      </c>
      <c r="AF82" s="91" t="n">
        <f aca="false">IFERROR(AE82/AE$5,0)</f>
        <v>0</v>
      </c>
      <c r="AH82" s="75" t="n">
        <f aca="false">SUMIFS('Dados Mov Financeira'!$N:$N,'Dados Mov Financeira'!$O:$O,'DRE 2021'!$B82,'Dados Mov Financeira'!$A:$A,'DRE 2021'!AH$1,'Dados Mov Financeira'!$B:$B,'DRE 2021'!AH$2)</f>
        <v>0</v>
      </c>
      <c r="AI82" s="91" t="n">
        <f aca="false">IFERROR(AH82/AH$5,0)</f>
        <v>0</v>
      </c>
      <c r="AK82" s="75" t="n">
        <f aca="false">SUMIFS('Dados Mov Financeira'!$N:$N,'Dados Mov Financeira'!$O:$O,'DRE 2021'!$B82,'Dados Mov Financeira'!$A:$A,'DRE 2021'!AK$1,'Dados Mov Financeira'!$B:$B,'DRE 2021'!AK$2)</f>
        <v>0</v>
      </c>
      <c r="AL82" s="91" t="n">
        <f aca="false">IFERROR(AK82/AK$5,0)</f>
        <v>0</v>
      </c>
      <c r="AN82" s="92" t="n">
        <f aca="false">SUM(D82,G82,J82,M82,P82,S82,V82,Y82,AB82,AE82,AH82,AK82)</f>
        <v>0</v>
      </c>
      <c r="AO82" s="91" t="n">
        <f aca="false">IFERROR(AN82/AN$5,0)</f>
        <v>0</v>
      </c>
      <c r="AQ82" s="93" t="n">
        <f aca="false">AN82/$AR$1</f>
        <v>0</v>
      </c>
      <c r="AR82" s="94" t="n">
        <f aca="false">IFERROR(AQ82/AQ$5,0)</f>
        <v>0</v>
      </c>
      <c r="AT82" s="97"/>
    </row>
    <row r="83" customFormat="false" ht="14.25" hidden="true" customHeight="false" outlineLevel="1" collapsed="false">
      <c r="B83" s="89" t="s">
        <v>103</v>
      </c>
      <c r="D83" s="75" t="n">
        <f aca="false">SUMIFS('Dados Mov Financeira'!$N:$N,'Dados Mov Financeira'!$O:$O,'DRE 2021'!$B83,'Dados Mov Financeira'!$A:$A,'DRE 2021'!D$1,'Dados Mov Financeira'!$B:$B,'DRE 2021'!D$2)</f>
        <v>0</v>
      </c>
      <c r="E83" s="91" t="n">
        <f aca="false">IFERROR(D83/D$5,0)</f>
        <v>0</v>
      </c>
      <c r="G83" s="75" t="n">
        <f aca="false">SUMIFS('Dados Mov Financeira'!$N:$N,'Dados Mov Financeira'!$O:$O,'DRE 2021'!$B83,'Dados Mov Financeira'!$A:$A,'DRE 2021'!G$1,'Dados Mov Financeira'!$B:$B,'DRE 2021'!G$2)</f>
        <v>0</v>
      </c>
      <c r="H83" s="91" t="n">
        <f aca="false">IFERROR(G83/G$5,0)</f>
        <v>0</v>
      </c>
      <c r="J83" s="75" t="n">
        <f aca="false">SUMIFS('Dados Mov Financeira'!$N:$N,'Dados Mov Financeira'!$O:$O,'DRE 2021'!$B83,'Dados Mov Financeira'!$A:$A,'DRE 2021'!J$1,'Dados Mov Financeira'!$B:$B,'DRE 2021'!J$2)</f>
        <v>0</v>
      </c>
      <c r="K83" s="91" t="n">
        <f aca="false">IFERROR(J83/J$5,0)</f>
        <v>0</v>
      </c>
      <c r="M83" s="75" t="n">
        <f aca="false">SUMIFS('Dados Mov Financeira'!$N:$N,'Dados Mov Financeira'!$O:$O,'DRE 2021'!$B83,'Dados Mov Financeira'!$A:$A,'DRE 2021'!M$1,'Dados Mov Financeira'!$B:$B,'DRE 2021'!M$2)</f>
        <v>0</v>
      </c>
      <c r="N83" s="91" t="n">
        <f aca="false">IFERROR(M83/M$5,0)</f>
        <v>0</v>
      </c>
      <c r="P83" s="75" t="n">
        <f aca="false">SUMIFS('Dados Mov Financeira'!$N:$N,'Dados Mov Financeira'!$O:$O,'DRE 2021'!$B83,'Dados Mov Financeira'!$A:$A,'DRE 2021'!P$1,'Dados Mov Financeira'!$B:$B,'DRE 2021'!P$2)</f>
        <v>0</v>
      </c>
      <c r="Q83" s="91" t="n">
        <f aca="false">IFERROR(P83/P$5,0)</f>
        <v>0</v>
      </c>
      <c r="S83" s="75" t="n">
        <f aca="false">SUMIFS('Dados Mov Financeira'!$N:$N,'Dados Mov Financeira'!$O:$O,'DRE 2021'!$B83,'Dados Mov Financeira'!$A:$A,'DRE 2021'!S$1,'Dados Mov Financeira'!$B:$B,'DRE 2021'!S$2)</f>
        <v>0</v>
      </c>
      <c r="T83" s="91" t="n">
        <f aca="false">IFERROR(S83/S$5,0)</f>
        <v>0</v>
      </c>
      <c r="V83" s="75" t="n">
        <f aca="false">SUMIFS('Dados Mov Financeira'!$N:$N,'Dados Mov Financeira'!$O:$O,'DRE 2021'!$B83,'Dados Mov Financeira'!$A:$A,'DRE 2021'!V$1,'Dados Mov Financeira'!$B:$B,'DRE 2021'!V$2)</f>
        <v>0</v>
      </c>
      <c r="W83" s="91" t="n">
        <f aca="false">IFERROR(V83/V$5,0)</f>
        <v>0</v>
      </c>
      <c r="Y83" s="75" t="n">
        <f aca="false">SUMIFS('Dados Mov Financeira'!$N:$N,'Dados Mov Financeira'!$O:$O,'DRE 2021'!$B83,'Dados Mov Financeira'!$A:$A,'DRE 2021'!Y$1,'Dados Mov Financeira'!$B:$B,'DRE 2021'!Y$2)</f>
        <v>0</v>
      </c>
      <c r="Z83" s="91" t="n">
        <f aca="false">IFERROR(Y83/Y$5,0)</f>
        <v>0</v>
      </c>
      <c r="AB83" s="75" t="n">
        <f aca="false">SUMIFS('Dados Mov Financeira'!$N:$N,'Dados Mov Financeira'!$O:$O,'DRE 2021'!$B83,'Dados Mov Financeira'!$A:$A,'DRE 2021'!AB$1,'Dados Mov Financeira'!$B:$B,'DRE 2021'!AB$2)</f>
        <v>0</v>
      </c>
      <c r="AC83" s="91" t="n">
        <f aca="false">IFERROR(AB83/AB$5,0)</f>
        <v>0</v>
      </c>
      <c r="AE83" s="75" t="n">
        <f aca="false">SUMIFS('Dados Mov Financeira'!$N:$N,'Dados Mov Financeira'!$O:$O,'DRE 2021'!$B83,'Dados Mov Financeira'!$A:$A,'DRE 2021'!AE$1,'Dados Mov Financeira'!$B:$B,'DRE 2021'!AE$2)</f>
        <v>0</v>
      </c>
      <c r="AF83" s="91" t="n">
        <f aca="false">IFERROR(AE83/AE$5,0)</f>
        <v>0</v>
      </c>
      <c r="AH83" s="75" t="n">
        <f aca="false">SUMIFS('Dados Mov Financeira'!$N:$N,'Dados Mov Financeira'!$O:$O,'DRE 2021'!$B83,'Dados Mov Financeira'!$A:$A,'DRE 2021'!AH$1,'Dados Mov Financeira'!$B:$B,'DRE 2021'!AH$2)</f>
        <v>0</v>
      </c>
      <c r="AI83" s="91" t="n">
        <f aca="false">IFERROR(AH83/AH$5,0)</f>
        <v>0</v>
      </c>
      <c r="AK83" s="75" t="n">
        <f aca="false">SUMIFS('Dados Mov Financeira'!$N:$N,'Dados Mov Financeira'!$O:$O,'DRE 2021'!$B83,'Dados Mov Financeira'!$A:$A,'DRE 2021'!AK$1,'Dados Mov Financeira'!$B:$B,'DRE 2021'!AK$2)</f>
        <v>0</v>
      </c>
      <c r="AL83" s="91" t="n">
        <f aca="false">IFERROR(AK83/AK$5,0)</f>
        <v>0</v>
      </c>
      <c r="AN83" s="92" t="n">
        <f aca="false">SUM(D83,G83,J83,M83,P83,S83,V83,Y83,AB83,AE83,AH83,AK83)</f>
        <v>0</v>
      </c>
      <c r="AO83" s="91" t="n">
        <f aca="false">IFERROR(AN83/AN$5,0)</f>
        <v>0</v>
      </c>
      <c r="AQ83" s="93" t="n">
        <f aca="false">AN83/$AR$1</f>
        <v>0</v>
      </c>
      <c r="AR83" s="94" t="n">
        <f aca="false">IFERROR(AQ83/AQ$5,0)</f>
        <v>0</v>
      </c>
      <c r="AT83" s="113"/>
    </row>
    <row r="84" customFormat="false" ht="14.25" hidden="true" customHeight="false" outlineLevel="1" collapsed="false">
      <c r="B84" s="89" t="s">
        <v>104</v>
      </c>
      <c r="D84" s="75" t="n">
        <f aca="false">SUMIFS('Dados Mov Financeira'!$N:$N,'Dados Mov Financeira'!$O:$O,'DRE 2021'!$B84,'Dados Mov Financeira'!$A:$A,'DRE 2021'!D$1,'Dados Mov Financeira'!$B:$B,'DRE 2021'!D$2)</f>
        <v>0</v>
      </c>
      <c r="E84" s="91" t="n">
        <f aca="false">IFERROR(D84/D$5,0)</f>
        <v>0</v>
      </c>
      <c r="G84" s="75" t="n">
        <f aca="false">SUMIFS('Dados Mov Financeira'!$N:$N,'Dados Mov Financeira'!$O:$O,'DRE 2021'!$B84,'Dados Mov Financeira'!$A:$A,'DRE 2021'!G$1,'Dados Mov Financeira'!$B:$B,'DRE 2021'!G$2)</f>
        <v>0</v>
      </c>
      <c r="H84" s="91" t="n">
        <f aca="false">IFERROR(G84/G$5,0)</f>
        <v>0</v>
      </c>
      <c r="J84" s="75" t="n">
        <f aca="false">SUMIFS('Dados Mov Financeira'!$N:$N,'Dados Mov Financeira'!$O:$O,'DRE 2021'!$B84,'Dados Mov Financeira'!$A:$A,'DRE 2021'!J$1,'Dados Mov Financeira'!$B:$B,'DRE 2021'!J$2)</f>
        <v>0</v>
      </c>
      <c r="K84" s="91" t="n">
        <f aca="false">IFERROR(J84/J$5,0)</f>
        <v>0</v>
      </c>
      <c r="M84" s="75" t="n">
        <f aca="false">SUMIFS('Dados Mov Financeira'!$N:$N,'Dados Mov Financeira'!$O:$O,'DRE 2021'!$B84,'Dados Mov Financeira'!$A:$A,'DRE 2021'!M$1,'Dados Mov Financeira'!$B:$B,'DRE 2021'!M$2)</f>
        <v>0</v>
      </c>
      <c r="N84" s="91" t="n">
        <f aca="false">IFERROR(M84/M$5,0)</f>
        <v>0</v>
      </c>
      <c r="P84" s="75" t="n">
        <f aca="false">SUMIFS('Dados Mov Financeira'!$N:$N,'Dados Mov Financeira'!$O:$O,'DRE 2021'!$B84,'Dados Mov Financeira'!$A:$A,'DRE 2021'!P$1,'Dados Mov Financeira'!$B:$B,'DRE 2021'!P$2)</f>
        <v>0</v>
      </c>
      <c r="Q84" s="91" t="n">
        <f aca="false">IFERROR(P84/P$5,0)</f>
        <v>0</v>
      </c>
      <c r="S84" s="75" t="n">
        <f aca="false">SUMIFS('Dados Mov Financeira'!$N:$N,'Dados Mov Financeira'!$O:$O,'DRE 2021'!$B84,'Dados Mov Financeira'!$A:$A,'DRE 2021'!S$1,'Dados Mov Financeira'!$B:$B,'DRE 2021'!S$2)</f>
        <v>0</v>
      </c>
      <c r="T84" s="91" t="n">
        <f aca="false">IFERROR(S84/S$5,0)</f>
        <v>0</v>
      </c>
      <c r="V84" s="75" t="n">
        <f aca="false">SUMIFS('Dados Mov Financeira'!$N:$N,'Dados Mov Financeira'!$O:$O,'DRE 2021'!$B84,'Dados Mov Financeira'!$A:$A,'DRE 2021'!V$1,'Dados Mov Financeira'!$B:$B,'DRE 2021'!V$2)</f>
        <v>0</v>
      </c>
      <c r="W84" s="91" t="n">
        <f aca="false">IFERROR(V84/V$5,0)</f>
        <v>0</v>
      </c>
      <c r="Y84" s="75" t="n">
        <f aca="false">SUMIFS('Dados Mov Financeira'!$N:$N,'Dados Mov Financeira'!$O:$O,'DRE 2021'!$B84,'Dados Mov Financeira'!$A:$A,'DRE 2021'!Y$1,'Dados Mov Financeira'!$B:$B,'DRE 2021'!Y$2)</f>
        <v>0</v>
      </c>
      <c r="Z84" s="91" t="n">
        <f aca="false">IFERROR(Y84/Y$5,0)</f>
        <v>0</v>
      </c>
      <c r="AB84" s="75" t="n">
        <f aca="false">SUMIFS('Dados Mov Financeira'!$N:$N,'Dados Mov Financeira'!$O:$O,'DRE 2021'!$B84,'Dados Mov Financeira'!$A:$A,'DRE 2021'!AB$1,'Dados Mov Financeira'!$B:$B,'DRE 2021'!AB$2)</f>
        <v>0</v>
      </c>
      <c r="AC84" s="91" t="n">
        <f aca="false">IFERROR(AB84/AB$5,0)</f>
        <v>0</v>
      </c>
      <c r="AE84" s="75" t="n">
        <f aca="false">SUMIFS('Dados Mov Financeira'!$N:$N,'Dados Mov Financeira'!$O:$O,'DRE 2021'!$B84,'Dados Mov Financeira'!$A:$A,'DRE 2021'!AE$1,'Dados Mov Financeira'!$B:$B,'DRE 2021'!AE$2)</f>
        <v>0</v>
      </c>
      <c r="AF84" s="91" t="n">
        <f aca="false">IFERROR(AE84/AE$5,0)</f>
        <v>0</v>
      </c>
      <c r="AH84" s="75" t="n">
        <f aca="false">SUMIFS('Dados Mov Financeira'!$N:$N,'Dados Mov Financeira'!$O:$O,'DRE 2021'!$B84,'Dados Mov Financeira'!$A:$A,'DRE 2021'!AH$1,'Dados Mov Financeira'!$B:$B,'DRE 2021'!AH$2)</f>
        <v>0</v>
      </c>
      <c r="AI84" s="91" t="n">
        <f aca="false">IFERROR(AH84/AH$5,0)</f>
        <v>0</v>
      </c>
      <c r="AK84" s="75" t="n">
        <f aca="false">SUMIFS('Dados Mov Financeira'!$N:$N,'Dados Mov Financeira'!$O:$O,'DRE 2021'!$B84,'Dados Mov Financeira'!$A:$A,'DRE 2021'!AK$1,'Dados Mov Financeira'!$B:$B,'DRE 2021'!AK$2)</f>
        <v>0</v>
      </c>
      <c r="AL84" s="91" t="n">
        <f aca="false">IFERROR(AK84/AK$5,0)</f>
        <v>0</v>
      </c>
      <c r="AN84" s="92" t="n">
        <f aca="false">SUM(D84,G84,J84,M84,P84,S84,V84,Y84,AB84,AE84,AH84,AK84)</f>
        <v>0</v>
      </c>
      <c r="AO84" s="91" t="n">
        <f aca="false">IFERROR(AN84/AN$5,0)</f>
        <v>0</v>
      </c>
      <c r="AQ84" s="93" t="n">
        <f aca="false">AN84/$AR$1</f>
        <v>0</v>
      </c>
      <c r="AR84" s="94" t="n">
        <f aca="false">IFERROR(AQ84/AQ$5,0)</f>
        <v>0</v>
      </c>
      <c r="AT84" s="113"/>
    </row>
    <row r="85" customFormat="false" ht="14.25" hidden="true" customHeight="false" outlineLevel="1" collapsed="false">
      <c r="B85" s="89" t="s">
        <v>105</v>
      </c>
      <c r="D85" s="75" t="n">
        <f aca="false">SUMIFS('Dados Mov Financeira'!$N:$N,'Dados Mov Financeira'!$O:$O,'DRE 2021'!$B85,'Dados Mov Financeira'!$A:$A,'DRE 2021'!D$1,'Dados Mov Financeira'!$B:$B,'DRE 2021'!D$2)</f>
        <v>0</v>
      </c>
      <c r="E85" s="91" t="n">
        <f aca="false">IFERROR(D85/D$5,0)</f>
        <v>0</v>
      </c>
      <c r="G85" s="75" t="n">
        <f aca="false">SUMIFS('Dados Mov Financeira'!$N:$N,'Dados Mov Financeira'!$O:$O,'DRE 2021'!$B85,'Dados Mov Financeira'!$A:$A,'DRE 2021'!G$1,'Dados Mov Financeira'!$B:$B,'DRE 2021'!G$2)</f>
        <v>0</v>
      </c>
      <c r="H85" s="91" t="n">
        <f aca="false">IFERROR(G85/G$5,0)</f>
        <v>0</v>
      </c>
      <c r="J85" s="75" t="n">
        <f aca="false">SUMIFS('Dados Mov Financeira'!$N:$N,'Dados Mov Financeira'!$O:$O,'DRE 2021'!$B85,'Dados Mov Financeira'!$A:$A,'DRE 2021'!J$1,'Dados Mov Financeira'!$B:$B,'DRE 2021'!J$2)</f>
        <v>0</v>
      </c>
      <c r="K85" s="91" t="n">
        <f aca="false">IFERROR(J85/J$5,0)</f>
        <v>0</v>
      </c>
      <c r="M85" s="75" t="n">
        <f aca="false">SUMIFS('Dados Mov Financeira'!$N:$N,'Dados Mov Financeira'!$O:$O,'DRE 2021'!$B85,'Dados Mov Financeira'!$A:$A,'DRE 2021'!M$1,'Dados Mov Financeira'!$B:$B,'DRE 2021'!M$2)</f>
        <v>0</v>
      </c>
      <c r="N85" s="91" t="n">
        <f aca="false">IFERROR(M85/M$5,0)</f>
        <v>0</v>
      </c>
      <c r="P85" s="75" t="n">
        <f aca="false">SUMIFS('Dados Mov Financeira'!$N:$N,'Dados Mov Financeira'!$O:$O,'DRE 2021'!$B85,'Dados Mov Financeira'!$A:$A,'DRE 2021'!P$1,'Dados Mov Financeira'!$B:$B,'DRE 2021'!P$2)</f>
        <v>0</v>
      </c>
      <c r="Q85" s="91" t="n">
        <f aca="false">IFERROR(P85/P$5,0)</f>
        <v>0</v>
      </c>
      <c r="S85" s="75" t="n">
        <f aca="false">SUMIFS('Dados Mov Financeira'!$N:$N,'Dados Mov Financeira'!$O:$O,'DRE 2021'!$B85,'Dados Mov Financeira'!$A:$A,'DRE 2021'!S$1,'Dados Mov Financeira'!$B:$B,'DRE 2021'!S$2)</f>
        <v>0</v>
      </c>
      <c r="T85" s="91" t="n">
        <f aca="false">IFERROR(S85/S$5,0)</f>
        <v>0</v>
      </c>
      <c r="V85" s="75" t="n">
        <f aca="false">SUMIFS('Dados Mov Financeira'!$N:$N,'Dados Mov Financeira'!$O:$O,'DRE 2021'!$B85,'Dados Mov Financeira'!$A:$A,'DRE 2021'!V$1,'Dados Mov Financeira'!$B:$B,'DRE 2021'!V$2)</f>
        <v>0</v>
      </c>
      <c r="W85" s="91" t="n">
        <f aca="false">IFERROR(V85/V$5,0)</f>
        <v>0</v>
      </c>
      <c r="Y85" s="75" t="n">
        <f aca="false">SUMIFS('Dados Mov Financeira'!$N:$N,'Dados Mov Financeira'!$O:$O,'DRE 2021'!$B85,'Dados Mov Financeira'!$A:$A,'DRE 2021'!Y$1,'Dados Mov Financeira'!$B:$B,'DRE 2021'!Y$2)</f>
        <v>0</v>
      </c>
      <c r="Z85" s="91" t="n">
        <f aca="false">IFERROR(Y85/Y$5,0)</f>
        <v>0</v>
      </c>
      <c r="AB85" s="75" t="n">
        <f aca="false">SUMIFS('Dados Mov Financeira'!$N:$N,'Dados Mov Financeira'!$O:$O,'DRE 2021'!$B85,'Dados Mov Financeira'!$A:$A,'DRE 2021'!AB$1,'Dados Mov Financeira'!$B:$B,'DRE 2021'!AB$2)</f>
        <v>0</v>
      </c>
      <c r="AC85" s="91" t="n">
        <f aca="false">IFERROR(AB85/AB$5,0)</f>
        <v>0</v>
      </c>
      <c r="AE85" s="75" t="n">
        <f aca="false">SUMIFS('Dados Mov Financeira'!$N:$N,'Dados Mov Financeira'!$O:$O,'DRE 2021'!$B85,'Dados Mov Financeira'!$A:$A,'DRE 2021'!AE$1,'Dados Mov Financeira'!$B:$B,'DRE 2021'!AE$2)</f>
        <v>0</v>
      </c>
      <c r="AF85" s="91" t="n">
        <f aca="false">IFERROR(AE85/AE$5,0)</f>
        <v>0</v>
      </c>
      <c r="AH85" s="75" t="n">
        <f aca="false">SUMIFS('Dados Mov Financeira'!$N:$N,'Dados Mov Financeira'!$O:$O,'DRE 2021'!$B85,'Dados Mov Financeira'!$A:$A,'DRE 2021'!AH$1,'Dados Mov Financeira'!$B:$B,'DRE 2021'!AH$2)</f>
        <v>0</v>
      </c>
      <c r="AI85" s="91" t="n">
        <f aca="false">IFERROR(AH85/AH$5,0)</f>
        <v>0</v>
      </c>
      <c r="AK85" s="75" t="n">
        <f aca="false">SUMIFS('Dados Mov Financeira'!$N:$N,'Dados Mov Financeira'!$O:$O,'DRE 2021'!$B85,'Dados Mov Financeira'!$A:$A,'DRE 2021'!AK$1,'Dados Mov Financeira'!$B:$B,'DRE 2021'!AK$2)</f>
        <v>0</v>
      </c>
      <c r="AL85" s="91" t="n">
        <f aca="false">IFERROR(AK85/AK$5,0)</f>
        <v>0</v>
      </c>
      <c r="AN85" s="92" t="n">
        <f aca="false">SUM(D85,G85,J85,M85,P85,S85,V85,Y85,AB85,AE85,AH85,AK85)</f>
        <v>0</v>
      </c>
      <c r="AO85" s="91" t="n">
        <f aca="false">IFERROR(AN85/AN$5,0)</f>
        <v>0</v>
      </c>
      <c r="AQ85" s="93" t="n">
        <f aca="false">AN85/$AR$1</f>
        <v>0</v>
      </c>
      <c r="AR85" s="94" t="n">
        <f aca="false">IFERROR(AQ85/AQ$5,0)</f>
        <v>0</v>
      </c>
    </row>
    <row r="86" customFormat="false" ht="14.25" hidden="true" customHeight="false" outlineLevel="1" collapsed="false">
      <c r="B86" s="89" t="s">
        <v>106</v>
      </c>
      <c r="D86" s="75" t="n">
        <f aca="false">SUMIFS('Dados Mov Financeira'!$N:$N,'Dados Mov Financeira'!$O:$O,'DRE 2021'!$B86,'Dados Mov Financeira'!$A:$A,'DRE 2021'!D$1,'Dados Mov Financeira'!$B:$B,'DRE 2021'!D$2)</f>
        <v>0</v>
      </c>
      <c r="E86" s="91" t="n">
        <f aca="false">IFERROR(D86/D$5,0)</f>
        <v>0</v>
      </c>
      <c r="G86" s="75" t="n">
        <f aca="false">SUMIFS('Dados Mov Financeira'!$N:$N,'Dados Mov Financeira'!$O:$O,'DRE 2021'!$B86,'Dados Mov Financeira'!$A:$A,'DRE 2021'!G$1,'Dados Mov Financeira'!$B:$B,'DRE 2021'!G$2)</f>
        <v>0</v>
      </c>
      <c r="H86" s="91" t="n">
        <f aca="false">IFERROR(G86/G$5,0)</f>
        <v>0</v>
      </c>
      <c r="J86" s="75" t="n">
        <f aca="false">SUMIFS('Dados Mov Financeira'!$N:$N,'Dados Mov Financeira'!$O:$O,'DRE 2021'!$B86,'Dados Mov Financeira'!$A:$A,'DRE 2021'!J$1,'Dados Mov Financeira'!$B:$B,'DRE 2021'!J$2)</f>
        <v>0</v>
      </c>
      <c r="K86" s="91" t="n">
        <f aca="false">IFERROR(J86/J$5,0)</f>
        <v>0</v>
      </c>
      <c r="M86" s="75" t="n">
        <f aca="false">SUMIFS('Dados Mov Financeira'!$N:$N,'Dados Mov Financeira'!$O:$O,'DRE 2021'!$B86,'Dados Mov Financeira'!$A:$A,'DRE 2021'!M$1,'Dados Mov Financeira'!$B:$B,'DRE 2021'!M$2)</f>
        <v>0</v>
      </c>
      <c r="N86" s="91" t="n">
        <f aca="false">IFERROR(M86/M$5,0)</f>
        <v>0</v>
      </c>
      <c r="P86" s="75" t="n">
        <f aca="false">SUMIFS('Dados Mov Financeira'!$N:$N,'Dados Mov Financeira'!$O:$O,'DRE 2021'!$B86,'Dados Mov Financeira'!$A:$A,'DRE 2021'!P$1,'Dados Mov Financeira'!$B:$B,'DRE 2021'!P$2)</f>
        <v>0</v>
      </c>
      <c r="Q86" s="91" t="n">
        <f aca="false">IFERROR(P86/P$5,0)</f>
        <v>0</v>
      </c>
      <c r="S86" s="75" t="n">
        <f aca="false">SUMIFS('Dados Mov Financeira'!$N:$N,'Dados Mov Financeira'!$O:$O,'DRE 2021'!$B86,'Dados Mov Financeira'!$A:$A,'DRE 2021'!S$1,'Dados Mov Financeira'!$B:$B,'DRE 2021'!S$2)</f>
        <v>0</v>
      </c>
      <c r="T86" s="91" t="n">
        <f aca="false">IFERROR(S86/S$5,0)</f>
        <v>0</v>
      </c>
      <c r="V86" s="75" t="n">
        <f aca="false">SUMIFS('Dados Mov Financeira'!$N:$N,'Dados Mov Financeira'!$O:$O,'DRE 2021'!$B86,'Dados Mov Financeira'!$A:$A,'DRE 2021'!V$1,'Dados Mov Financeira'!$B:$B,'DRE 2021'!V$2)</f>
        <v>0</v>
      </c>
      <c r="W86" s="91" t="n">
        <f aca="false">IFERROR(V86/V$5,0)</f>
        <v>0</v>
      </c>
      <c r="Y86" s="75" t="n">
        <f aca="false">SUMIFS('Dados Mov Financeira'!$N:$N,'Dados Mov Financeira'!$O:$O,'DRE 2021'!$B86,'Dados Mov Financeira'!$A:$A,'DRE 2021'!Y$1,'Dados Mov Financeira'!$B:$B,'DRE 2021'!Y$2)</f>
        <v>0</v>
      </c>
      <c r="Z86" s="91" t="n">
        <f aca="false">IFERROR(Y86/Y$5,0)</f>
        <v>0</v>
      </c>
      <c r="AB86" s="75" t="n">
        <f aca="false">SUMIFS('Dados Mov Financeira'!$N:$N,'Dados Mov Financeira'!$O:$O,'DRE 2021'!$B86,'Dados Mov Financeira'!$A:$A,'DRE 2021'!AB$1,'Dados Mov Financeira'!$B:$B,'DRE 2021'!AB$2)</f>
        <v>0</v>
      </c>
      <c r="AC86" s="91" t="n">
        <f aca="false">IFERROR(AB86/AB$5,0)</f>
        <v>0</v>
      </c>
      <c r="AE86" s="75" t="n">
        <f aca="false">SUMIFS('Dados Mov Financeira'!$N:$N,'Dados Mov Financeira'!$O:$O,'DRE 2021'!$B86,'Dados Mov Financeira'!$A:$A,'DRE 2021'!AE$1,'Dados Mov Financeira'!$B:$B,'DRE 2021'!AE$2)</f>
        <v>0</v>
      </c>
      <c r="AF86" s="91" t="n">
        <f aca="false">IFERROR(AE86/AE$5,0)</f>
        <v>0</v>
      </c>
      <c r="AH86" s="75" t="n">
        <f aca="false">SUMIFS('Dados Mov Financeira'!$N:$N,'Dados Mov Financeira'!$O:$O,'DRE 2021'!$B86,'Dados Mov Financeira'!$A:$A,'DRE 2021'!AH$1,'Dados Mov Financeira'!$B:$B,'DRE 2021'!AH$2)</f>
        <v>0</v>
      </c>
      <c r="AI86" s="91" t="n">
        <f aca="false">IFERROR(AH86/AH$5,0)</f>
        <v>0</v>
      </c>
      <c r="AK86" s="75" t="n">
        <f aca="false">SUMIFS('Dados Mov Financeira'!$N:$N,'Dados Mov Financeira'!$O:$O,'DRE 2021'!$B86,'Dados Mov Financeira'!$A:$A,'DRE 2021'!AK$1,'Dados Mov Financeira'!$B:$B,'DRE 2021'!AK$2)</f>
        <v>0</v>
      </c>
      <c r="AL86" s="91" t="n">
        <f aca="false">IFERROR(AK86/AK$5,0)</f>
        <v>0</v>
      </c>
      <c r="AN86" s="92" t="n">
        <f aca="false">SUM(D86,G86,J86,M86,P86,S86,V86,Y86,AB86,AE86,AH86,AK86)</f>
        <v>0</v>
      </c>
      <c r="AO86" s="91" t="n">
        <f aca="false">IFERROR(AN86/AN$5,0)</f>
        <v>0</v>
      </c>
      <c r="AQ86" s="93" t="n">
        <f aca="false">AN86/$AR$1</f>
        <v>0</v>
      </c>
      <c r="AR86" s="94" t="n">
        <f aca="false">IFERROR(AQ86/AQ$5,0)</f>
        <v>0</v>
      </c>
    </row>
    <row r="87" customFormat="false" ht="14.25" hidden="true" customHeight="false" outlineLevel="1" collapsed="false">
      <c r="B87" s="89" t="s">
        <v>107</v>
      </c>
      <c r="D87" s="75" t="n">
        <f aca="false">SUMIFS('Dados Mov Financeira'!$N:$N,'Dados Mov Financeira'!$O:$O,'DRE 2021'!$B87,'Dados Mov Financeira'!$A:$A,'DRE 2021'!D$1,'Dados Mov Financeira'!$B:$B,'DRE 2021'!D$2)</f>
        <v>0</v>
      </c>
      <c r="E87" s="91" t="n">
        <f aca="false">IFERROR(D87/D$5,0)</f>
        <v>0</v>
      </c>
      <c r="G87" s="75" t="n">
        <f aca="false">SUMIFS('Dados Mov Financeira'!$N:$N,'Dados Mov Financeira'!$O:$O,'DRE 2021'!$B87,'Dados Mov Financeira'!$A:$A,'DRE 2021'!G$1,'Dados Mov Financeira'!$B:$B,'DRE 2021'!G$2)</f>
        <v>0</v>
      </c>
      <c r="H87" s="91" t="n">
        <f aca="false">IFERROR(G87/G$5,0)</f>
        <v>0</v>
      </c>
      <c r="J87" s="75" t="n">
        <f aca="false">SUMIFS('Dados Mov Financeira'!$N:$N,'Dados Mov Financeira'!$O:$O,'DRE 2021'!$B87,'Dados Mov Financeira'!$A:$A,'DRE 2021'!J$1,'Dados Mov Financeira'!$B:$B,'DRE 2021'!J$2)</f>
        <v>0</v>
      </c>
      <c r="K87" s="91" t="n">
        <f aca="false">IFERROR(J87/J$5,0)</f>
        <v>0</v>
      </c>
      <c r="M87" s="75" t="n">
        <f aca="false">SUMIFS('Dados Mov Financeira'!$N:$N,'Dados Mov Financeira'!$O:$O,'DRE 2021'!$B87,'Dados Mov Financeira'!$A:$A,'DRE 2021'!M$1,'Dados Mov Financeira'!$B:$B,'DRE 2021'!M$2)</f>
        <v>0</v>
      </c>
      <c r="N87" s="91" t="n">
        <f aca="false">IFERROR(M87/M$5,0)</f>
        <v>0</v>
      </c>
      <c r="P87" s="75" t="n">
        <f aca="false">SUMIFS('Dados Mov Financeira'!$N:$N,'Dados Mov Financeira'!$O:$O,'DRE 2021'!$B87,'Dados Mov Financeira'!$A:$A,'DRE 2021'!P$1,'Dados Mov Financeira'!$B:$B,'DRE 2021'!P$2)</f>
        <v>0</v>
      </c>
      <c r="Q87" s="91" t="n">
        <f aca="false">IFERROR(P87/P$5,0)</f>
        <v>0</v>
      </c>
      <c r="S87" s="75" t="n">
        <f aca="false">SUMIFS('Dados Mov Financeira'!$N:$N,'Dados Mov Financeira'!$O:$O,'DRE 2021'!$B87,'Dados Mov Financeira'!$A:$A,'DRE 2021'!S$1,'Dados Mov Financeira'!$B:$B,'DRE 2021'!S$2)</f>
        <v>0</v>
      </c>
      <c r="T87" s="91" t="n">
        <f aca="false">IFERROR(S87/S$5,0)</f>
        <v>0</v>
      </c>
      <c r="V87" s="75" t="n">
        <f aca="false">SUMIFS('Dados Mov Financeira'!$N:$N,'Dados Mov Financeira'!$O:$O,'DRE 2021'!$B87,'Dados Mov Financeira'!$A:$A,'DRE 2021'!V$1,'Dados Mov Financeira'!$B:$B,'DRE 2021'!V$2)</f>
        <v>0</v>
      </c>
      <c r="W87" s="91" t="n">
        <f aca="false">IFERROR(V87/V$5,0)</f>
        <v>0</v>
      </c>
      <c r="Y87" s="75" t="n">
        <f aca="false">SUMIFS('Dados Mov Financeira'!$N:$N,'Dados Mov Financeira'!$O:$O,'DRE 2021'!$B87,'Dados Mov Financeira'!$A:$A,'DRE 2021'!Y$1,'Dados Mov Financeira'!$B:$B,'DRE 2021'!Y$2)</f>
        <v>0</v>
      </c>
      <c r="Z87" s="91" t="n">
        <f aca="false">IFERROR(Y87/Y$5,0)</f>
        <v>0</v>
      </c>
      <c r="AB87" s="75" t="n">
        <f aca="false">SUMIFS('Dados Mov Financeira'!$N:$N,'Dados Mov Financeira'!$O:$O,'DRE 2021'!$B87,'Dados Mov Financeira'!$A:$A,'DRE 2021'!AB$1,'Dados Mov Financeira'!$B:$B,'DRE 2021'!AB$2)</f>
        <v>0</v>
      </c>
      <c r="AC87" s="91" t="n">
        <f aca="false">IFERROR(AB87/AB$5,0)</f>
        <v>0</v>
      </c>
      <c r="AE87" s="75" t="n">
        <f aca="false">SUMIFS('Dados Mov Financeira'!$N:$N,'Dados Mov Financeira'!$O:$O,'DRE 2021'!$B87,'Dados Mov Financeira'!$A:$A,'DRE 2021'!AE$1,'Dados Mov Financeira'!$B:$B,'DRE 2021'!AE$2)</f>
        <v>0</v>
      </c>
      <c r="AF87" s="91" t="n">
        <f aca="false">IFERROR(AE87/AE$5,0)</f>
        <v>0</v>
      </c>
      <c r="AH87" s="75" t="n">
        <f aca="false">SUMIFS('Dados Mov Financeira'!$N:$N,'Dados Mov Financeira'!$O:$O,'DRE 2021'!$B87,'Dados Mov Financeira'!$A:$A,'DRE 2021'!AH$1,'Dados Mov Financeira'!$B:$B,'DRE 2021'!AH$2)</f>
        <v>0</v>
      </c>
      <c r="AI87" s="91" t="n">
        <f aca="false">IFERROR(AH87/AH$5,0)</f>
        <v>0</v>
      </c>
      <c r="AK87" s="75" t="n">
        <f aca="false">SUMIFS('Dados Mov Financeira'!$N:$N,'Dados Mov Financeira'!$O:$O,'DRE 2021'!$B87,'Dados Mov Financeira'!$A:$A,'DRE 2021'!AK$1,'Dados Mov Financeira'!$B:$B,'DRE 2021'!AK$2)</f>
        <v>0</v>
      </c>
      <c r="AL87" s="91" t="n">
        <f aca="false">IFERROR(AK87/AK$5,0)</f>
        <v>0</v>
      </c>
      <c r="AN87" s="92" t="n">
        <f aca="false">SUM(D87,G87,J87,M87,P87,S87,V87,Y87,AB87,AE87,AH87,AK87)</f>
        <v>0</v>
      </c>
      <c r="AO87" s="91" t="n">
        <f aca="false">IFERROR(AN87/AN$5,0)</f>
        <v>0</v>
      </c>
      <c r="AQ87" s="93" t="n">
        <f aca="false">AN87/$AR$1</f>
        <v>0</v>
      </c>
      <c r="AR87" s="94" t="n">
        <f aca="false">IFERROR(AQ87/AQ$5,0)</f>
        <v>0</v>
      </c>
    </row>
    <row r="88" customFormat="false" ht="14.25" hidden="true" customHeight="false" outlineLevel="1" collapsed="false">
      <c r="B88" s="89" t="s">
        <v>108</v>
      </c>
      <c r="D88" s="75" t="n">
        <f aca="false">SUMIFS('Dados Mov Financeira'!$N:$N,'Dados Mov Financeira'!$O:$O,'DRE 2021'!$B88,'Dados Mov Financeira'!$A:$A,'DRE 2021'!D$1,'Dados Mov Financeira'!$B:$B,'DRE 2021'!D$2)</f>
        <v>0</v>
      </c>
      <c r="E88" s="91" t="n">
        <f aca="false">IFERROR(D88/D$5,0)</f>
        <v>0</v>
      </c>
      <c r="G88" s="75" t="n">
        <f aca="false">SUMIFS('Dados Mov Financeira'!$N:$N,'Dados Mov Financeira'!$O:$O,'DRE 2021'!$B88,'Dados Mov Financeira'!$A:$A,'DRE 2021'!G$1,'Dados Mov Financeira'!$B:$B,'DRE 2021'!G$2)</f>
        <v>0</v>
      </c>
      <c r="H88" s="91" t="n">
        <f aca="false">IFERROR(G88/G$5,0)</f>
        <v>0</v>
      </c>
      <c r="J88" s="75" t="n">
        <f aca="false">SUMIFS('Dados Mov Financeira'!$N:$N,'Dados Mov Financeira'!$O:$O,'DRE 2021'!$B88,'Dados Mov Financeira'!$A:$A,'DRE 2021'!J$1,'Dados Mov Financeira'!$B:$B,'DRE 2021'!J$2)</f>
        <v>0</v>
      </c>
      <c r="K88" s="91" t="n">
        <f aca="false">IFERROR(J88/J$5,0)</f>
        <v>0</v>
      </c>
      <c r="M88" s="75" t="n">
        <f aca="false">SUMIFS('Dados Mov Financeira'!$N:$N,'Dados Mov Financeira'!$O:$O,'DRE 2021'!$B88,'Dados Mov Financeira'!$A:$A,'DRE 2021'!M$1,'Dados Mov Financeira'!$B:$B,'DRE 2021'!M$2)</f>
        <v>0</v>
      </c>
      <c r="N88" s="91" t="n">
        <f aca="false">IFERROR(M88/M$5,0)</f>
        <v>0</v>
      </c>
      <c r="P88" s="75" t="n">
        <f aca="false">SUMIFS('Dados Mov Financeira'!$N:$N,'Dados Mov Financeira'!$O:$O,'DRE 2021'!$B88,'Dados Mov Financeira'!$A:$A,'DRE 2021'!P$1,'Dados Mov Financeira'!$B:$B,'DRE 2021'!P$2)</f>
        <v>0</v>
      </c>
      <c r="Q88" s="91" t="n">
        <f aca="false">IFERROR(P88/P$5,0)</f>
        <v>0</v>
      </c>
      <c r="S88" s="75" t="n">
        <f aca="false">SUMIFS('Dados Mov Financeira'!$N:$N,'Dados Mov Financeira'!$O:$O,'DRE 2021'!$B88,'Dados Mov Financeira'!$A:$A,'DRE 2021'!S$1,'Dados Mov Financeira'!$B:$B,'DRE 2021'!S$2)</f>
        <v>0</v>
      </c>
      <c r="T88" s="91" t="n">
        <f aca="false">IFERROR(S88/S$5,0)</f>
        <v>0</v>
      </c>
      <c r="V88" s="75" t="n">
        <f aca="false">SUMIFS('Dados Mov Financeira'!$N:$N,'Dados Mov Financeira'!$O:$O,'DRE 2021'!$B88,'Dados Mov Financeira'!$A:$A,'DRE 2021'!V$1,'Dados Mov Financeira'!$B:$B,'DRE 2021'!V$2)</f>
        <v>0</v>
      </c>
      <c r="W88" s="91" t="n">
        <f aca="false">IFERROR(V88/V$5,0)</f>
        <v>0</v>
      </c>
      <c r="Y88" s="75" t="n">
        <f aca="false">SUMIFS('Dados Mov Financeira'!$N:$N,'Dados Mov Financeira'!$O:$O,'DRE 2021'!$B88,'Dados Mov Financeira'!$A:$A,'DRE 2021'!Y$1,'Dados Mov Financeira'!$B:$B,'DRE 2021'!Y$2)</f>
        <v>0</v>
      </c>
      <c r="Z88" s="91" t="n">
        <f aca="false">IFERROR(Y88/Y$5,0)</f>
        <v>0</v>
      </c>
      <c r="AB88" s="75" t="n">
        <f aca="false">SUMIFS('Dados Mov Financeira'!$N:$N,'Dados Mov Financeira'!$O:$O,'DRE 2021'!$B88,'Dados Mov Financeira'!$A:$A,'DRE 2021'!AB$1,'Dados Mov Financeira'!$B:$B,'DRE 2021'!AB$2)</f>
        <v>0</v>
      </c>
      <c r="AC88" s="91" t="n">
        <f aca="false">IFERROR(AB88/AB$5,0)</f>
        <v>0</v>
      </c>
      <c r="AE88" s="75" t="n">
        <f aca="false">SUMIFS('Dados Mov Financeira'!$N:$N,'Dados Mov Financeira'!$O:$O,'DRE 2021'!$B88,'Dados Mov Financeira'!$A:$A,'DRE 2021'!AE$1,'Dados Mov Financeira'!$B:$B,'DRE 2021'!AE$2)</f>
        <v>0</v>
      </c>
      <c r="AF88" s="91" t="n">
        <f aca="false">IFERROR(AE88/AE$5,0)</f>
        <v>0</v>
      </c>
      <c r="AH88" s="99" t="n">
        <f aca="false">SUMIFS('Dados Mov Financeira'!$N:$N,'Dados Mov Financeira'!$O:$O,'DRE 2021'!$B88,'Dados Mov Financeira'!$A:$A,'DRE 2021'!AH$1,'Dados Mov Financeira'!$B:$B,'DRE 2021'!AH$2)</f>
        <v>0</v>
      </c>
      <c r="AI88" s="91" t="n">
        <f aca="false">IFERROR(AH88/AH$5,0)</f>
        <v>0</v>
      </c>
      <c r="AK88" s="75" t="n">
        <f aca="false">SUMIFS('Dados Mov Financeira'!$N:$N,'Dados Mov Financeira'!$O:$O,'DRE 2021'!$B88,'Dados Mov Financeira'!$A:$A,'DRE 2021'!AK$1,'Dados Mov Financeira'!$B:$B,'DRE 2021'!AK$2)</f>
        <v>0</v>
      </c>
      <c r="AL88" s="91" t="n">
        <f aca="false">IFERROR(AK88/AK$5,0)</f>
        <v>0</v>
      </c>
      <c r="AN88" s="92" t="n">
        <f aca="false">SUM(D88,G88,J88,M88,P88,S88,V88,Y88,AB88,AE88,AH88,AK88)</f>
        <v>0</v>
      </c>
      <c r="AO88" s="91" t="n">
        <f aca="false">IFERROR(AN88/AN$5,0)</f>
        <v>0</v>
      </c>
      <c r="AQ88" s="93" t="n">
        <f aca="false">AN88/$AR$1</f>
        <v>0</v>
      </c>
      <c r="AR88" s="94" t="n">
        <f aca="false">IFERROR(AQ88/AQ$5,0)</f>
        <v>0</v>
      </c>
    </row>
    <row r="89" customFormat="false" ht="14.25" hidden="true" customHeight="false" outlineLevel="1" collapsed="false">
      <c r="B89" s="89" t="s">
        <v>109</v>
      </c>
      <c r="D89" s="75" t="n">
        <f aca="false">SUMIFS('Dados Mov Financeira'!$N:$N,'Dados Mov Financeira'!$O:$O,'DRE 2021'!$B89,'Dados Mov Financeira'!$A:$A,'DRE 2021'!D$1,'Dados Mov Financeira'!$B:$B,'DRE 2021'!D$2)</f>
        <v>0</v>
      </c>
      <c r="E89" s="91" t="n">
        <f aca="false">IFERROR(D89/D$5,0)</f>
        <v>0</v>
      </c>
      <c r="G89" s="75" t="n">
        <f aca="false">SUMIFS('Dados Mov Financeira'!$N:$N,'Dados Mov Financeira'!$O:$O,'DRE 2021'!$B89,'Dados Mov Financeira'!$A:$A,'DRE 2021'!G$1,'Dados Mov Financeira'!$B:$B,'DRE 2021'!G$2)</f>
        <v>0</v>
      </c>
      <c r="H89" s="91" t="n">
        <f aca="false">IFERROR(G89/G$5,0)</f>
        <v>0</v>
      </c>
      <c r="J89" s="75" t="n">
        <f aca="false">SUMIFS('Dados Mov Financeira'!$N:$N,'Dados Mov Financeira'!$O:$O,'DRE 2021'!$B89,'Dados Mov Financeira'!$A:$A,'DRE 2021'!J$1,'Dados Mov Financeira'!$B:$B,'DRE 2021'!J$2)</f>
        <v>0</v>
      </c>
      <c r="K89" s="91" t="n">
        <f aca="false">IFERROR(J89/J$5,0)</f>
        <v>0</v>
      </c>
      <c r="M89" s="75" t="n">
        <f aca="false">SUMIFS('Dados Mov Financeira'!$N:$N,'Dados Mov Financeira'!$O:$O,'DRE 2021'!$B89,'Dados Mov Financeira'!$A:$A,'DRE 2021'!M$1,'Dados Mov Financeira'!$B:$B,'DRE 2021'!M$2)</f>
        <v>0</v>
      </c>
      <c r="N89" s="91" t="n">
        <f aca="false">IFERROR(M89/M$5,0)</f>
        <v>0</v>
      </c>
      <c r="P89" s="75" t="n">
        <f aca="false">SUMIFS('Dados Mov Financeira'!$N:$N,'Dados Mov Financeira'!$O:$O,'DRE 2021'!$B89,'Dados Mov Financeira'!$A:$A,'DRE 2021'!P$1,'Dados Mov Financeira'!$B:$B,'DRE 2021'!P$2)</f>
        <v>0</v>
      </c>
      <c r="Q89" s="91" t="n">
        <f aca="false">IFERROR(P89/P$5,0)</f>
        <v>0</v>
      </c>
      <c r="S89" s="75" t="n">
        <f aca="false">SUMIFS('Dados Mov Financeira'!$N:$N,'Dados Mov Financeira'!$O:$O,'DRE 2021'!$B89,'Dados Mov Financeira'!$A:$A,'DRE 2021'!S$1,'Dados Mov Financeira'!$B:$B,'DRE 2021'!S$2)</f>
        <v>0</v>
      </c>
      <c r="T89" s="91" t="n">
        <f aca="false">IFERROR(S89/S$5,0)</f>
        <v>0</v>
      </c>
      <c r="V89" s="75" t="n">
        <f aca="false">SUMIFS('Dados Mov Financeira'!$N:$N,'Dados Mov Financeira'!$O:$O,'DRE 2021'!$B89,'Dados Mov Financeira'!$A:$A,'DRE 2021'!V$1,'Dados Mov Financeira'!$B:$B,'DRE 2021'!V$2)</f>
        <v>0</v>
      </c>
      <c r="W89" s="91" t="n">
        <f aca="false">IFERROR(V89/V$5,0)</f>
        <v>0</v>
      </c>
      <c r="Y89" s="75" t="n">
        <f aca="false">SUMIFS('Dados Mov Financeira'!$N:$N,'Dados Mov Financeira'!$O:$O,'DRE 2021'!$B89,'Dados Mov Financeira'!$A:$A,'DRE 2021'!Y$1,'Dados Mov Financeira'!$B:$B,'DRE 2021'!Y$2)</f>
        <v>0</v>
      </c>
      <c r="Z89" s="91" t="n">
        <f aca="false">IFERROR(Y89/Y$5,0)</f>
        <v>0</v>
      </c>
      <c r="AB89" s="75" t="n">
        <f aca="false">SUMIFS('Dados Mov Financeira'!$N:$N,'Dados Mov Financeira'!$O:$O,'DRE 2021'!$B89,'Dados Mov Financeira'!$A:$A,'DRE 2021'!AB$1,'Dados Mov Financeira'!$B:$B,'DRE 2021'!AB$2)</f>
        <v>0</v>
      </c>
      <c r="AC89" s="91" t="n">
        <f aca="false">IFERROR(AB89/AB$5,0)</f>
        <v>0</v>
      </c>
      <c r="AE89" s="75" t="n">
        <f aca="false">SUMIFS('Dados Mov Financeira'!$N:$N,'Dados Mov Financeira'!$O:$O,'DRE 2021'!$B89,'Dados Mov Financeira'!$A:$A,'DRE 2021'!AE$1,'Dados Mov Financeira'!$B:$B,'DRE 2021'!AE$2)</f>
        <v>0</v>
      </c>
      <c r="AF89" s="91" t="n">
        <f aca="false">IFERROR(AE89/AE$5,0)</f>
        <v>0</v>
      </c>
      <c r="AH89" s="99" t="n">
        <f aca="false">SUMIFS('Dados Mov Financeira'!$N:$N,'Dados Mov Financeira'!$O:$O,'DRE 2021'!$B89,'Dados Mov Financeira'!$A:$A,'DRE 2021'!AH$1,'Dados Mov Financeira'!$B:$B,'DRE 2021'!AH$2)</f>
        <v>0</v>
      </c>
      <c r="AI89" s="91" t="n">
        <f aca="false">IFERROR(AH89/AH$5,0)</f>
        <v>0</v>
      </c>
      <c r="AK89" s="75" t="n">
        <f aca="false">SUMIFS('Dados Mov Financeira'!$N:$N,'Dados Mov Financeira'!$O:$O,'DRE 2021'!$B89,'Dados Mov Financeira'!$A:$A,'DRE 2021'!AK$1,'Dados Mov Financeira'!$B:$B,'DRE 2021'!AK$2)</f>
        <v>0</v>
      </c>
      <c r="AL89" s="91" t="n">
        <f aca="false">IFERROR(AK89/AK$5,0)</f>
        <v>0</v>
      </c>
      <c r="AN89" s="92" t="n">
        <f aca="false">SUM(D89,G89,J89,M89,P89,S89,V89,Y89,AB89,AE89,AH89,AK89)</f>
        <v>0</v>
      </c>
      <c r="AO89" s="91" t="n">
        <f aca="false">IFERROR(AN89/AN$5,0)</f>
        <v>0</v>
      </c>
      <c r="AQ89" s="93" t="n">
        <f aca="false">AN89/$AR$1</f>
        <v>0</v>
      </c>
      <c r="AR89" s="94" t="n">
        <f aca="false">IFERROR(AQ89/AQ$5,0)</f>
        <v>0</v>
      </c>
    </row>
    <row r="90" customFormat="false" ht="14.25" hidden="true" customHeight="false" outlineLevel="1" collapsed="false">
      <c r="B90" s="89" t="s">
        <v>110</v>
      </c>
      <c r="D90" s="75" t="n">
        <f aca="false">SUMIFS('Dados Mov Financeira'!$N:$N,'Dados Mov Financeira'!$O:$O,'DRE 2021'!$B90,'Dados Mov Financeira'!$A:$A,'DRE 2021'!D$1,'Dados Mov Financeira'!$B:$B,'DRE 2021'!D$2)</f>
        <v>0</v>
      </c>
      <c r="E90" s="91" t="n">
        <f aca="false">IFERROR(D90/D$5,0)</f>
        <v>0</v>
      </c>
      <c r="G90" s="75" t="n">
        <f aca="false">SUMIFS('Dados Mov Financeira'!$N:$N,'Dados Mov Financeira'!$O:$O,'DRE 2021'!$B90,'Dados Mov Financeira'!$A:$A,'DRE 2021'!G$1,'Dados Mov Financeira'!$B:$B,'DRE 2021'!G$2)</f>
        <v>0</v>
      </c>
      <c r="H90" s="91" t="n">
        <f aca="false">IFERROR(G90/G$5,0)</f>
        <v>0</v>
      </c>
      <c r="J90" s="75" t="n">
        <f aca="false">SUMIFS('Dados Mov Financeira'!$N:$N,'Dados Mov Financeira'!$O:$O,'DRE 2021'!$B90,'Dados Mov Financeira'!$A:$A,'DRE 2021'!J$1,'Dados Mov Financeira'!$B:$B,'DRE 2021'!J$2)</f>
        <v>0</v>
      </c>
      <c r="K90" s="91" t="n">
        <f aca="false">IFERROR(J90/J$5,0)</f>
        <v>0</v>
      </c>
      <c r="M90" s="75" t="n">
        <f aca="false">SUMIFS('Dados Mov Financeira'!$N:$N,'Dados Mov Financeira'!$O:$O,'DRE 2021'!$B90,'Dados Mov Financeira'!$A:$A,'DRE 2021'!M$1,'Dados Mov Financeira'!$B:$B,'DRE 2021'!M$2)</f>
        <v>0</v>
      </c>
      <c r="N90" s="91" t="n">
        <f aca="false">IFERROR(M90/M$5,0)</f>
        <v>0</v>
      </c>
      <c r="P90" s="75" t="n">
        <f aca="false">SUMIFS('Dados Mov Financeira'!$N:$N,'Dados Mov Financeira'!$O:$O,'DRE 2021'!$B90,'Dados Mov Financeira'!$A:$A,'DRE 2021'!P$1,'Dados Mov Financeira'!$B:$B,'DRE 2021'!P$2)</f>
        <v>0</v>
      </c>
      <c r="Q90" s="91" t="n">
        <f aca="false">IFERROR(P90/P$5,0)</f>
        <v>0</v>
      </c>
      <c r="S90" s="75" t="n">
        <f aca="false">SUMIFS('Dados Mov Financeira'!$N:$N,'Dados Mov Financeira'!$O:$O,'DRE 2021'!$B90,'Dados Mov Financeira'!$A:$A,'DRE 2021'!S$1,'Dados Mov Financeira'!$B:$B,'DRE 2021'!S$2)</f>
        <v>0</v>
      </c>
      <c r="T90" s="91" t="n">
        <f aca="false">IFERROR(S90/S$5,0)</f>
        <v>0</v>
      </c>
      <c r="V90" s="75" t="n">
        <f aca="false">SUMIFS('Dados Mov Financeira'!$N:$N,'Dados Mov Financeira'!$O:$O,'DRE 2021'!$B90,'Dados Mov Financeira'!$A:$A,'DRE 2021'!V$1,'Dados Mov Financeira'!$B:$B,'DRE 2021'!V$2)</f>
        <v>0</v>
      </c>
      <c r="W90" s="91" t="n">
        <f aca="false">IFERROR(V90/V$5,0)</f>
        <v>0</v>
      </c>
      <c r="Y90" s="75" t="n">
        <f aca="false">SUMIFS('Dados Mov Financeira'!$N:$N,'Dados Mov Financeira'!$O:$O,'DRE 2021'!$B90,'Dados Mov Financeira'!$A:$A,'DRE 2021'!Y$1,'Dados Mov Financeira'!$B:$B,'DRE 2021'!Y$2)</f>
        <v>0</v>
      </c>
      <c r="Z90" s="91" t="n">
        <f aca="false">IFERROR(Y90/Y$5,0)</f>
        <v>0</v>
      </c>
      <c r="AB90" s="75" t="n">
        <f aca="false">SUMIFS('Dados Mov Financeira'!$N:$N,'Dados Mov Financeira'!$O:$O,'DRE 2021'!$B90,'Dados Mov Financeira'!$A:$A,'DRE 2021'!AB$1,'Dados Mov Financeira'!$B:$B,'DRE 2021'!AB$2)</f>
        <v>0</v>
      </c>
      <c r="AC90" s="91" t="n">
        <f aca="false">IFERROR(AB90/AB$5,0)</f>
        <v>0</v>
      </c>
      <c r="AE90" s="75" t="n">
        <f aca="false">SUMIFS('Dados Mov Financeira'!$N:$N,'Dados Mov Financeira'!$O:$O,'DRE 2021'!$B90,'Dados Mov Financeira'!$A:$A,'DRE 2021'!AE$1,'Dados Mov Financeira'!$B:$B,'DRE 2021'!AE$2)</f>
        <v>0</v>
      </c>
      <c r="AF90" s="91" t="n">
        <f aca="false">IFERROR(AE90/AE$5,0)</f>
        <v>0</v>
      </c>
      <c r="AH90" s="75" t="n">
        <f aca="false">SUMIFS('Dados Mov Financeira'!$N:$N,'Dados Mov Financeira'!$O:$O,'DRE 2021'!$B90,'Dados Mov Financeira'!$A:$A,'DRE 2021'!AH$1,'Dados Mov Financeira'!$B:$B,'DRE 2021'!AH$2)</f>
        <v>0</v>
      </c>
      <c r="AI90" s="91" t="n">
        <f aca="false">IFERROR(AH90/AH$5,0)</f>
        <v>0</v>
      </c>
      <c r="AK90" s="75" t="n">
        <f aca="false">SUMIFS('Dados Mov Financeira'!$N:$N,'Dados Mov Financeira'!$O:$O,'DRE 2021'!$B90,'Dados Mov Financeira'!$A:$A,'DRE 2021'!AK$1,'Dados Mov Financeira'!$B:$B,'DRE 2021'!AK$2)</f>
        <v>0</v>
      </c>
      <c r="AL90" s="91" t="n">
        <f aca="false">IFERROR(AK90/AK$5,0)</f>
        <v>0</v>
      </c>
      <c r="AN90" s="92" t="n">
        <f aca="false">SUM(D90,G90,J90,M90,P90,S90,V90,Y90,AB90,AE90,AH90,AK90)</f>
        <v>0</v>
      </c>
      <c r="AO90" s="91" t="n">
        <f aca="false">IFERROR(AN90/AN$5,0)</f>
        <v>0</v>
      </c>
      <c r="AQ90" s="93" t="n">
        <f aca="false">AN90/$AR$1</f>
        <v>0</v>
      </c>
      <c r="AR90" s="94" t="n">
        <f aca="false">IFERROR(AQ90/AQ$5,0)</f>
        <v>0</v>
      </c>
    </row>
    <row r="91" customFormat="false" ht="14.25" hidden="true" customHeight="false" outlineLevel="1" collapsed="false">
      <c r="B91" s="89" t="s">
        <v>111</v>
      </c>
      <c r="D91" s="75" t="n">
        <f aca="false">SUMIFS('Dados Mov Financeira'!$N:$N,'Dados Mov Financeira'!$O:$O,'DRE 2021'!$B91,'Dados Mov Financeira'!$A:$A,'DRE 2021'!D$1,'Dados Mov Financeira'!$B:$B,'DRE 2021'!D$2)</f>
        <v>0</v>
      </c>
      <c r="E91" s="91" t="n">
        <f aca="false">IFERROR(D91/D$5,0)</f>
        <v>0</v>
      </c>
      <c r="G91" s="75" t="n">
        <f aca="false">SUMIFS('Dados Mov Financeira'!$N:$N,'Dados Mov Financeira'!$O:$O,'DRE 2021'!$B91,'Dados Mov Financeira'!$A:$A,'DRE 2021'!G$1,'Dados Mov Financeira'!$B:$B,'DRE 2021'!G$2)</f>
        <v>0</v>
      </c>
      <c r="H91" s="91" t="n">
        <f aca="false">IFERROR(G91/G$5,0)</f>
        <v>0</v>
      </c>
      <c r="J91" s="75" t="n">
        <f aca="false">SUMIFS('Dados Mov Financeira'!$N:$N,'Dados Mov Financeira'!$O:$O,'DRE 2021'!$B91,'Dados Mov Financeira'!$A:$A,'DRE 2021'!J$1,'Dados Mov Financeira'!$B:$B,'DRE 2021'!J$2)</f>
        <v>0</v>
      </c>
      <c r="K91" s="91" t="n">
        <f aca="false">IFERROR(J91/J$5,0)</f>
        <v>0</v>
      </c>
      <c r="M91" s="75" t="n">
        <f aca="false">SUMIFS('Dados Mov Financeira'!$N:$N,'Dados Mov Financeira'!$O:$O,'DRE 2021'!$B91,'Dados Mov Financeira'!$A:$A,'DRE 2021'!M$1,'Dados Mov Financeira'!$B:$B,'DRE 2021'!M$2)</f>
        <v>0</v>
      </c>
      <c r="N91" s="91" t="n">
        <f aca="false">IFERROR(M91/M$5,0)</f>
        <v>0</v>
      </c>
      <c r="P91" s="75" t="n">
        <f aca="false">SUMIFS('Dados Mov Financeira'!$N:$N,'Dados Mov Financeira'!$O:$O,'DRE 2021'!$B91,'Dados Mov Financeira'!$A:$A,'DRE 2021'!P$1,'Dados Mov Financeira'!$B:$B,'DRE 2021'!P$2)</f>
        <v>0</v>
      </c>
      <c r="Q91" s="91" t="n">
        <f aca="false">IFERROR(P91/P$5,0)</f>
        <v>0</v>
      </c>
      <c r="S91" s="75" t="n">
        <f aca="false">SUMIFS('Dados Mov Financeira'!$N:$N,'Dados Mov Financeira'!$O:$O,'DRE 2021'!$B91,'Dados Mov Financeira'!$A:$A,'DRE 2021'!S$1,'Dados Mov Financeira'!$B:$B,'DRE 2021'!S$2)</f>
        <v>0</v>
      </c>
      <c r="T91" s="91" t="n">
        <f aca="false">IFERROR(S91/S$5,0)</f>
        <v>0</v>
      </c>
      <c r="V91" s="75" t="n">
        <f aca="false">SUMIFS('Dados Mov Financeira'!$N:$N,'Dados Mov Financeira'!$O:$O,'DRE 2021'!$B91,'Dados Mov Financeira'!$A:$A,'DRE 2021'!V$1,'Dados Mov Financeira'!$B:$B,'DRE 2021'!V$2)</f>
        <v>0</v>
      </c>
      <c r="W91" s="91" t="n">
        <f aca="false">IFERROR(V91/V$5,0)</f>
        <v>0</v>
      </c>
      <c r="Y91" s="75" t="n">
        <f aca="false">SUMIFS('Dados Mov Financeira'!$N:$N,'Dados Mov Financeira'!$O:$O,'DRE 2021'!$B91,'Dados Mov Financeira'!$A:$A,'DRE 2021'!Y$1,'Dados Mov Financeira'!$B:$B,'DRE 2021'!Y$2)</f>
        <v>0</v>
      </c>
      <c r="Z91" s="91" t="n">
        <f aca="false">IFERROR(Y91/Y$5,0)</f>
        <v>0</v>
      </c>
      <c r="AB91" s="75" t="n">
        <f aca="false">SUMIFS('Dados Mov Financeira'!$N:$N,'Dados Mov Financeira'!$O:$O,'DRE 2021'!$B91,'Dados Mov Financeira'!$A:$A,'DRE 2021'!AB$1,'Dados Mov Financeira'!$B:$B,'DRE 2021'!AB$2)</f>
        <v>0</v>
      </c>
      <c r="AC91" s="91" t="n">
        <f aca="false">IFERROR(AB91/AB$5,0)</f>
        <v>0</v>
      </c>
      <c r="AE91" s="75" t="n">
        <f aca="false">SUMIFS('Dados Mov Financeira'!$N:$N,'Dados Mov Financeira'!$O:$O,'DRE 2021'!$B91,'Dados Mov Financeira'!$A:$A,'DRE 2021'!AE$1,'Dados Mov Financeira'!$B:$B,'DRE 2021'!AE$2)</f>
        <v>0</v>
      </c>
      <c r="AF91" s="91" t="n">
        <f aca="false">IFERROR(AE91/AE$5,0)</f>
        <v>0</v>
      </c>
      <c r="AH91" s="75" t="n">
        <f aca="false">SUMIFS('Dados Mov Financeira'!$N:$N,'Dados Mov Financeira'!$O:$O,'DRE 2021'!$B91,'Dados Mov Financeira'!$A:$A,'DRE 2021'!AH$1,'Dados Mov Financeira'!$B:$B,'DRE 2021'!AH$2)</f>
        <v>0</v>
      </c>
      <c r="AI91" s="91" t="n">
        <f aca="false">IFERROR(AH91/AH$5,0)</f>
        <v>0</v>
      </c>
      <c r="AK91" s="75" t="n">
        <f aca="false">SUMIFS('Dados Mov Financeira'!$N:$N,'Dados Mov Financeira'!$O:$O,'DRE 2021'!$B91,'Dados Mov Financeira'!$A:$A,'DRE 2021'!AK$1,'Dados Mov Financeira'!$B:$B,'DRE 2021'!AK$2)</f>
        <v>0</v>
      </c>
      <c r="AL91" s="91" t="n">
        <f aca="false">IFERROR(AK91/AK$5,0)</f>
        <v>0</v>
      </c>
      <c r="AN91" s="92" t="n">
        <f aca="false">SUM(D91,G91,J91,M91,P91,S91,V91,Y91,AB91,AE91,AH91,AK91)</f>
        <v>0</v>
      </c>
      <c r="AO91" s="91" t="n">
        <f aca="false">IFERROR(AN91/AN$5,0)</f>
        <v>0</v>
      </c>
      <c r="AQ91" s="93" t="n">
        <f aca="false">AN91/$AR$1</f>
        <v>0</v>
      </c>
      <c r="AR91" s="94" t="n">
        <f aca="false">IFERROR(AQ91/AQ$5,0)</f>
        <v>0</v>
      </c>
    </row>
    <row r="92" customFormat="false" ht="14.25" hidden="true" customHeight="false" outlineLevel="1" collapsed="false">
      <c r="B92" s="89" t="s">
        <v>112</v>
      </c>
      <c r="D92" s="75" t="n">
        <f aca="false">SUMIFS('Dados Mov Financeira'!$N:$N,'Dados Mov Financeira'!$O:$O,'DRE 2021'!$B92,'Dados Mov Financeira'!$A:$A,'DRE 2021'!D$1,'Dados Mov Financeira'!$B:$B,'DRE 2021'!D$2)</f>
        <v>0</v>
      </c>
      <c r="E92" s="91" t="n">
        <f aca="false">IFERROR(D92/D$5,0)</f>
        <v>0</v>
      </c>
      <c r="G92" s="75" t="n">
        <f aca="false">SUMIFS('Dados Mov Financeira'!$N:$N,'Dados Mov Financeira'!$O:$O,'DRE 2021'!$B92,'Dados Mov Financeira'!$A:$A,'DRE 2021'!G$1,'Dados Mov Financeira'!$B:$B,'DRE 2021'!G$2)</f>
        <v>0</v>
      </c>
      <c r="H92" s="91" t="n">
        <f aca="false">IFERROR(G92/G$5,0)</f>
        <v>0</v>
      </c>
      <c r="J92" s="75" t="n">
        <f aca="false">SUMIFS('Dados Mov Financeira'!$N:$N,'Dados Mov Financeira'!$O:$O,'DRE 2021'!$B92,'Dados Mov Financeira'!$A:$A,'DRE 2021'!J$1,'Dados Mov Financeira'!$B:$B,'DRE 2021'!J$2)</f>
        <v>0</v>
      </c>
      <c r="K92" s="91" t="n">
        <f aca="false">IFERROR(J92/J$5,0)</f>
        <v>0</v>
      </c>
      <c r="M92" s="75" t="n">
        <f aca="false">SUMIFS('Dados Mov Financeira'!$N:$N,'Dados Mov Financeira'!$O:$O,'DRE 2021'!$B92,'Dados Mov Financeira'!$A:$A,'DRE 2021'!M$1,'Dados Mov Financeira'!$B:$B,'DRE 2021'!M$2)</f>
        <v>0</v>
      </c>
      <c r="N92" s="91" t="n">
        <f aca="false">IFERROR(M92/M$5,0)</f>
        <v>0</v>
      </c>
      <c r="P92" s="75" t="n">
        <f aca="false">SUMIFS('Dados Mov Financeira'!$N:$N,'Dados Mov Financeira'!$O:$O,'DRE 2021'!$B92,'Dados Mov Financeira'!$A:$A,'DRE 2021'!P$1,'Dados Mov Financeira'!$B:$B,'DRE 2021'!P$2)</f>
        <v>0</v>
      </c>
      <c r="Q92" s="91" t="n">
        <f aca="false">IFERROR(P92/P$5,0)</f>
        <v>0</v>
      </c>
      <c r="S92" s="75" t="n">
        <f aca="false">SUMIFS('Dados Mov Financeira'!$N:$N,'Dados Mov Financeira'!$O:$O,'DRE 2021'!$B92,'Dados Mov Financeira'!$A:$A,'DRE 2021'!S$1,'Dados Mov Financeira'!$B:$B,'DRE 2021'!S$2)</f>
        <v>0</v>
      </c>
      <c r="T92" s="91" t="n">
        <f aca="false">IFERROR(S92/S$5,0)</f>
        <v>0</v>
      </c>
      <c r="V92" s="75" t="n">
        <f aca="false">SUMIFS('Dados Mov Financeira'!$N:$N,'Dados Mov Financeira'!$O:$O,'DRE 2021'!$B92,'Dados Mov Financeira'!$A:$A,'DRE 2021'!V$1,'Dados Mov Financeira'!$B:$B,'DRE 2021'!V$2)</f>
        <v>0</v>
      </c>
      <c r="W92" s="91" t="n">
        <f aca="false">IFERROR(V92/V$5,0)</f>
        <v>0</v>
      </c>
      <c r="Y92" s="75" t="n">
        <f aca="false">SUMIFS('Dados Mov Financeira'!$N:$N,'Dados Mov Financeira'!$O:$O,'DRE 2021'!$B92,'Dados Mov Financeira'!$A:$A,'DRE 2021'!Y$1,'Dados Mov Financeira'!$B:$B,'DRE 2021'!Y$2)</f>
        <v>0</v>
      </c>
      <c r="Z92" s="91" t="n">
        <f aca="false">IFERROR(Y92/Y$5,0)</f>
        <v>0</v>
      </c>
      <c r="AB92" s="75" t="n">
        <f aca="false">SUMIFS('Dados Mov Financeira'!$N:$N,'Dados Mov Financeira'!$O:$O,'DRE 2021'!$B92,'Dados Mov Financeira'!$A:$A,'DRE 2021'!AB$1,'Dados Mov Financeira'!$B:$B,'DRE 2021'!AB$2)</f>
        <v>0</v>
      </c>
      <c r="AC92" s="91" t="n">
        <f aca="false">IFERROR(AB92/AB$5,0)</f>
        <v>0</v>
      </c>
      <c r="AE92" s="75" t="n">
        <f aca="false">SUMIFS('Dados Mov Financeira'!$N:$N,'Dados Mov Financeira'!$O:$O,'DRE 2021'!$B92,'Dados Mov Financeira'!$A:$A,'DRE 2021'!AE$1,'Dados Mov Financeira'!$B:$B,'DRE 2021'!AE$2)</f>
        <v>0</v>
      </c>
      <c r="AF92" s="91" t="n">
        <f aca="false">IFERROR(AE92/AE$5,0)</f>
        <v>0</v>
      </c>
      <c r="AH92" s="75" t="n">
        <f aca="false">SUMIFS('Dados Mov Financeira'!$N:$N,'Dados Mov Financeira'!$O:$O,'DRE 2021'!$B92,'Dados Mov Financeira'!$A:$A,'DRE 2021'!AH$1,'Dados Mov Financeira'!$B:$B,'DRE 2021'!AH$2)</f>
        <v>0</v>
      </c>
      <c r="AI92" s="91" t="n">
        <f aca="false">IFERROR(AH92/AH$5,0)</f>
        <v>0</v>
      </c>
      <c r="AK92" s="75" t="n">
        <f aca="false">SUMIFS('Dados Mov Financeira'!$N:$N,'Dados Mov Financeira'!$O:$O,'DRE 2021'!$B92,'Dados Mov Financeira'!$A:$A,'DRE 2021'!AK$1,'Dados Mov Financeira'!$B:$B,'DRE 2021'!AK$2)</f>
        <v>0</v>
      </c>
      <c r="AL92" s="91" t="n">
        <f aca="false">IFERROR(AK92/AK$5,0)</f>
        <v>0</v>
      </c>
      <c r="AN92" s="92" t="n">
        <f aca="false">SUM(D92,G92,J92,M92,P92,S92,V92,Y92,AB92,AE92,AH92,AK92)</f>
        <v>0</v>
      </c>
      <c r="AO92" s="91" t="n">
        <f aca="false">IFERROR(AN92/AN$5,0)</f>
        <v>0</v>
      </c>
      <c r="AQ92" s="93" t="n">
        <f aca="false">AN92/$AR$1</f>
        <v>0</v>
      </c>
      <c r="AR92" s="94" t="n">
        <f aca="false">IFERROR(AQ92/AQ$5,0)</f>
        <v>0</v>
      </c>
    </row>
    <row r="93" customFormat="false" ht="14.25" hidden="true" customHeight="false" outlineLevel="1" collapsed="false">
      <c r="B93" s="89" t="s">
        <v>113</v>
      </c>
      <c r="D93" s="75" t="n">
        <f aca="false">SUMIFS('Dados Mov Financeira'!$N:$N,'Dados Mov Financeira'!$O:$O,'DRE 2021'!$B93,'Dados Mov Financeira'!$A:$A,'DRE 2021'!D$1,'Dados Mov Financeira'!$B:$B,'DRE 2021'!D$2)</f>
        <v>0</v>
      </c>
      <c r="E93" s="91" t="n">
        <f aca="false">IFERROR(D93/D$5,0)</f>
        <v>0</v>
      </c>
      <c r="G93" s="75" t="n">
        <f aca="false">SUMIFS('Dados Mov Financeira'!$N:$N,'Dados Mov Financeira'!$O:$O,'DRE 2021'!$B93,'Dados Mov Financeira'!$A:$A,'DRE 2021'!G$1,'Dados Mov Financeira'!$B:$B,'DRE 2021'!G$2)</f>
        <v>0</v>
      </c>
      <c r="H93" s="91" t="n">
        <f aca="false">IFERROR(G93/G$5,0)</f>
        <v>0</v>
      </c>
      <c r="J93" s="75" t="n">
        <f aca="false">SUMIFS('Dados Mov Financeira'!$N:$N,'Dados Mov Financeira'!$O:$O,'DRE 2021'!$B93,'Dados Mov Financeira'!$A:$A,'DRE 2021'!J$1,'Dados Mov Financeira'!$B:$B,'DRE 2021'!J$2)</f>
        <v>0</v>
      </c>
      <c r="K93" s="91" t="n">
        <f aca="false">IFERROR(J93/J$5,0)</f>
        <v>0</v>
      </c>
      <c r="M93" s="75" t="n">
        <f aca="false">SUMIFS('Dados Mov Financeira'!$N:$N,'Dados Mov Financeira'!$O:$O,'DRE 2021'!$B93,'Dados Mov Financeira'!$A:$A,'DRE 2021'!M$1,'Dados Mov Financeira'!$B:$B,'DRE 2021'!M$2)</f>
        <v>0</v>
      </c>
      <c r="N93" s="91" t="n">
        <f aca="false">IFERROR(M93/M$5,0)</f>
        <v>0</v>
      </c>
      <c r="P93" s="75" t="n">
        <f aca="false">SUMIFS('Dados Mov Financeira'!$N:$N,'Dados Mov Financeira'!$O:$O,'DRE 2021'!$B93,'Dados Mov Financeira'!$A:$A,'DRE 2021'!P$1,'Dados Mov Financeira'!$B:$B,'DRE 2021'!P$2)</f>
        <v>0</v>
      </c>
      <c r="Q93" s="91" t="n">
        <f aca="false">IFERROR(P93/P$5,0)</f>
        <v>0</v>
      </c>
      <c r="S93" s="75" t="n">
        <f aca="false">SUMIFS('Dados Mov Financeira'!$N:$N,'Dados Mov Financeira'!$O:$O,'DRE 2021'!$B93,'Dados Mov Financeira'!$A:$A,'DRE 2021'!S$1,'Dados Mov Financeira'!$B:$B,'DRE 2021'!S$2)</f>
        <v>0</v>
      </c>
      <c r="T93" s="91" t="n">
        <f aca="false">IFERROR(S93/S$5,0)</f>
        <v>0</v>
      </c>
      <c r="V93" s="75" t="n">
        <f aca="false">SUMIFS('Dados Mov Financeira'!$N:$N,'Dados Mov Financeira'!$O:$O,'DRE 2021'!$B93,'Dados Mov Financeira'!$A:$A,'DRE 2021'!V$1,'Dados Mov Financeira'!$B:$B,'DRE 2021'!V$2)</f>
        <v>0</v>
      </c>
      <c r="W93" s="91" t="n">
        <f aca="false">IFERROR(V93/V$5,0)</f>
        <v>0</v>
      </c>
      <c r="Y93" s="75" t="n">
        <f aca="false">SUMIFS('Dados Mov Financeira'!$N:$N,'Dados Mov Financeira'!$O:$O,'DRE 2021'!$B93,'Dados Mov Financeira'!$A:$A,'DRE 2021'!Y$1,'Dados Mov Financeira'!$B:$B,'DRE 2021'!Y$2)</f>
        <v>0</v>
      </c>
      <c r="Z93" s="91" t="n">
        <f aca="false">IFERROR(Y93/Y$5,0)</f>
        <v>0</v>
      </c>
      <c r="AB93" s="75" t="n">
        <f aca="false">SUMIFS('Dados Mov Financeira'!$N:$N,'Dados Mov Financeira'!$O:$O,'DRE 2021'!$B93,'Dados Mov Financeira'!$A:$A,'DRE 2021'!AB$1,'Dados Mov Financeira'!$B:$B,'DRE 2021'!AB$2)</f>
        <v>0</v>
      </c>
      <c r="AC93" s="91" t="n">
        <f aca="false">IFERROR(AB93/AB$5,0)</f>
        <v>0</v>
      </c>
      <c r="AE93" s="75" t="n">
        <f aca="false">SUMIFS('Dados Mov Financeira'!$N:$N,'Dados Mov Financeira'!$O:$O,'DRE 2021'!$B93,'Dados Mov Financeira'!$A:$A,'DRE 2021'!AE$1,'Dados Mov Financeira'!$B:$B,'DRE 2021'!AE$2)</f>
        <v>0</v>
      </c>
      <c r="AF93" s="91" t="n">
        <f aca="false">IFERROR(AE93/AE$5,0)</f>
        <v>0</v>
      </c>
      <c r="AH93" s="75" t="n">
        <f aca="false">SUMIFS('Dados Mov Financeira'!$N:$N,'Dados Mov Financeira'!$O:$O,'DRE 2021'!$B93,'Dados Mov Financeira'!$A:$A,'DRE 2021'!AH$1,'Dados Mov Financeira'!$B:$B,'DRE 2021'!AH$2)</f>
        <v>0</v>
      </c>
      <c r="AI93" s="91" t="n">
        <f aca="false">IFERROR(AH93/AH$5,0)</f>
        <v>0</v>
      </c>
      <c r="AK93" s="75" t="n">
        <f aca="false">SUMIFS('Dados Mov Financeira'!$N:$N,'Dados Mov Financeira'!$O:$O,'DRE 2021'!$B93,'Dados Mov Financeira'!$A:$A,'DRE 2021'!AK$1,'Dados Mov Financeira'!$B:$B,'DRE 2021'!AK$2)</f>
        <v>0</v>
      </c>
      <c r="AL93" s="91" t="n">
        <f aca="false">IFERROR(AK93/AK$5,0)</f>
        <v>0</v>
      </c>
      <c r="AN93" s="92" t="n">
        <f aca="false">SUM(D93,G93,J93,M93,P93,S93,V93,Y93,AB93,AE93,AH93,AK93)</f>
        <v>0</v>
      </c>
      <c r="AO93" s="91" t="n">
        <f aca="false">IFERROR(AN93/AN$5,0)</f>
        <v>0</v>
      </c>
      <c r="AQ93" s="93" t="n">
        <f aca="false">AN93/$AR$1</f>
        <v>0</v>
      </c>
      <c r="AR93" s="94" t="n">
        <f aca="false">IFERROR(AQ93/AQ$5,0)</f>
        <v>0</v>
      </c>
    </row>
    <row r="94" customFormat="false" ht="14.25" hidden="true" customHeight="false" outlineLevel="1" collapsed="false">
      <c r="B94" s="89" t="s">
        <v>114</v>
      </c>
      <c r="D94" s="75" t="n">
        <f aca="false">SUMIFS('Dados Mov Financeira'!$N:$N,'Dados Mov Financeira'!$O:$O,'DRE 2021'!$B94,'Dados Mov Financeira'!$A:$A,'DRE 2021'!D$1,'Dados Mov Financeira'!$B:$B,'DRE 2021'!D$2)</f>
        <v>0</v>
      </c>
      <c r="E94" s="91" t="n">
        <f aca="false">IFERROR(D94/D$5,0)</f>
        <v>0</v>
      </c>
      <c r="G94" s="75" t="n">
        <f aca="false">SUMIFS('Dados Mov Financeira'!$N:$N,'Dados Mov Financeira'!$O:$O,'DRE 2021'!$B94,'Dados Mov Financeira'!$A:$A,'DRE 2021'!G$1,'Dados Mov Financeira'!$B:$B,'DRE 2021'!G$2)</f>
        <v>0</v>
      </c>
      <c r="H94" s="91" t="n">
        <f aca="false">IFERROR(G94/G$5,0)</f>
        <v>0</v>
      </c>
      <c r="J94" s="75" t="n">
        <f aca="false">SUMIFS('Dados Mov Financeira'!$N:$N,'Dados Mov Financeira'!$O:$O,'DRE 2021'!$B94,'Dados Mov Financeira'!$A:$A,'DRE 2021'!J$1,'Dados Mov Financeira'!$B:$B,'DRE 2021'!J$2)</f>
        <v>0</v>
      </c>
      <c r="K94" s="91" t="n">
        <f aca="false">IFERROR(J94/J$5,0)</f>
        <v>0</v>
      </c>
      <c r="M94" s="75" t="n">
        <f aca="false">SUMIFS('Dados Mov Financeira'!$N:$N,'Dados Mov Financeira'!$O:$O,'DRE 2021'!$B94,'Dados Mov Financeira'!$A:$A,'DRE 2021'!M$1,'Dados Mov Financeira'!$B:$B,'DRE 2021'!M$2)</f>
        <v>0</v>
      </c>
      <c r="N94" s="91" t="n">
        <f aca="false">IFERROR(M94/M$5,0)</f>
        <v>0</v>
      </c>
      <c r="P94" s="75" t="n">
        <f aca="false">SUMIFS('Dados Mov Financeira'!$N:$N,'Dados Mov Financeira'!$O:$O,'DRE 2021'!$B94,'Dados Mov Financeira'!$A:$A,'DRE 2021'!P$1,'Dados Mov Financeira'!$B:$B,'DRE 2021'!P$2)</f>
        <v>0</v>
      </c>
      <c r="Q94" s="91" t="n">
        <f aca="false">IFERROR(P94/P$5,0)</f>
        <v>0</v>
      </c>
      <c r="S94" s="75" t="n">
        <f aca="false">SUMIFS('Dados Mov Financeira'!$N:$N,'Dados Mov Financeira'!$O:$O,'DRE 2021'!$B94,'Dados Mov Financeira'!$A:$A,'DRE 2021'!S$1,'Dados Mov Financeira'!$B:$B,'DRE 2021'!S$2)</f>
        <v>0</v>
      </c>
      <c r="T94" s="91" t="n">
        <f aca="false">IFERROR(S94/S$5,0)</f>
        <v>0</v>
      </c>
      <c r="V94" s="75" t="n">
        <f aca="false">SUMIFS('Dados Mov Financeira'!$N:$N,'Dados Mov Financeira'!$O:$O,'DRE 2021'!$B94,'Dados Mov Financeira'!$A:$A,'DRE 2021'!V$1,'Dados Mov Financeira'!$B:$B,'DRE 2021'!V$2)</f>
        <v>0</v>
      </c>
      <c r="W94" s="91" t="n">
        <f aca="false">IFERROR(V94/V$5,0)</f>
        <v>0</v>
      </c>
      <c r="Y94" s="75" t="n">
        <f aca="false">SUMIFS('Dados Mov Financeira'!$N:$N,'Dados Mov Financeira'!$O:$O,'DRE 2021'!$B94,'Dados Mov Financeira'!$A:$A,'DRE 2021'!Y$1,'Dados Mov Financeira'!$B:$B,'DRE 2021'!Y$2)</f>
        <v>0</v>
      </c>
      <c r="Z94" s="91" t="n">
        <f aca="false">IFERROR(Y94/Y$5,0)</f>
        <v>0</v>
      </c>
      <c r="AB94" s="75" t="n">
        <f aca="false">SUMIFS('Dados Mov Financeira'!$N:$N,'Dados Mov Financeira'!$O:$O,'DRE 2021'!$B94,'Dados Mov Financeira'!$A:$A,'DRE 2021'!AB$1,'Dados Mov Financeira'!$B:$B,'DRE 2021'!AB$2)</f>
        <v>0</v>
      </c>
      <c r="AC94" s="91" t="n">
        <f aca="false">IFERROR(AB94/AB$5,0)</f>
        <v>0</v>
      </c>
      <c r="AE94" s="75" t="n">
        <f aca="false">SUMIFS('Dados Mov Financeira'!$N:$N,'Dados Mov Financeira'!$O:$O,'DRE 2021'!$B94,'Dados Mov Financeira'!$A:$A,'DRE 2021'!AE$1,'Dados Mov Financeira'!$B:$B,'DRE 2021'!AE$2)</f>
        <v>0</v>
      </c>
      <c r="AF94" s="91" t="n">
        <f aca="false">IFERROR(AE94/AE$5,0)</f>
        <v>0</v>
      </c>
      <c r="AH94" s="75" t="n">
        <f aca="false">SUMIFS('Dados Mov Financeira'!$N:$N,'Dados Mov Financeira'!$O:$O,'DRE 2021'!$B94,'Dados Mov Financeira'!$A:$A,'DRE 2021'!AH$1,'Dados Mov Financeira'!$B:$B,'DRE 2021'!AH$2)</f>
        <v>0</v>
      </c>
      <c r="AI94" s="91" t="n">
        <f aca="false">IFERROR(AH94/AH$5,0)</f>
        <v>0</v>
      </c>
      <c r="AK94" s="75" t="n">
        <f aca="false">SUMIFS('Dados Mov Financeira'!$N:$N,'Dados Mov Financeira'!$O:$O,'DRE 2021'!$B94,'Dados Mov Financeira'!$A:$A,'DRE 2021'!AK$1,'Dados Mov Financeira'!$B:$B,'DRE 2021'!AK$2)</f>
        <v>0</v>
      </c>
      <c r="AL94" s="91" t="n">
        <f aca="false">IFERROR(AK94/AK$5,0)</f>
        <v>0</v>
      </c>
      <c r="AN94" s="92" t="n">
        <f aca="false">SUM(D94,G94,J94,M94,P94,S94,V94,Y94,AB94,AE94,AH94,AK94)</f>
        <v>0</v>
      </c>
      <c r="AO94" s="91" t="n">
        <f aca="false">IFERROR(AN94/AN$5,0)</f>
        <v>0</v>
      </c>
      <c r="AQ94" s="93" t="n">
        <f aca="false">AN94/$AR$1</f>
        <v>0</v>
      </c>
      <c r="AR94" s="94" t="n">
        <f aca="false">IFERROR(AQ94/AQ$5,0)</f>
        <v>0</v>
      </c>
    </row>
    <row r="95" customFormat="false" ht="14.25" hidden="true" customHeight="false" outlineLevel="1" collapsed="false">
      <c r="B95" s="89" t="s">
        <v>115</v>
      </c>
      <c r="D95" s="75" t="n">
        <f aca="false">SUMIFS('Dados Mov Financeira'!$N:$N,'Dados Mov Financeira'!$O:$O,'DRE 2021'!$B95,'Dados Mov Financeira'!$A:$A,'DRE 2021'!D$1,'Dados Mov Financeira'!$B:$B,'DRE 2021'!D$2)</f>
        <v>0</v>
      </c>
      <c r="E95" s="91" t="n">
        <f aca="false">IFERROR(D95/D$5,0)</f>
        <v>0</v>
      </c>
      <c r="G95" s="75" t="n">
        <f aca="false">SUMIFS('Dados Mov Financeira'!$N:$N,'Dados Mov Financeira'!$O:$O,'DRE 2021'!$B95,'Dados Mov Financeira'!$A:$A,'DRE 2021'!G$1,'Dados Mov Financeira'!$B:$B,'DRE 2021'!G$2)</f>
        <v>0</v>
      </c>
      <c r="H95" s="91" t="n">
        <f aca="false">IFERROR(G95/G$5,0)</f>
        <v>0</v>
      </c>
      <c r="J95" s="75" t="n">
        <f aca="false">SUMIFS('Dados Mov Financeira'!$N:$N,'Dados Mov Financeira'!$O:$O,'DRE 2021'!$B95,'Dados Mov Financeira'!$A:$A,'DRE 2021'!J$1,'Dados Mov Financeira'!$B:$B,'DRE 2021'!J$2)</f>
        <v>0</v>
      </c>
      <c r="K95" s="91" t="n">
        <f aca="false">IFERROR(J95/J$5,0)</f>
        <v>0</v>
      </c>
      <c r="M95" s="99" t="n">
        <f aca="false">SUMIFS('Dados Mov Financeira'!$N:$N,'Dados Mov Financeira'!$O:$O,'DRE 2021'!$B95,'Dados Mov Financeira'!$A:$A,'DRE 2021'!M$1,'Dados Mov Financeira'!$B:$B,'DRE 2021'!M$2)</f>
        <v>0</v>
      </c>
      <c r="N95" s="91" t="n">
        <f aca="false">IFERROR(M95/M$5,0)</f>
        <v>0</v>
      </c>
      <c r="P95" s="75" t="n">
        <f aca="false">SUMIFS('Dados Mov Financeira'!$N:$N,'Dados Mov Financeira'!$O:$O,'DRE 2021'!$B95,'Dados Mov Financeira'!$A:$A,'DRE 2021'!P$1,'Dados Mov Financeira'!$B:$B,'DRE 2021'!P$2)</f>
        <v>0</v>
      </c>
      <c r="Q95" s="91" t="n">
        <f aca="false">IFERROR(P95/P$5,0)</f>
        <v>0</v>
      </c>
      <c r="S95" s="75" t="n">
        <f aca="false">SUMIFS('Dados Mov Financeira'!$N:$N,'Dados Mov Financeira'!$O:$O,'DRE 2021'!$B95,'Dados Mov Financeira'!$A:$A,'DRE 2021'!S$1,'Dados Mov Financeira'!$B:$B,'DRE 2021'!S$2)</f>
        <v>0</v>
      </c>
      <c r="T95" s="91" t="n">
        <f aca="false">IFERROR(S95/S$5,0)</f>
        <v>0</v>
      </c>
      <c r="V95" s="75" t="n">
        <f aca="false">SUMIFS('Dados Mov Financeira'!$N:$N,'Dados Mov Financeira'!$O:$O,'DRE 2021'!$B95,'Dados Mov Financeira'!$A:$A,'DRE 2021'!V$1,'Dados Mov Financeira'!$B:$B,'DRE 2021'!V$2)</f>
        <v>0</v>
      </c>
      <c r="W95" s="91" t="n">
        <f aca="false">IFERROR(V95/V$5,0)</f>
        <v>0</v>
      </c>
      <c r="Y95" s="75" t="n">
        <f aca="false">SUMIFS('Dados Mov Financeira'!$N:$N,'Dados Mov Financeira'!$O:$O,'DRE 2021'!$B95,'Dados Mov Financeira'!$A:$A,'DRE 2021'!Y$1,'Dados Mov Financeira'!$B:$B,'DRE 2021'!Y$2)</f>
        <v>0</v>
      </c>
      <c r="Z95" s="91" t="n">
        <f aca="false">IFERROR(Y95/Y$5,0)</f>
        <v>0</v>
      </c>
      <c r="AB95" s="75" t="n">
        <f aca="false">SUMIFS('Dados Mov Financeira'!$N:$N,'Dados Mov Financeira'!$O:$O,'DRE 2021'!$B95,'Dados Mov Financeira'!$A:$A,'DRE 2021'!AB$1,'Dados Mov Financeira'!$B:$B,'DRE 2021'!AB$2)</f>
        <v>0</v>
      </c>
      <c r="AC95" s="91" t="n">
        <f aca="false">IFERROR(AB95/AB$5,0)</f>
        <v>0</v>
      </c>
      <c r="AE95" s="75" t="n">
        <f aca="false">SUMIFS('Dados Mov Financeira'!$N:$N,'Dados Mov Financeira'!$O:$O,'DRE 2021'!$B95,'Dados Mov Financeira'!$A:$A,'DRE 2021'!AE$1,'Dados Mov Financeira'!$B:$B,'DRE 2021'!AE$2)</f>
        <v>0</v>
      </c>
      <c r="AF95" s="91" t="n">
        <f aca="false">IFERROR(AE95/AE$5,0)</f>
        <v>0</v>
      </c>
      <c r="AH95" s="75" t="n">
        <f aca="false">SUMIFS('Dados Mov Financeira'!$N:$N,'Dados Mov Financeira'!$O:$O,'DRE 2021'!$B95,'Dados Mov Financeira'!$A:$A,'DRE 2021'!AH$1,'Dados Mov Financeira'!$B:$B,'DRE 2021'!AH$2)</f>
        <v>0</v>
      </c>
      <c r="AI95" s="91" t="n">
        <f aca="false">IFERROR(AH95/AH$5,0)</f>
        <v>0</v>
      </c>
      <c r="AK95" s="75" t="n">
        <f aca="false">SUMIFS('Dados Mov Financeira'!$N:$N,'Dados Mov Financeira'!$O:$O,'DRE 2021'!$B95,'Dados Mov Financeira'!$A:$A,'DRE 2021'!AK$1,'Dados Mov Financeira'!$B:$B,'DRE 2021'!AK$2)</f>
        <v>0</v>
      </c>
      <c r="AL95" s="91" t="n">
        <f aca="false">IFERROR(AK95/AK$5,0)</f>
        <v>0</v>
      </c>
      <c r="AN95" s="92" t="n">
        <f aca="false">SUM(D95,G95,J95,M95,P95,S95,V95,Y95,AB95,AE95,AH95,AK95)</f>
        <v>0</v>
      </c>
      <c r="AO95" s="91" t="n">
        <f aca="false">IFERROR(AN95/AN$5,0)</f>
        <v>0</v>
      </c>
      <c r="AQ95" s="93" t="n">
        <f aca="false">AN95/$AR$1</f>
        <v>0</v>
      </c>
      <c r="AR95" s="94" t="n">
        <f aca="false">IFERROR(AQ95/AQ$5,0)</f>
        <v>0</v>
      </c>
    </row>
    <row r="96" s="63" customFormat="true" ht="14.25" hidden="false" customHeight="false" outlineLevel="0" collapsed="false">
      <c r="B96" s="106" t="s">
        <v>116</v>
      </c>
      <c r="C96" s="100"/>
      <c r="D96" s="75" t="n">
        <f aca="false">SUM(D97:D100)</f>
        <v>0</v>
      </c>
      <c r="E96" s="88" t="n">
        <f aca="false">IFERROR(D96/D$5,0)</f>
        <v>0</v>
      </c>
      <c r="F96" s="100"/>
      <c r="G96" s="75" t="n">
        <f aca="false">SUM(G97:G100)</f>
        <v>0</v>
      </c>
      <c r="H96" s="88" t="n">
        <f aca="false">IFERROR(G96/G$5,0)</f>
        <v>0</v>
      </c>
      <c r="I96" s="100"/>
      <c r="J96" s="75" t="n">
        <f aca="false">SUM(J97:J100)</f>
        <v>0</v>
      </c>
      <c r="K96" s="88" t="n">
        <f aca="false">IFERROR(J96/J$5,0)</f>
        <v>0</v>
      </c>
      <c r="L96" s="100"/>
      <c r="M96" s="75" t="n">
        <f aca="false">SUM(M97:M100)</f>
        <v>0</v>
      </c>
      <c r="N96" s="88" t="n">
        <f aca="false">IFERROR(M96/M$5,0)</f>
        <v>0</v>
      </c>
      <c r="O96" s="100"/>
      <c r="P96" s="75" t="n">
        <f aca="false">SUM(P97:P100)</f>
        <v>0</v>
      </c>
      <c r="Q96" s="88" t="n">
        <f aca="false">IFERROR(P96/P$5,0)</f>
        <v>0</v>
      </c>
      <c r="R96" s="100"/>
      <c r="S96" s="75" t="n">
        <f aca="false">SUM(S97:S100)</f>
        <v>0</v>
      </c>
      <c r="T96" s="88" t="n">
        <f aca="false">IFERROR(S96/S$5,0)</f>
        <v>0</v>
      </c>
      <c r="U96" s="100"/>
      <c r="V96" s="75" t="n">
        <f aca="false">SUM(V97:V100)</f>
        <v>0</v>
      </c>
      <c r="W96" s="88" t="n">
        <f aca="false">IFERROR(V96/V$5,0)</f>
        <v>0</v>
      </c>
      <c r="X96" s="100"/>
      <c r="Y96" s="75" t="n">
        <f aca="false">SUM(Y97:Y100)</f>
        <v>0</v>
      </c>
      <c r="Z96" s="88" t="n">
        <f aca="false">IFERROR(Y96/Y$5,0)</f>
        <v>0</v>
      </c>
      <c r="AA96" s="100"/>
      <c r="AB96" s="75" t="n">
        <f aca="false">SUM(AB97:AB100)</f>
        <v>0</v>
      </c>
      <c r="AC96" s="88" t="n">
        <f aca="false">IFERROR(AB96/AB$5,0)</f>
        <v>0</v>
      </c>
      <c r="AD96" s="100"/>
      <c r="AE96" s="75" t="n">
        <f aca="false">SUM(AE97:AE100)</f>
        <v>0</v>
      </c>
      <c r="AF96" s="88" t="n">
        <f aca="false">IFERROR(AE96/AE$5,0)</f>
        <v>0</v>
      </c>
      <c r="AG96" s="100"/>
      <c r="AH96" s="75" t="n">
        <f aca="false">SUM(AH97:AH100)</f>
        <v>0</v>
      </c>
      <c r="AI96" s="88" t="n">
        <f aca="false">IFERROR(AH96/AH$5,0)</f>
        <v>0</v>
      </c>
      <c r="AJ96" s="100"/>
      <c r="AK96" s="75" t="n">
        <f aca="false">SUM(AK97:AK100)</f>
        <v>0</v>
      </c>
      <c r="AL96" s="88" t="n">
        <f aca="false">IFERROR(AK96/AK$5,0)</f>
        <v>0</v>
      </c>
      <c r="AM96" s="100"/>
      <c r="AN96" s="75" t="n">
        <f aca="false">SUM(D96,G96,J96,M96,P96,S96,V96,Y96,AB96,AE96,AH96,AK96)</f>
        <v>0</v>
      </c>
      <c r="AO96" s="88" t="n">
        <f aca="false">IFERROR(AN96/AN$5,0)</f>
        <v>0</v>
      </c>
      <c r="AP96" s="100"/>
      <c r="AQ96" s="77" t="n">
        <f aca="false">AN96/$AR$1</f>
        <v>0</v>
      </c>
      <c r="AR96" s="76" t="n">
        <f aca="false">IFERROR(AQ96/AQ$5,0)</f>
        <v>0</v>
      </c>
      <c r="AS96" s="100"/>
    </row>
    <row r="97" customFormat="false" ht="14.25" hidden="false" customHeight="false" outlineLevel="1" collapsed="false">
      <c r="B97" s="89" t="s">
        <v>117</v>
      </c>
      <c r="C97" s="96"/>
      <c r="D97" s="75" t="n">
        <f aca="false">SUMIFS('Dados Mov Financeira'!$N:$N,'Dados Mov Financeira'!$O:$O,'DRE 2021'!$B97,'Dados Mov Financeira'!$A:$A,'DRE 2021'!D$1,'Dados Mov Financeira'!$B:$B,'DRE 2021'!D$2)</f>
        <v>0</v>
      </c>
      <c r="E97" s="91" t="n">
        <f aca="false">IFERROR(D97/D$5,0)</f>
        <v>0</v>
      </c>
      <c r="F97" s="96"/>
      <c r="G97" s="75" t="n">
        <f aca="false">SUMIFS('Dados Mov Financeira'!$N:$N,'Dados Mov Financeira'!$O:$O,'DRE 2021'!$B97,'Dados Mov Financeira'!$A:$A,'DRE 2021'!G$1,'Dados Mov Financeira'!$B:$B,'DRE 2021'!G$2)</f>
        <v>0</v>
      </c>
      <c r="H97" s="91" t="n">
        <f aca="false">IFERROR(G97/G$5,0)</f>
        <v>0</v>
      </c>
      <c r="I97" s="96"/>
      <c r="J97" s="75" t="n">
        <f aca="false">SUMIFS('Dados Mov Financeira'!$N:$N,'Dados Mov Financeira'!$O:$O,'DRE 2021'!$B97,'Dados Mov Financeira'!$A:$A,'DRE 2021'!J$1,'Dados Mov Financeira'!$B:$B,'DRE 2021'!J$2)</f>
        <v>0</v>
      </c>
      <c r="K97" s="91" t="n">
        <f aca="false">IFERROR(J97/J$5,0)</f>
        <v>0</v>
      </c>
      <c r="L97" s="96"/>
      <c r="M97" s="75" t="n">
        <f aca="false">SUMIFS('Dados Mov Financeira'!$N:$N,'Dados Mov Financeira'!$O:$O,'DRE 2021'!$B97,'Dados Mov Financeira'!$A:$A,'DRE 2021'!M$1,'Dados Mov Financeira'!$B:$B,'DRE 2021'!M$2)</f>
        <v>0</v>
      </c>
      <c r="N97" s="91" t="n">
        <f aca="false">IFERROR(M97/M$5,0)</f>
        <v>0</v>
      </c>
      <c r="O97" s="96"/>
      <c r="P97" s="75" t="n">
        <f aca="false">SUMIFS('Dados Mov Financeira'!$N:$N,'Dados Mov Financeira'!$O:$O,'DRE 2021'!$B97,'Dados Mov Financeira'!$A:$A,'DRE 2021'!P$1,'Dados Mov Financeira'!$B:$B,'DRE 2021'!P$2)</f>
        <v>0</v>
      </c>
      <c r="Q97" s="91" t="n">
        <f aca="false">IFERROR(P97/P$5,0)</f>
        <v>0</v>
      </c>
      <c r="R97" s="96"/>
      <c r="S97" s="75" t="n">
        <f aca="false">SUMIFS('Dados Mov Financeira'!$N:$N,'Dados Mov Financeira'!$O:$O,'DRE 2021'!$B97,'Dados Mov Financeira'!$A:$A,'DRE 2021'!S$1,'Dados Mov Financeira'!$B:$B,'DRE 2021'!S$2)</f>
        <v>0</v>
      </c>
      <c r="T97" s="91" t="n">
        <f aca="false">IFERROR(S97/S$5,0)</f>
        <v>0</v>
      </c>
      <c r="U97" s="96"/>
      <c r="V97" s="75" t="n">
        <f aca="false">SUMIFS('Dados Mov Financeira'!$N:$N,'Dados Mov Financeira'!$O:$O,'DRE 2021'!$B97,'Dados Mov Financeira'!$A:$A,'DRE 2021'!V$1,'Dados Mov Financeira'!$B:$B,'DRE 2021'!V$2)</f>
        <v>0</v>
      </c>
      <c r="W97" s="91" t="n">
        <f aca="false">IFERROR(V97/V$5,0)</f>
        <v>0</v>
      </c>
      <c r="X97" s="96"/>
      <c r="Y97" s="75" t="n">
        <f aca="false">SUMIFS('Dados Mov Financeira'!$N:$N,'Dados Mov Financeira'!$O:$O,'DRE 2021'!$B97,'Dados Mov Financeira'!$A:$A,'DRE 2021'!Y$1,'Dados Mov Financeira'!$B:$B,'DRE 2021'!Y$2)</f>
        <v>0</v>
      </c>
      <c r="Z97" s="91" t="n">
        <f aca="false">IFERROR(Y97/Y$5,0)</f>
        <v>0</v>
      </c>
      <c r="AA97" s="96"/>
      <c r="AB97" s="75" t="n">
        <f aca="false">SUMIFS('Dados Mov Financeira'!$N:$N,'Dados Mov Financeira'!$O:$O,'DRE 2021'!$B97,'Dados Mov Financeira'!$A:$A,'DRE 2021'!AB$1,'Dados Mov Financeira'!$B:$B,'DRE 2021'!AB$2)</f>
        <v>0</v>
      </c>
      <c r="AC97" s="91" t="n">
        <f aca="false">IFERROR(AB97/AB$5,0)</f>
        <v>0</v>
      </c>
      <c r="AD97" s="96"/>
      <c r="AE97" s="75" t="n">
        <f aca="false">SUMIFS('Dados Mov Financeira'!$N:$N,'Dados Mov Financeira'!$O:$O,'DRE 2021'!$B97,'Dados Mov Financeira'!$A:$A,'DRE 2021'!AE$1,'Dados Mov Financeira'!$B:$B,'DRE 2021'!AE$2)</f>
        <v>0</v>
      </c>
      <c r="AF97" s="91" t="n">
        <f aca="false">IFERROR(AE97/AE$5,0)</f>
        <v>0</v>
      </c>
      <c r="AG97" s="96"/>
      <c r="AH97" s="75" t="n">
        <f aca="false">SUMIFS('Dados Mov Financeira'!$N:$N,'Dados Mov Financeira'!$O:$O,'DRE 2021'!$B97,'Dados Mov Financeira'!$A:$A,'DRE 2021'!AH$1,'Dados Mov Financeira'!$B:$B,'DRE 2021'!AH$2)</f>
        <v>0</v>
      </c>
      <c r="AI97" s="91" t="n">
        <f aca="false">IFERROR(AH97/AH$5,0)</f>
        <v>0</v>
      </c>
      <c r="AJ97" s="96"/>
      <c r="AK97" s="75" t="n">
        <f aca="false">SUMIFS('Dados Mov Financeira'!$N:$N,'Dados Mov Financeira'!$O:$O,'DRE 2021'!$B97,'Dados Mov Financeira'!$A:$A,'DRE 2021'!AK$1,'Dados Mov Financeira'!$B:$B,'DRE 2021'!AK$2)</f>
        <v>0</v>
      </c>
      <c r="AL97" s="91" t="n">
        <f aca="false">IFERROR(AK97/AK$5,0)</f>
        <v>0</v>
      </c>
      <c r="AM97" s="96"/>
      <c r="AN97" s="92" t="n">
        <f aca="false">SUM(D97,G97,J97,M97,P97,S97,V97,Y97,AB97,AE97,AH97,AK97)</f>
        <v>0</v>
      </c>
      <c r="AO97" s="91" t="n">
        <f aca="false">IFERROR(AN97/AN$5,0)</f>
        <v>0</v>
      </c>
      <c r="AP97" s="96"/>
      <c r="AQ97" s="93" t="n">
        <f aca="false">AN97/$AR$1</f>
        <v>0</v>
      </c>
      <c r="AR97" s="94" t="n">
        <f aca="false">IFERROR(AQ97/AQ$5,0)</f>
        <v>0</v>
      </c>
      <c r="AS97" s="96"/>
    </row>
    <row r="98" customFormat="false" ht="14.25" hidden="false" customHeight="false" outlineLevel="1" collapsed="false">
      <c r="B98" s="89" t="s">
        <v>118</v>
      </c>
      <c r="C98" s="96"/>
      <c r="D98" s="75" t="n">
        <f aca="false">SUMIFS('Dados Mov Financeira'!$N:$N,'Dados Mov Financeira'!$O:$O,'DRE 2021'!$B98,'Dados Mov Financeira'!$A:$A,'DRE 2021'!D$1,'Dados Mov Financeira'!$B:$B,'DRE 2021'!D$2)</f>
        <v>0</v>
      </c>
      <c r="E98" s="91" t="n">
        <f aca="false">IFERROR(D98/D$5,0)</f>
        <v>0</v>
      </c>
      <c r="F98" s="96"/>
      <c r="G98" s="75" t="n">
        <f aca="false">SUMIFS('Dados Mov Financeira'!$N:$N,'Dados Mov Financeira'!$O:$O,'DRE 2021'!$B98,'Dados Mov Financeira'!$A:$A,'DRE 2021'!G$1,'Dados Mov Financeira'!$B:$B,'DRE 2021'!G$2)</f>
        <v>0</v>
      </c>
      <c r="H98" s="91" t="n">
        <f aca="false">IFERROR(G98/G$5,0)</f>
        <v>0</v>
      </c>
      <c r="I98" s="96"/>
      <c r="J98" s="75" t="n">
        <f aca="false">SUMIFS('Dados Mov Financeira'!$N:$N,'Dados Mov Financeira'!$O:$O,'DRE 2021'!$B98,'Dados Mov Financeira'!$A:$A,'DRE 2021'!J$1,'Dados Mov Financeira'!$B:$B,'DRE 2021'!J$2)</f>
        <v>0</v>
      </c>
      <c r="K98" s="91" t="n">
        <f aca="false">IFERROR(J98/J$5,0)</f>
        <v>0</v>
      </c>
      <c r="L98" s="96"/>
      <c r="M98" s="75" t="n">
        <f aca="false">SUMIFS('Dados Mov Financeira'!$N:$N,'Dados Mov Financeira'!$O:$O,'DRE 2021'!$B98,'Dados Mov Financeira'!$A:$A,'DRE 2021'!M$1,'Dados Mov Financeira'!$B:$B,'DRE 2021'!M$2)</f>
        <v>0</v>
      </c>
      <c r="N98" s="91" t="n">
        <f aca="false">IFERROR(M98/M$5,0)</f>
        <v>0</v>
      </c>
      <c r="O98" s="96"/>
      <c r="P98" s="75" t="n">
        <f aca="false">SUMIFS('Dados Mov Financeira'!$N:$N,'Dados Mov Financeira'!$O:$O,'DRE 2021'!$B98,'Dados Mov Financeira'!$A:$A,'DRE 2021'!P$1,'Dados Mov Financeira'!$B:$B,'DRE 2021'!P$2)</f>
        <v>0</v>
      </c>
      <c r="Q98" s="91" t="n">
        <f aca="false">IFERROR(P98/P$5,0)</f>
        <v>0</v>
      </c>
      <c r="R98" s="96"/>
      <c r="S98" s="75" t="n">
        <f aca="false">SUMIFS('Dados Mov Financeira'!$N:$N,'Dados Mov Financeira'!$O:$O,'DRE 2021'!$B98,'Dados Mov Financeira'!$A:$A,'DRE 2021'!S$1,'Dados Mov Financeira'!$B:$B,'DRE 2021'!S$2)</f>
        <v>0</v>
      </c>
      <c r="T98" s="91" t="n">
        <f aca="false">IFERROR(S98/S$5,0)</f>
        <v>0</v>
      </c>
      <c r="U98" s="96"/>
      <c r="V98" s="75" t="n">
        <f aca="false">SUMIFS('Dados Mov Financeira'!$N:$N,'Dados Mov Financeira'!$O:$O,'DRE 2021'!$B98,'Dados Mov Financeira'!$A:$A,'DRE 2021'!V$1,'Dados Mov Financeira'!$B:$B,'DRE 2021'!V$2)</f>
        <v>0</v>
      </c>
      <c r="W98" s="91" t="n">
        <f aca="false">IFERROR(V98/V$5,0)</f>
        <v>0</v>
      </c>
      <c r="X98" s="96"/>
      <c r="Y98" s="75" t="n">
        <f aca="false">SUMIFS('Dados Mov Financeira'!$N:$N,'Dados Mov Financeira'!$O:$O,'DRE 2021'!$B98,'Dados Mov Financeira'!$A:$A,'DRE 2021'!Y$1,'Dados Mov Financeira'!$B:$B,'DRE 2021'!Y$2)</f>
        <v>0</v>
      </c>
      <c r="Z98" s="91" t="n">
        <f aca="false">IFERROR(Y98/Y$5,0)</f>
        <v>0</v>
      </c>
      <c r="AA98" s="96"/>
      <c r="AB98" s="75" t="n">
        <f aca="false">SUMIFS('Dados Mov Financeira'!$N:$N,'Dados Mov Financeira'!$O:$O,'DRE 2021'!$B98,'Dados Mov Financeira'!$A:$A,'DRE 2021'!AB$1,'Dados Mov Financeira'!$B:$B,'DRE 2021'!AB$2)</f>
        <v>0</v>
      </c>
      <c r="AC98" s="91" t="n">
        <f aca="false">IFERROR(AB98/AB$5,0)</f>
        <v>0</v>
      </c>
      <c r="AD98" s="96"/>
      <c r="AE98" s="75" t="n">
        <f aca="false">SUMIFS('Dados Mov Financeira'!$N:$N,'Dados Mov Financeira'!$O:$O,'DRE 2021'!$B98,'Dados Mov Financeira'!$A:$A,'DRE 2021'!AE$1,'Dados Mov Financeira'!$B:$B,'DRE 2021'!AE$2)</f>
        <v>0</v>
      </c>
      <c r="AF98" s="91" t="n">
        <f aca="false">IFERROR(AE98/AE$5,0)</f>
        <v>0</v>
      </c>
      <c r="AG98" s="96"/>
      <c r="AH98" s="75" t="n">
        <f aca="false">SUMIFS('Dados Mov Financeira'!$N:$N,'Dados Mov Financeira'!$O:$O,'DRE 2021'!$B98,'Dados Mov Financeira'!$A:$A,'DRE 2021'!AH$1,'Dados Mov Financeira'!$B:$B,'DRE 2021'!AH$2)</f>
        <v>0</v>
      </c>
      <c r="AI98" s="91" t="n">
        <f aca="false">IFERROR(AH98/AH$5,0)</f>
        <v>0</v>
      </c>
      <c r="AJ98" s="96"/>
      <c r="AK98" s="75" t="n">
        <f aca="false">SUMIFS('Dados Mov Financeira'!$N:$N,'Dados Mov Financeira'!$O:$O,'DRE 2021'!$B98,'Dados Mov Financeira'!$A:$A,'DRE 2021'!AK$1,'Dados Mov Financeira'!$B:$B,'DRE 2021'!AK$2)</f>
        <v>0</v>
      </c>
      <c r="AL98" s="91" t="n">
        <f aca="false">IFERROR(AK98/AK$5,0)</f>
        <v>0</v>
      </c>
      <c r="AM98" s="96"/>
      <c r="AN98" s="92" t="n">
        <f aca="false">SUM(D98,G98,J98,M98,P98,S98,V98,Y98,AB98,AE98,AH98,AK98)</f>
        <v>0</v>
      </c>
      <c r="AO98" s="91" t="n">
        <f aca="false">IFERROR(AN98/AN$5,0)</f>
        <v>0</v>
      </c>
      <c r="AP98" s="96"/>
      <c r="AQ98" s="93" t="n">
        <f aca="false">AN98/$AR$1</f>
        <v>0</v>
      </c>
      <c r="AR98" s="94" t="n">
        <f aca="false">IFERROR(AQ98/AQ$5,0)</f>
        <v>0</v>
      </c>
      <c r="AS98" s="96"/>
    </row>
    <row r="99" customFormat="false" ht="14.25" hidden="false" customHeight="false" outlineLevel="1" collapsed="false">
      <c r="B99" s="89" t="s">
        <v>119</v>
      </c>
      <c r="C99" s="96"/>
      <c r="D99" s="75" t="n">
        <f aca="false">SUMIFS('Dados Mov Financeira'!$N:$N,'Dados Mov Financeira'!$O:$O,'DRE 2021'!$B99,'Dados Mov Financeira'!$A:$A,'DRE 2021'!D$1,'Dados Mov Financeira'!$B:$B,'DRE 2021'!D$2)</f>
        <v>0</v>
      </c>
      <c r="E99" s="91" t="n">
        <f aca="false">IFERROR(D99/D$5,0)</f>
        <v>0</v>
      </c>
      <c r="F99" s="96"/>
      <c r="G99" s="75" t="n">
        <f aca="false">SUMIFS('Dados Mov Financeira'!$N:$N,'Dados Mov Financeira'!$O:$O,'DRE 2021'!$B99,'Dados Mov Financeira'!$A:$A,'DRE 2021'!G$1,'Dados Mov Financeira'!$B:$B,'DRE 2021'!G$2)</f>
        <v>0</v>
      </c>
      <c r="H99" s="91" t="n">
        <f aca="false">IFERROR(G99/G$5,0)</f>
        <v>0</v>
      </c>
      <c r="I99" s="96"/>
      <c r="J99" s="75" t="n">
        <f aca="false">SUMIFS('Dados Mov Financeira'!$N:$N,'Dados Mov Financeira'!$O:$O,'DRE 2021'!$B99,'Dados Mov Financeira'!$A:$A,'DRE 2021'!J$1,'Dados Mov Financeira'!$B:$B,'DRE 2021'!J$2)</f>
        <v>0</v>
      </c>
      <c r="K99" s="91" t="n">
        <f aca="false">IFERROR(J99/J$5,0)</f>
        <v>0</v>
      </c>
      <c r="L99" s="96"/>
      <c r="M99" s="75" t="n">
        <f aca="false">SUMIFS('Dados Mov Financeira'!$N:$N,'Dados Mov Financeira'!$O:$O,'DRE 2021'!$B99,'Dados Mov Financeira'!$A:$A,'DRE 2021'!M$1,'Dados Mov Financeira'!$B:$B,'DRE 2021'!M$2)</f>
        <v>0</v>
      </c>
      <c r="N99" s="91" t="n">
        <f aca="false">IFERROR(M99/M$5,0)</f>
        <v>0</v>
      </c>
      <c r="O99" s="96"/>
      <c r="P99" s="75" t="n">
        <f aca="false">SUMIFS('Dados Mov Financeira'!$N:$N,'Dados Mov Financeira'!$O:$O,'DRE 2021'!$B99,'Dados Mov Financeira'!$A:$A,'DRE 2021'!P$1,'Dados Mov Financeira'!$B:$B,'DRE 2021'!P$2)</f>
        <v>0</v>
      </c>
      <c r="Q99" s="91" t="n">
        <f aca="false">IFERROR(P99/P$5,0)</f>
        <v>0</v>
      </c>
      <c r="R99" s="96"/>
      <c r="S99" s="75" t="n">
        <f aca="false">SUMIFS('Dados Mov Financeira'!$N:$N,'Dados Mov Financeira'!$O:$O,'DRE 2021'!$B99,'Dados Mov Financeira'!$A:$A,'DRE 2021'!S$1,'Dados Mov Financeira'!$B:$B,'DRE 2021'!S$2)</f>
        <v>0</v>
      </c>
      <c r="T99" s="91" t="n">
        <f aca="false">IFERROR(S99/S$5,0)</f>
        <v>0</v>
      </c>
      <c r="U99" s="96"/>
      <c r="V99" s="75" t="n">
        <f aca="false">SUMIFS('Dados Mov Financeira'!$N:$N,'Dados Mov Financeira'!$O:$O,'DRE 2021'!$B99,'Dados Mov Financeira'!$A:$A,'DRE 2021'!V$1,'Dados Mov Financeira'!$B:$B,'DRE 2021'!V$2)</f>
        <v>0</v>
      </c>
      <c r="W99" s="91" t="n">
        <f aca="false">IFERROR(V99/V$5,0)</f>
        <v>0</v>
      </c>
      <c r="X99" s="96"/>
      <c r="Y99" s="75" t="n">
        <f aca="false">SUMIFS('Dados Mov Financeira'!$N:$N,'Dados Mov Financeira'!$O:$O,'DRE 2021'!$B99,'Dados Mov Financeira'!$A:$A,'DRE 2021'!Y$1,'Dados Mov Financeira'!$B:$B,'DRE 2021'!Y$2)</f>
        <v>0</v>
      </c>
      <c r="Z99" s="91" t="n">
        <f aca="false">IFERROR(Y99/Y$5,0)</f>
        <v>0</v>
      </c>
      <c r="AA99" s="96"/>
      <c r="AB99" s="75" t="n">
        <f aca="false">SUMIFS('Dados Mov Financeira'!$N:$N,'Dados Mov Financeira'!$O:$O,'DRE 2021'!$B99,'Dados Mov Financeira'!$A:$A,'DRE 2021'!AB$1,'Dados Mov Financeira'!$B:$B,'DRE 2021'!AB$2)</f>
        <v>0</v>
      </c>
      <c r="AC99" s="91" t="n">
        <f aca="false">IFERROR(AB99/AB$5,0)</f>
        <v>0</v>
      </c>
      <c r="AD99" s="96"/>
      <c r="AE99" s="75" t="n">
        <f aca="false">SUMIFS('Dados Mov Financeira'!$N:$N,'Dados Mov Financeira'!$O:$O,'DRE 2021'!$B99,'Dados Mov Financeira'!$A:$A,'DRE 2021'!AE$1,'Dados Mov Financeira'!$B:$B,'DRE 2021'!AE$2)</f>
        <v>0</v>
      </c>
      <c r="AF99" s="91" t="n">
        <f aca="false">IFERROR(AE99/AE$5,0)</f>
        <v>0</v>
      </c>
      <c r="AG99" s="96"/>
      <c r="AH99" s="75" t="n">
        <f aca="false">SUMIFS('Dados Mov Financeira'!$N:$N,'Dados Mov Financeira'!$O:$O,'DRE 2021'!$B99,'Dados Mov Financeira'!$A:$A,'DRE 2021'!AH$1,'Dados Mov Financeira'!$B:$B,'DRE 2021'!AH$2)</f>
        <v>0</v>
      </c>
      <c r="AI99" s="91" t="n">
        <f aca="false">IFERROR(AH99/AH$5,0)</f>
        <v>0</v>
      </c>
      <c r="AJ99" s="96"/>
      <c r="AK99" s="75" t="n">
        <f aca="false">SUMIFS('Dados Mov Financeira'!$N:$N,'Dados Mov Financeira'!$O:$O,'DRE 2021'!$B99,'Dados Mov Financeira'!$A:$A,'DRE 2021'!AK$1,'Dados Mov Financeira'!$B:$B,'DRE 2021'!AK$2)</f>
        <v>0</v>
      </c>
      <c r="AL99" s="91" t="n">
        <f aca="false">IFERROR(AK99/AK$5,0)</f>
        <v>0</v>
      </c>
      <c r="AM99" s="96"/>
      <c r="AN99" s="92" t="n">
        <f aca="false">SUM(D99,G99,J99,M99,P99,S99,V99,Y99,AB99,AE99,AH99,AK99)</f>
        <v>0</v>
      </c>
      <c r="AO99" s="91" t="n">
        <f aca="false">IFERROR(AN99/AN$5,0)</f>
        <v>0</v>
      </c>
      <c r="AP99" s="96"/>
      <c r="AQ99" s="93" t="n">
        <f aca="false">AN99/$AR$1</f>
        <v>0</v>
      </c>
      <c r="AR99" s="94" t="n">
        <f aca="false">IFERROR(AQ99/AQ$5,0)</f>
        <v>0</v>
      </c>
      <c r="AS99" s="96"/>
    </row>
    <row r="100" customFormat="false" ht="14.25" hidden="false" customHeight="false" outlineLevel="1" collapsed="false">
      <c r="B100" s="89" t="s">
        <v>120</v>
      </c>
      <c r="C100" s="96"/>
      <c r="D100" s="75" t="n">
        <f aca="false">SUMIFS('Dados Mov Financeira'!$N:$N,'Dados Mov Financeira'!$O:$O,'DRE 2021'!$B100,'Dados Mov Financeira'!$A:$A,'DRE 2021'!D$1,'Dados Mov Financeira'!$B:$B,'DRE 2021'!D$2)</f>
        <v>0</v>
      </c>
      <c r="E100" s="91" t="n">
        <f aca="false">IFERROR(D100/D$5,0)</f>
        <v>0</v>
      </c>
      <c r="F100" s="96"/>
      <c r="G100" s="75" t="n">
        <f aca="false">SUMIFS('Dados Mov Financeira'!$N:$N,'Dados Mov Financeira'!$O:$O,'DRE 2021'!$B100,'Dados Mov Financeira'!$A:$A,'DRE 2021'!G$1,'Dados Mov Financeira'!$B:$B,'DRE 2021'!G$2)</f>
        <v>0</v>
      </c>
      <c r="H100" s="91" t="n">
        <f aca="false">IFERROR(G100/G$5,0)</f>
        <v>0</v>
      </c>
      <c r="I100" s="96"/>
      <c r="J100" s="75" t="n">
        <f aca="false">SUMIFS('Dados Mov Financeira'!$N:$N,'Dados Mov Financeira'!$O:$O,'DRE 2021'!$B100,'Dados Mov Financeira'!$A:$A,'DRE 2021'!J$1,'Dados Mov Financeira'!$B:$B,'DRE 2021'!J$2)</f>
        <v>0</v>
      </c>
      <c r="K100" s="91" t="n">
        <f aca="false">IFERROR(J100/J$5,0)</f>
        <v>0</v>
      </c>
      <c r="L100" s="96"/>
      <c r="M100" s="75" t="n">
        <f aca="false">SUMIFS('Dados Mov Financeira'!$N:$N,'Dados Mov Financeira'!$O:$O,'DRE 2021'!$B100,'Dados Mov Financeira'!$A:$A,'DRE 2021'!M$1,'Dados Mov Financeira'!$B:$B,'DRE 2021'!M$2)</f>
        <v>0</v>
      </c>
      <c r="N100" s="91" t="n">
        <f aca="false">IFERROR(M100/M$5,0)</f>
        <v>0</v>
      </c>
      <c r="O100" s="96"/>
      <c r="P100" s="75" t="n">
        <f aca="false">SUMIFS('Dados Mov Financeira'!$N:$N,'Dados Mov Financeira'!$O:$O,'DRE 2021'!$B100,'Dados Mov Financeira'!$A:$A,'DRE 2021'!P$1,'Dados Mov Financeira'!$B:$B,'DRE 2021'!P$2)</f>
        <v>0</v>
      </c>
      <c r="Q100" s="91" t="n">
        <f aca="false">IFERROR(P100/P$5,0)</f>
        <v>0</v>
      </c>
      <c r="R100" s="96"/>
      <c r="S100" s="75" t="n">
        <f aca="false">SUMIFS('Dados Mov Financeira'!$N:$N,'Dados Mov Financeira'!$O:$O,'DRE 2021'!$B100,'Dados Mov Financeira'!$A:$A,'DRE 2021'!S$1,'Dados Mov Financeira'!$B:$B,'DRE 2021'!S$2)</f>
        <v>0</v>
      </c>
      <c r="T100" s="91" t="n">
        <f aca="false">IFERROR(S100/S$5,0)</f>
        <v>0</v>
      </c>
      <c r="U100" s="96"/>
      <c r="V100" s="75" t="n">
        <f aca="false">SUMIFS('Dados Mov Financeira'!$N:$N,'Dados Mov Financeira'!$O:$O,'DRE 2021'!$B100,'Dados Mov Financeira'!$A:$A,'DRE 2021'!V$1,'Dados Mov Financeira'!$B:$B,'DRE 2021'!V$2)</f>
        <v>0</v>
      </c>
      <c r="W100" s="91" t="n">
        <f aca="false">IFERROR(V100/V$5,0)</f>
        <v>0</v>
      </c>
      <c r="X100" s="96"/>
      <c r="Y100" s="75" t="n">
        <f aca="false">SUMIFS('Dados Mov Financeira'!$N:$N,'Dados Mov Financeira'!$O:$O,'DRE 2021'!$B100,'Dados Mov Financeira'!$A:$A,'DRE 2021'!Y$1,'Dados Mov Financeira'!$B:$B,'DRE 2021'!Y$2)</f>
        <v>0</v>
      </c>
      <c r="Z100" s="91" t="n">
        <f aca="false">IFERROR(Y100/Y$5,0)</f>
        <v>0</v>
      </c>
      <c r="AA100" s="96"/>
      <c r="AB100" s="75" t="n">
        <f aca="false">SUMIFS('Dados Mov Financeira'!$N:$N,'Dados Mov Financeira'!$O:$O,'DRE 2021'!$B100,'Dados Mov Financeira'!$A:$A,'DRE 2021'!AB$1,'Dados Mov Financeira'!$B:$B,'DRE 2021'!AB$2)</f>
        <v>0</v>
      </c>
      <c r="AC100" s="91" t="n">
        <f aca="false">IFERROR(AB100/AB$5,0)</f>
        <v>0</v>
      </c>
      <c r="AD100" s="96"/>
      <c r="AE100" s="75" t="n">
        <f aca="false">SUMIFS('Dados Mov Financeira'!$N:$N,'Dados Mov Financeira'!$O:$O,'DRE 2021'!$B100,'Dados Mov Financeira'!$A:$A,'DRE 2021'!AE$1,'Dados Mov Financeira'!$B:$B,'DRE 2021'!AE$2)</f>
        <v>0</v>
      </c>
      <c r="AF100" s="91" t="n">
        <f aca="false">IFERROR(AE100/AE$5,0)</f>
        <v>0</v>
      </c>
      <c r="AG100" s="96"/>
      <c r="AH100" s="75" t="n">
        <f aca="false">SUMIFS('Dados Mov Financeira'!$N:$N,'Dados Mov Financeira'!$O:$O,'DRE 2021'!$B100,'Dados Mov Financeira'!$A:$A,'DRE 2021'!AH$1,'Dados Mov Financeira'!$B:$B,'DRE 2021'!AH$2)</f>
        <v>0</v>
      </c>
      <c r="AI100" s="91" t="n">
        <f aca="false">IFERROR(AH100/AH$5,0)</f>
        <v>0</v>
      </c>
      <c r="AJ100" s="96"/>
      <c r="AK100" s="75" t="n">
        <f aca="false">SUMIFS('Dados Mov Financeira'!$N:$N,'Dados Mov Financeira'!$O:$O,'DRE 2021'!$B100,'Dados Mov Financeira'!$A:$A,'DRE 2021'!AK$1,'Dados Mov Financeira'!$B:$B,'DRE 2021'!AK$2)</f>
        <v>0</v>
      </c>
      <c r="AL100" s="91" t="n">
        <f aca="false">IFERROR(AK100/AK$5,0)</f>
        <v>0</v>
      </c>
      <c r="AM100" s="96"/>
      <c r="AN100" s="92" t="n">
        <f aca="false">SUM(D100,G100,J100,M100,P100,S100,V100,Y100,AB100,AE100,AH100,AK100)</f>
        <v>0</v>
      </c>
      <c r="AO100" s="91" t="n">
        <f aca="false">IFERROR(AN100/AN$5,0)</f>
        <v>0</v>
      </c>
      <c r="AP100" s="96"/>
      <c r="AQ100" s="93" t="n">
        <f aca="false">AN100/$AR$1</f>
        <v>0</v>
      </c>
      <c r="AR100" s="94" t="n">
        <f aca="false">IFERROR(AQ100/AQ$5,0)</f>
        <v>0</v>
      </c>
      <c r="AS100" s="96"/>
    </row>
    <row r="101" s="63" customFormat="true" ht="14.25" hidden="false" customHeight="false" outlineLevel="0" collapsed="false">
      <c r="B101" s="106" t="s">
        <v>121</v>
      </c>
      <c r="D101" s="75" t="n">
        <f aca="false">SUM(D102:D109)</f>
        <v>0</v>
      </c>
      <c r="E101" s="88" t="n">
        <f aca="false">IFERROR(D101/D$5,0)</f>
        <v>0</v>
      </c>
      <c r="G101" s="75" t="n">
        <f aca="false">SUM(G102:G109)</f>
        <v>0</v>
      </c>
      <c r="H101" s="88" t="n">
        <f aca="false">IFERROR(G101/G$5,0)</f>
        <v>0</v>
      </c>
      <c r="J101" s="75" t="n">
        <f aca="false">SUM(J102:J109)</f>
        <v>0</v>
      </c>
      <c r="K101" s="88" t="n">
        <f aca="false">IFERROR(J101/J$5,0)</f>
        <v>0</v>
      </c>
      <c r="M101" s="75" t="n">
        <f aca="false">SUM(M102:M109)</f>
        <v>0</v>
      </c>
      <c r="N101" s="88" t="n">
        <f aca="false">IFERROR(M101/M$5,0)</f>
        <v>0</v>
      </c>
      <c r="P101" s="75" t="n">
        <f aca="false">SUM(P102:P109)</f>
        <v>0</v>
      </c>
      <c r="Q101" s="88" t="n">
        <f aca="false">IFERROR(P101/P$5,0)</f>
        <v>0</v>
      </c>
      <c r="S101" s="75" t="n">
        <f aca="false">SUM(S102:S109)</f>
        <v>0</v>
      </c>
      <c r="T101" s="88" t="n">
        <f aca="false">IFERROR(S101/S$5,0)</f>
        <v>0</v>
      </c>
      <c r="V101" s="75" t="n">
        <f aca="false">SUM(V102:V109)</f>
        <v>0</v>
      </c>
      <c r="W101" s="88" t="n">
        <f aca="false">IFERROR(V101/V$5,0)</f>
        <v>0</v>
      </c>
      <c r="Y101" s="75" t="n">
        <f aca="false">SUM(Y102:Y109)</f>
        <v>0</v>
      </c>
      <c r="Z101" s="88" t="n">
        <f aca="false">IFERROR(Y101/Y$5,0)</f>
        <v>0</v>
      </c>
      <c r="AB101" s="75" t="n">
        <f aca="false">SUM(AB102:AB109)</f>
        <v>0</v>
      </c>
      <c r="AC101" s="88" t="n">
        <f aca="false">IFERROR(AB101/AB$5,0)</f>
        <v>0</v>
      </c>
      <c r="AE101" s="75" t="n">
        <f aca="false">SUM(AE102:AE109)</f>
        <v>0</v>
      </c>
      <c r="AF101" s="88" t="n">
        <f aca="false">IFERROR(AE101/AE$5,0)</f>
        <v>0</v>
      </c>
      <c r="AH101" s="75" t="n">
        <f aca="false">SUM(AH102:AH109)</f>
        <v>0</v>
      </c>
      <c r="AI101" s="88" t="n">
        <f aca="false">IFERROR(AH101/AH$5,0)</f>
        <v>0</v>
      </c>
      <c r="AK101" s="75" t="n">
        <f aca="false">SUM(AK102:AK109)</f>
        <v>0</v>
      </c>
      <c r="AL101" s="88" t="n">
        <f aca="false">IFERROR(AK101/AK$5,0)</f>
        <v>0</v>
      </c>
      <c r="AN101" s="75" t="n">
        <f aca="false">SUM(D101,G101,J101,M101,P101,S101,V101,Y101,AB101,AE101,AH101,AK101)</f>
        <v>0</v>
      </c>
      <c r="AO101" s="88" t="n">
        <f aca="false">IFERROR(AN101/AN$5,0)</f>
        <v>0</v>
      </c>
      <c r="AQ101" s="77" t="n">
        <f aca="false">AN101/$AR$1</f>
        <v>0</v>
      </c>
      <c r="AR101" s="76" t="n">
        <f aca="false">IFERROR(AQ101/AQ$5,0)</f>
        <v>0</v>
      </c>
    </row>
    <row r="102" customFormat="false" ht="14.25" hidden="false" customHeight="false" outlineLevel="1" collapsed="false">
      <c r="B102" s="89" t="s">
        <v>122</v>
      </c>
      <c r="D102" s="75" t="n">
        <f aca="false">SUMIFS('Dados Mov Financeira'!$N:$N,'Dados Mov Financeira'!$O:$O,'DRE 2021'!$B102,'Dados Mov Financeira'!$A:$A,'DRE 2021'!D$1,'Dados Mov Financeira'!$B:$B,'DRE 2021'!D$2)</f>
        <v>0</v>
      </c>
      <c r="E102" s="91" t="n">
        <f aca="false">IFERROR(D102/D$5,0)</f>
        <v>0</v>
      </c>
      <c r="G102" s="75" t="n">
        <f aca="false">SUMIFS('Dados Mov Financeira'!$N:$N,'Dados Mov Financeira'!$O:$O,'DRE 2021'!$B102,'Dados Mov Financeira'!$A:$A,'DRE 2021'!G$1,'Dados Mov Financeira'!$B:$B,'DRE 2021'!G$2)</f>
        <v>0</v>
      </c>
      <c r="H102" s="91" t="n">
        <f aca="false">IFERROR(G102/G$5,0)</f>
        <v>0</v>
      </c>
      <c r="J102" s="75" t="n">
        <f aca="false">SUMIFS('Dados Mov Financeira'!$N:$N,'Dados Mov Financeira'!$O:$O,'DRE 2021'!$B102,'Dados Mov Financeira'!$A:$A,'DRE 2021'!J$1,'Dados Mov Financeira'!$B:$B,'DRE 2021'!J$2)</f>
        <v>0</v>
      </c>
      <c r="K102" s="91" t="n">
        <f aca="false">IFERROR(J102/J$5,0)</f>
        <v>0</v>
      </c>
      <c r="M102" s="75" t="n">
        <f aca="false">SUMIFS('Dados Mov Financeira'!$N:$N,'Dados Mov Financeira'!$O:$O,'DRE 2021'!$B102,'Dados Mov Financeira'!$A:$A,'DRE 2021'!M$1,'Dados Mov Financeira'!$B:$B,'DRE 2021'!M$2)</f>
        <v>0</v>
      </c>
      <c r="N102" s="91" t="n">
        <f aca="false">IFERROR(M102/M$5,0)</f>
        <v>0</v>
      </c>
      <c r="P102" s="75" t="n">
        <f aca="false">SUMIFS('Dados Mov Financeira'!$N:$N,'Dados Mov Financeira'!$O:$O,'DRE 2021'!$B102,'Dados Mov Financeira'!$A:$A,'DRE 2021'!P$1,'Dados Mov Financeira'!$B:$B,'DRE 2021'!P$2)</f>
        <v>0</v>
      </c>
      <c r="Q102" s="91" t="n">
        <f aca="false">IFERROR(P102/P$5,0)</f>
        <v>0</v>
      </c>
      <c r="S102" s="75" t="n">
        <f aca="false">SUMIFS('Dados Mov Financeira'!$N:$N,'Dados Mov Financeira'!$O:$O,'DRE 2021'!$B102,'Dados Mov Financeira'!$A:$A,'DRE 2021'!S$1,'Dados Mov Financeira'!$B:$B,'DRE 2021'!S$2)</f>
        <v>0</v>
      </c>
      <c r="T102" s="91" t="n">
        <f aca="false">IFERROR(S102/S$5,0)</f>
        <v>0</v>
      </c>
      <c r="V102" s="75" t="n">
        <f aca="false">SUMIFS('Dados Mov Financeira'!$N:$N,'Dados Mov Financeira'!$O:$O,'DRE 2021'!$B102,'Dados Mov Financeira'!$A:$A,'DRE 2021'!V$1,'Dados Mov Financeira'!$B:$B,'DRE 2021'!V$2)</f>
        <v>0</v>
      </c>
      <c r="W102" s="91" t="n">
        <f aca="false">IFERROR(V102/V$5,0)</f>
        <v>0</v>
      </c>
      <c r="Y102" s="75" t="n">
        <f aca="false">SUMIFS('Dados Mov Financeira'!$N:$N,'Dados Mov Financeira'!$O:$O,'DRE 2021'!$B102,'Dados Mov Financeira'!$A:$A,'DRE 2021'!Y$1,'Dados Mov Financeira'!$B:$B,'DRE 2021'!Y$2)</f>
        <v>0</v>
      </c>
      <c r="Z102" s="91" t="n">
        <f aca="false">IFERROR(Y102/Y$5,0)</f>
        <v>0</v>
      </c>
      <c r="AB102" s="75" t="n">
        <f aca="false">SUMIFS('Dados Mov Financeira'!$N:$N,'Dados Mov Financeira'!$O:$O,'DRE 2021'!$B102,'Dados Mov Financeira'!$A:$A,'DRE 2021'!AB$1,'Dados Mov Financeira'!$B:$B,'DRE 2021'!AB$2)</f>
        <v>0</v>
      </c>
      <c r="AC102" s="91" t="n">
        <f aca="false">IFERROR(AB102/AB$5,0)</f>
        <v>0</v>
      </c>
      <c r="AE102" s="75" t="n">
        <f aca="false">SUMIFS('Dados Mov Financeira'!$N:$N,'Dados Mov Financeira'!$O:$O,'DRE 2021'!$B102,'Dados Mov Financeira'!$A:$A,'DRE 2021'!AE$1,'Dados Mov Financeira'!$B:$B,'DRE 2021'!AE$2)</f>
        <v>0</v>
      </c>
      <c r="AF102" s="91" t="n">
        <f aca="false">IFERROR(AE102/AE$5,0)</f>
        <v>0</v>
      </c>
      <c r="AH102" s="75" t="n">
        <f aca="false">SUMIFS('Dados Mov Financeira'!$N:$N,'Dados Mov Financeira'!$O:$O,'DRE 2021'!$B102,'Dados Mov Financeira'!$A:$A,'DRE 2021'!AH$1,'Dados Mov Financeira'!$B:$B,'DRE 2021'!AH$2)</f>
        <v>0</v>
      </c>
      <c r="AI102" s="91" t="n">
        <f aca="false">IFERROR(AH102/AH$5,0)</f>
        <v>0</v>
      </c>
      <c r="AK102" s="75" t="n">
        <f aca="false">SUMIFS('Dados Mov Financeira'!$N:$N,'Dados Mov Financeira'!$O:$O,'DRE 2021'!$B102,'Dados Mov Financeira'!$A:$A,'DRE 2021'!AK$1,'Dados Mov Financeira'!$B:$B,'DRE 2021'!AK$2)</f>
        <v>0</v>
      </c>
      <c r="AL102" s="91" t="n">
        <f aca="false">IFERROR(AK102/AK$5,0)</f>
        <v>0</v>
      </c>
      <c r="AN102" s="92" t="n">
        <f aca="false">SUM(D102,G102,J102,M102,P102,S102,V102,Y102,AB102,AE102,AH102,AK102)</f>
        <v>0</v>
      </c>
      <c r="AO102" s="91" t="n">
        <f aca="false">IFERROR(AN102/AN$5,0)</f>
        <v>0</v>
      </c>
      <c r="AQ102" s="93" t="n">
        <f aca="false">AN102/$AR$1</f>
        <v>0</v>
      </c>
      <c r="AR102" s="94" t="n">
        <f aca="false">IFERROR(AQ102/AQ$5,0)</f>
        <v>0</v>
      </c>
    </row>
    <row r="103" customFormat="false" ht="14.25" hidden="false" customHeight="false" outlineLevel="1" collapsed="false">
      <c r="B103" s="89" t="s">
        <v>123</v>
      </c>
      <c r="D103" s="75" t="n">
        <f aca="false">SUMIFS('Dados Mov Financeira'!$N:$N,'Dados Mov Financeira'!$O:$O,'DRE 2021'!$B103,'Dados Mov Financeira'!$A:$A,'DRE 2021'!D$1,'Dados Mov Financeira'!$B:$B,'DRE 2021'!D$2)</f>
        <v>0</v>
      </c>
      <c r="E103" s="91" t="n">
        <f aca="false">IFERROR(D103/D$5,0)</f>
        <v>0</v>
      </c>
      <c r="G103" s="75" t="n">
        <f aca="false">SUMIFS('Dados Mov Financeira'!$N:$N,'Dados Mov Financeira'!$O:$O,'DRE 2021'!$B103,'Dados Mov Financeira'!$A:$A,'DRE 2021'!G$1,'Dados Mov Financeira'!$B:$B,'DRE 2021'!G$2)</f>
        <v>0</v>
      </c>
      <c r="H103" s="91" t="n">
        <f aca="false">IFERROR(G103/G$5,0)</f>
        <v>0</v>
      </c>
      <c r="J103" s="75" t="n">
        <f aca="false">SUMIFS('Dados Mov Financeira'!$N:$N,'Dados Mov Financeira'!$O:$O,'DRE 2021'!$B103,'Dados Mov Financeira'!$A:$A,'DRE 2021'!J$1,'Dados Mov Financeira'!$B:$B,'DRE 2021'!J$2)</f>
        <v>0</v>
      </c>
      <c r="K103" s="91" t="n">
        <f aca="false">IFERROR(J103/J$5,0)</f>
        <v>0</v>
      </c>
      <c r="M103" s="75" t="n">
        <f aca="false">SUMIFS('Dados Mov Financeira'!$N:$N,'Dados Mov Financeira'!$O:$O,'DRE 2021'!$B103,'Dados Mov Financeira'!$A:$A,'DRE 2021'!M$1,'Dados Mov Financeira'!$B:$B,'DRE 2021'!M$2)</f>
        <v>0</v>
      </c>
      <c r="N103" s="91" t="n">
        <f aca="false">IFERROR(M103/M$5,0)</f>
        <v>0</v>
      </c>
      <c r="P103" s="75" t="n">
        <f aca="false">SUMIFS('Dados Mov Financeira'!$N:$N,'Dados Mov Financeira'!$O:$O,'DRE 2021'!$B103,'Dados Mov Financeira'!$A:$A,'DRE 2021'!P$1,'Dados Mov Financeira'!$B:$B,'DRE 2021'!P$2)</f>
        <v>0</v>
      </c>
      <c r="Q103" s="91" t="n">
        <f aca="false">IFERROR(P103/P$5,0)</f>
        <v>0</v>
      </c>
      <c r="S103" s="75" t="n">
        <f aca="false">SUMIFS('Dados Mov Financeira'!$N:$N,'Dados Mov Financeira'!$O:$O,'DRE 2021'!$B103,'Dados Mov Financeira'!$A:$A,'DRE 2021'!S$1,'Dados Mov Financeira'!$B:$B,'DRE 2021'!S$2)</f>
        <v>0</v>
      </c>
      <c r="T103" s="91" t="n">
        <f aca="false">IFERROR(S103/S$5,0)</f>
        <v>0</v>
      </c>
      <c r="V103" s="75" t="n">
        <f aca="false">SUMIFS('Dados Mov Financeira'!$N:$N,'Dados Mov Financeira'!$O:$O,'DRE 2021'!$B103,'Dados Mov Financeira'!$A:$A,'DRE 2021'!V$1,'Dados Mov Financeira'!$B:$B,'DRE 2021'!V$2)</f>
        <v>0</v>
      </c>
      <c r="W103" s="91" t="n">
        <f aca="false">IFERROR(V103/V$5,0)</f>
        <v>0</v>
      </c>
      <c r="Y103" s="75" t="n">
        <f aca="false">SUMIFS('Dados Mov Financeira'!$N:$N,'Dados Mov Financeira'!$O:$O,'DRE 2021'!$B103,'Dados Mov Financeira'!$A:$A,'DRE 2021'!Y$1,'Dados Mov Financeira'!$B:$B,'DRE 2021'!Y$2)</f>
        <v>0</v>
      </c>
      <c r="Z103" s="91" t="n">
        <f aca="false">IFERROR(Y103/Y$5,0)</f>
        <v>0</v>
      </c>
      <c r="AB103" s="75" t="n">
        <f aca="false">SUMIFS('Dados Mov Financeira'!$N:$N,'Dados Mov Financeira'!$O:$O,'DRE 2021'!$B103,'Dados Mov Financeira'!$A:$A,'DRE 2021'!AB$1,'Dados Mov Financeira'!$B:$B,'DRE 2021'!AB$2)</f>
        <v>0</v>
      </c>
      <c r="AC103" s="91" t="n">
        <f aca="false">IFERROR(AB103/AB$5,0)</f>
        <v>0</v>
      </c>
      <c r="AE103" s="75" t="n">
        <f aca="false">SUMIFS('Dados Mov Financeira'!$N:$N,'Dados Mov Financeira'!$O:$O,'DRE 2021'!$B103,'Dados Mov Financeira'!$A:$A,'DRE 2021'!AE$1,'Dados Mov Financeira'!$B:$B,'DRE 2021'!AE$2)</f>
        <v>0</v>
      </c>
      <c r="AF103" s="91" t="n">
        <f aca="false">IFERROR(AE103/AE$5,0)</f>
        <v>0</v>
      </c>
      <c r="AH103" s="75" t="n">
        <f aca="false">SUMIFS('Dados Mov Financeira'!$N:$N,'Dados Mov Financeira'!$O:$O,'DRE 2021'!$B103,'Dados Mov Financeira'!$A:$A,'DRE 2021'!AH$1,'Dados Mov Financeira'!$B:$B,'DRE 2021'!AH$2)</f>
        <v>0</v>
      </c>
      <c r="AI103" s="91" t="n">
        <f aca="false">IFERROR(AH103/AH$5,0)</f>
        <v>0</v>
      </c>
      <c r="AK103" s="75" t="n">
        <f aca="false">SUMIFS('Dados Mov Financeira'!$N:$N,'Dados Mov Financeira'!$O:$O,'DRE 2021'!$B103,'Dados Mov Financeira'!$A:$A,'DRE 2021'!AK$1,'Dados Mov Financeira'!$B:$B,'DRE 2021'!AK$2)</f>
        <v>0</v>
      </c>
      <c r="AL103" s="91" t="n">
        <f aca="false">IFERROR(AK103/AK$5,0)</f>
        <v>0</v>
      </c>
      <c r="AN103" s="92" t="n">
        <f aca="false">SUM(D103,G103,J103,M103,P103,S103,V103,Y103,AB103,AE103,AH103,AK103)</f>
        <v>0</v>
      </c>
      <c r="AO103" s="91" t="n">
        <f aca="false">IFERROR(AN103/AN$5,0)</f>
        <v>0</v>
      </c>
      <c r="AQ103" s="93" t="n">
        <f aca="false">AN103/$AR$1</f>
        <v>0</v>
      </c>
      <c r="AR103" s="94" t="n">
        <f aca="false">IFERROR(AQ103/AQ$5,0)</f>
        <v>0</v>
      </c>
    </row>
    <row r="104" customFormat="false" ht="14.25" hidden="false" customHeight="false" outlineLevel="1" collapsed="false">
      <c r="B104" s="89" t="s">
        <v>124</v>
      </c>
      <c r="D104" s="75" t="n">
        <f aca="false">SUMIFS('Dados Mov Financeira'!$N:$N,'Dados Mov Financeira'!$O:$O,'DRE 2021'!$B104,'Dados Mov Financeira'!$A:$A,'DRE 2021'!D$1,'Dados Mov Financeira'!$B:$B,'DRE 2021'!D$2)</f>
        <v>0</v>
      </c>
      <c r="E104" s="91" t="n">
        <f aca="false">IFERROR(D104/D$5,0)</f>
        <v>0</v>
      </c>
      <c r="G104" s="75" t="n">
        <f aca="false">SUMIFS('Dados Mov Financeira'!$N:$N,'Dados Mov Financeira'!$O:$O,'DRE 2021'!$B104,'Dados Mov Financeira'!$A:$A,'DRE 2021'!G$1,'Dados Mov Financeira'!$B:$B,'DRE 2021'!G$2)</f>
        <v>0</v>
      </c>
      <c r="H104" s="91" t="n">
        <f aca="false">IFERROR(G104/G$5,0)</f>
        <v>0</v>
      </c>
      <c r="J104" s="75" t="n">
        <f aca="false">SUMIFS('Dados Mov Financeira'!$N:$N,'Dados Mov Financeira'!$O:$O,'DRE 2021'!$B104,'Dados Mov Financeira'!$A:$A,'DRE 2021'!J$1,'Dados Mov Financeira'!$B:$B,'DRE 2021'!J$2)</f>
        <v>0</v>
      </c>
      <c r="K104" s="91" t="n">
        <f aca="false">IFERROR(J104/J$5,0)</f>
        <v>0</v>
      </c>
      <c r="M104" s="75" t="n">
        <f aca="false">SUMIFS('Dados Mov Financeira'!$N:$N,'Dados Mov Financeira'!$O:$O,'DRE 2021'!$B104,'Dados Mov Financeira'!$A:$A,'DRE 2021'!M$1,'Dados Mov Financeira'!$B:$B,'DRE 2021'!M$2)</f>
        <v>0</v>
      </c>
      <c r="N104" s="91" t="n">
        <f aca="false">IFERROR(M104/M$5,0)</f>
        <v>0</v>
      </c>
      <c r="P104" s="75" t="n">
        <f aca="false">SUMIFS('Dados Mov Financeira'!$N:$N,'Dados Mov Financeira'!$O:$O,'DRE 2021'!$B104,'Dados Mov Financeira'!$A:$A,'DRE 2021'!P$1,'Dados Mov Financeira'!$B:$B,'DRE 2021'!P$2)</f>
        <v>0</v>
      </c>
      <c r="Q104" s="91" t="n">
        <f aca="false">IFERROR(P104/P$5,0)</f>
        <v>0</v>
      </c>
      <c r="S104" s="75" t="n">
        <f aca="false">SUMIFS('Dados Mov Financeira'!$N:$N,'Dados Mov Financeira'!$O:$O,'DRE 2021'!$B104,'Dados Mov Financeira'!$A:$A,'DRE 2021'!S$1,'Dados Mov Financeira'!$B:$B,'DRE 2021'!S$2)</f>
        <v>0</v>
      </c>
      <c r="T104" s="91" t="n">
        <f aca="false">IFERROR(S104/S$5,0)</f>
        <v>0</v>
      </c>
      <c r="V104" s="75" t="n">
        <f aca="false">SUMIFS('Dados Mov Financeira'!$N:$N,'Dados Mov Financeira'!$O:$O,'DRE 2021'!$B104,'Dados Mov Financeira'!$A:$A,'DRE 2021'!V$1,'Dados Mov Financeira'!$B:$B,'DRE 2021'!V$2)</f>
        <v>0</v>
      </c>
      <c r="W104" s="91" t="n">
        <f aca="false">IFERROR(V104/V$5,0)</f>
        <v>0</v>
      </c>
      <c r="Y104" s="75" t="n">
        <f aca="false">SUMIFS('Dados Mov Financeira'!$N:$N,'Dados Mov Financeira'!$O:$O,'DRE 2021'!$B104,'Dados Mov Financeira'!$A:$A,'DRE 2021'!Y$1,'Dados Mov Financeira'!$B:$B,'DRE 2021'!Y$2)</f>
        <v>0</v>
      </c>
      <c r="Z104" s="91" t="n">
        <f aca="false">IFERROR(Y104/Y$5,0)</f>
        <v>0</v>
      </c>
      <c r="AB104" s="75" t="n">
        <f aca="false">SUMIFS('Dados Mov Financeira'!$N:$N,'Dados Mov Financeira'!$O:$O,'DRE 2021'!$B104,'Dados Mov Financeira'!$A:$A,'DRE 2021'!AB$1,'Dados Mov Financeira'!$B:$B,'DRE 2021'!AB$2)</f>
        <v>0</v>
      </c>
      <c r="AC104" s="91" t="n">
        <f aca="false">IFERROR(AB104/AB$5,0)</f>
        <v>0</v>
      </c>
      <c r="AE104" s="75" t="n">
        <f aca="false">SUMIFS('Dados Mov Financeira'!$N:$N,'Dados Mov Financeira'!$O:$O,'DRE 2021'!$B104,'Dados Mov Financeira'!$A:$A,'DRE 2021'!AE$1,'Dados Mov Financeira'!$B:$B,'DRE 2021'!AE$2)</f>
        <v>0</v>
      </c>
      <c r="AF104" s="91" t="n">
        <f aca="false">IFERROR(AE104/AE$5,0)</f>
        <v>0</v>
      </c>
      <c r="AH104" s="75" t="n">
        <f aca="false">SUMIFS('Dados Mov Financeira'!$N:$N,'Dados Mov Financeira'!$O:$O,'DRE 2021'!$B104,'Dados Mov Financeira'!$A:$A,'DRE 2021'!AH$1,'Dados Mov Financeira'!$B:$B,'DRE 2021'!AH$2)</f>
        <v>0</v>
      </c>
      <c r="AI104" s="91" t="n">
        <f aca="false">IFERROR(AH104/AH$5,0)</f>
        <v>0</v>
      </c>
      <c r="AK104" s="75" t="n">
        <f aca="false">SUMIFS('Dados Mov Financeira'!$N:$N,'Dados Mov Financeira'!$O:$O,'DRE 2021'!$B104,'Dados Mov Financeira'!$A:$A,'DRE 2021'!AK$1,'Dados Mov Financeira'!$B:$B,'DRE 2021'!AK$2)</f>
        <v>0</v>
      </c>
      <c r="AL104" s="91" t="n">
        <f aca="false">IFERROR(AK104/AK$5,0)</f>
        <v>0</v>
      </c>
      <c r="AN104" s="92" t="n">
        <f aca="false">SUM(D104,G104,J104,M104,P104,S104,V104,Y104,AB104,AE104,AH104,AK104)</f>
        <v>0</v>
      </c>
      <c r="AO104" s="91" t="n">
        <f aca="false">IFERROR(AN104/AN$5,0)</f>
        <v>0</v>
      </c>
      <c r="AQ104" s="93" t="n">
        <f aca="false">AN104/$AR$1</f>
        <v>0</v>
      </c>
      <c r="AR104" s="94" t="n">
        <f aca="false">IFERROR(AQ104/AQ$5,0)</f>
        <v>0</v>
      </c>
    </row>
    <row r="105" customFormat="false" ht="14.25" hidden="false" customHeight="false" outlineLevel="1" collapsed="false">
      <c r="B105" s="89" t="s">
        <v>125</v>
      </c>
      <c r="D105" s="75" t="n">
        <f aca="false">SUMIFS('Dados Mov Financeira'!$N:$N,'Dados Mov Financeira'!$O:$O,'DRE 2021'!$B105,'Dados Mov Financeira'!$A:$A,'DRE 2021'!D$1,'Dados Mov Financeira'!$B:$B,'DRE 2021'!D$2)</f>
        <v>0</v>
      </c>
      <c r="E105" s="91" t="n">
        <f aca="false">IFERROR(D105/D$5,0)</f>
        <v>0</v>
      </c>
      <c r="G105" s="75" t="n">
        <f aca="false">SUMIFS('Dados Mov Financeira'!$N:$N,'Dados Mov Financeira'!$O:$O,'DRE 2021'!$B105,'Dados Mov Financeira'!$A:$A,'DRE 2021'!G$1,'Dados Mov Financeira'!$B:$B,'DRE 2021'!G$2)</f>
        <v>0</v>
      </c>
      <c r="H105" s="91" t="n">
        <f aca="false">IFERROR(G105/G$5,0)</f>
        <v>0</v>
      </c>
      <c r="J105" s="75" t="n">
        <f aca="false">SUMIFS('Dados Mov Financeira'!$N:$N,'Dados Mov Financeira'!$O:$O,'DRE 2021'!$B105,'Dados Mov Financeira'!$A:$A,'DRE 2021'!J$1,'Dados Mov Financeira'!$B:$B,'DRE 2021'!J$2)</f>
        <v>0</v>
      </c>
      <c r="K105" s="91" t="n">
        <f aca="false">IFERROR(J105/J$5,0)</f>
        <v>0</v>
      </c>
      <c r="M105" s="75" t="n">
        <f aca="false">SUMIFS('Dados Mov Financeira'!$N:$N,'Dados Mov Financeira'!$O:$O,'DRE 2021'!$B105,'Dados Mov Financeira'!$A:$A,'DRE 2021'!M$1,'Dados Mov Financeira'!$B:$B,'DRE 2021'!M$2)</f>
        <v>0</v>
      </c>
      <c r="N105" s="91" t="n">
        <f aca="false">IFERROR(M105/M$5,0)</f>
        <v>0</v>
      </c>
      <c r="P105" s="75" t="n">
        <f aca="false">SUMIFS('Dados Mov Financeira'!$N:$N,'Dados Mov Financeira'!$O:$O,'DRE 2021'!$B105,'Dados Mov Financeira'!$A:$A,'DRE 2021'!P$1,'Dados Mov Financeira'!$B:$B,'DRE 2021'!P$2)</f>
        <v>0</v>
      </c>
      <c r="Q105" s="91" t="n">
        <f aca="false">IFERROR(P105/P$5,0)</f>
        <v>0</v>
      </c>
      <c r="S105" s="75" t="n">
        <f aca="false">SUMIFS('Dados Mov Financeira'!$N:$N,'Dados Mov Financeira'!$O:$O,'DRE 2021'!$B105,'Dados Mov Financeira'!$A:$A,'DRE 2021'!S$1,'Dados Mov Financeira'!$B:$B,'DRE 2021'!S$2)</f>
        <v>0</v>
      </c>
      <c r="T105" s="91" t="n">
        <f aca="false">IFERROR(S105/S$5,0)</f>
        <v>0</v>
      </c>
      <c r="V105" s="75" t="n">
        <f aca="false">SUMIFS('Dados Mov Financeira'!$N:$N,'Dados Mov Financeira'!$O:$O,'DRE 2021'!$B105,'Dados Mov Financeira'!$A:$A,'DRE 2021'!V$1,'Dados Mov Financeira'!$B:$B,'DRE 2021'!V$2)</f>
        <v>0</v>
      </c>
      <c r="W105" s="91" t="n">
        <f aca="false">IFERROR(V105/V$5,0)</f>
        <v>0</v>
      </c>
      <c r="Y105" s="75" t="n">
        <f aca="false">SUMIFS('Dados Mov Financeira'!$N:$N,'Dados Mov Financeira'!$O:$O,'DRE 2021'!$B105,'Dados Mov Financeira'!$A:$A,'DRE 2021'!Y$1,'Dados Mov Financeira'!$B:$B,'DRE 2021'!Y$2)</f>
        <v>0</v>
      </c>
      <c r="Z105" s="91" t="n">
        <f aca="false">IFERROR(Y105/Y$5,0)</f>
        <v>0</v>
      </c>
      <c r="AB105" s="75" t="n">
        <f aca="false">SUMIFS('Dados Mov Financeira'!$N:$N,'Dados Mov Financeira'!$O:$O,'DRE 2021'!$B105,'Dados Mov Financeira'!$A:$A,'DRE 2021'!AB$1,'Dados Mov Financeira'!$B:$B,'DRE 2021'!AB$2)</f>
        <v>0</v>
      </c>
      <c r="AC105" s="91" t="n">
        <f aca="false">IFERROR(AB105/AB$5,0)</f>
        <v>0</v>
      </c>
      <c r="AE105" s="75" t="n">
        <f aca="false">SUMIFS('Dados Mov Financeira'!$N:$N,'Dados Mov Financeira'!$O:$O,'DRE 2021'!$B105,'Dados Mov Financeira'!$A:$A,'DRE 2021'!AE$1,'Dados Mov Financeira'!$B:$B,'DRE 2021'!AE$2)</f>
        <v>0</v>
      </c>
      <c r="AF105" s="91" t="n">
        <f aca="false">IFERROR(AE105/AE$5,0)</f>
        <v>0</v>
      </c>
      <c r="AH105" s="75" t="n">
        <f aca="false">SUMIFS('Dados Mov Financeira'!$N:$N,'Dados Mov Financeira'!$O:$O,'DRE 2021'!$B105,'Dados Mov Financeira'!$A:$A,'DRE 2021'!AH$1,'Dados Mov Financeira'!$B:$B,'DRE 2021'!AH$2)</f>
        <v>0</v>
      </c>
      <c r="AI105" s="91" t="n">
        <f aca="false">IFERROR(AH105/AH$5,0)</f>
        <v>0</v>
      </c>
      <c r="AK105" s="75" t="n">
        <f aca="false">SUMIFS('Dados Mov Financeira'!$N:$N,'Dados Mov Financeira'!$O:$O,'DRE 2021'!$B105,'Dados Mov Financeira'!$A:$A,'DRE 2021'!AK$1,'Dados Mov Financeira'!$B:$B,'DRE 2021'!AK$2)</f>
        <v>0</v>
      </c>
      <c r="AL105" s="91" t="n">
        <f aca="false">IFERROR(AK105/AK$5,0)</f>
        <v>0</v>
      </c>
      <c r="AN105" s="92" t="n">
        <f aca="false">SUM(D105,G105,J105,M105,P105,S105,V105,Y105,AB105,AE105,AH105,AK105)</f>
        <v>0</v>
      </c>
      <c r="AO105" s="91" t="n">
        <f aca="false">IFERROR(AN105/AN$5,0)</f>
        <v>0</v>
      </c>
      <c r="AQ105" s="93" t="n">
        <f aca="false">AN105/$AR$1</f>
        <v>0</v>
      </c>
      <c r="AR105" s="94" t="n">
        <f aca="false">IFERROR(AQ105/AQ$5,0)</f>
        <v>0</v>
      </c>
    </row>
    <row r="106" customFormat="false" ht="14.25" hidden="false" customHeight="false" outlineLevel="1" collapsed="false">
      <c r="B106" s="89" t="s">
        <v>126</v>
      </c>
      <c r="D106" s="75" t="n">
        <f aca="false">SUMIFS('Dados Mov Financeira'!$N:$N,'Dados Mov Financeira'!$O:$O,'DRE 2021'!$B106,'Dados Mov Financeira'!$A:$A,'DRE 2021'!D$1,'Dados Mov Financeira'!$B:$B,'DRE 2021'!D$2)</f>
        <v>0</v>
      </c>
      <c r="E106" s="91" t="n">
        <f aca="false">IFERROR(D106/D$5,0)</f>
        <v>0</v>
      </c>
      <c r="G106" s="75" t="n">
        <f aca="false">SUMIFS('Dados Mov Financeira'!$N:$N,'Dados Mov Financeira'!$O:$O,'DRE 2021'!$B106,'Dados Mov Financeira'!$A:$A,'DRE 2021'!G$1,'Dados Mov Financeira'!$B:$B,'DRE 2021'!G$2)</f>
        <v>0</v>
      </c>
      <c r="H106" s="91" t="n">
        <f aca="false">IFERROR(G106/G$5,0)</f>
        <v>0</v>
      </c>
      <c r="J106" s="75" t="n">
        <f aca="false">SUMIFS('Dados Mov Financeira'!$N:$N,'Dados Mov Financeira'!$O:$O,'DRE 2021'!$B106,'Dados Mov Financeira'!$A:$A,'DRE 2021'!J$1,'Dados Mov Financeira'!$B:$B,'DRE 2021'!J$2)</f>
        <v>0</v>
      </c>
      <c r="K106" s="91" t="n">
        <f aca="false">IFERROR(J106/J$5,0)</f>
        <v>0</v>
      </c>
      <c r="M106" s="75" t="n">
        <f aca="false">SUMIFS('Dados Mov Financeira'!$N:$N,'Dados Mov Financeira'!$O:$O,'DRE 2021'!$B106,'Dados Mov Financeira'!$A:$A,'DRE 2021'!M$1,'Dados Mov Financeira'!$B:$B,'DRE 2021'!M$2)</f>
        <v>0</v>
      </c>
      <c r="N106" s="91" t="n">
        <f aca="false">IFERROR(M106/M$5,0)</f>
        <v>0</v>
      </c>
      <c r="P106" s="75" t="n">
        <f aca="false">SUMIFS('Dados Mov Financeira'!$N:$N,'Dados Mov Financeira'!$O:$O,'DRE 2021'!$B106,'Dados Mov Financeira'!$A:$A,'DRE 2021'!P$1,'Dados Mov Financeira'!$B:$B,'DRE 2021'!P$2)</f>
        <v>0</v>
      </c>
      <c r="Q106" s="91" t="n">
        <f aca="false">IFERROR(P106/P$5,0)</f>
        <v>0</v>
      </c>
      <c r="S106" s="75" t="n">
        <f aca="false">SUMIFS('Dados Mov Financeira'!$N:$N,'Dados Mov Financeira'!$O:$O,'DRE 2021'!$B106,'Dados Mov Financeira'!$A:$A,'DRE 2021'!S$1,'Dados Mov Financeira'!$B:$B,'DRE 2021'!S$2)</f>
        <v>0</v>
      </c>
      <c r="T106" s="91" t="n">
        <f aca="false">IFERROR(S106/S$5,0)</f>
        <v>0</v>
      </c>
      <c r="V106" s="75" t="n">
        <f aca="false">SUMIFS('Dados Mov Financeira'!$N:$N,'Dados Mov Financeira'!$O:$O,'DRE 2021'!$B106,'Dados Mov Financeira'!$A:$A,'DRE 2021'!V$1,'Dados Mov Financeira'!$B:$B,'DRE 2021'!V$2)</f>
        <v>0</v>
      </c>
      <c r="W106" s="91" t="n">
        <f aca="false">IFERROR(V106/V$5,0)</f>
        <v>0</v>
      </c>
      <c r="Y106" s="75" t="n">
        <f aca="false">SUMIFS('Dados Mov Financeira'!$N:$N,'Dados Mov Financeira'!$O:$O,'DRE 2021'!$B106,'Dados Mov Financeira'!$A:$A,'DRE 2021'!Y$1,'Dados Mov Financeira'!$B:$B,'DRE 2021'!Y$2)</f>
        <v>0</v>
      </c>
      <c r="Z106" s="91" t="n">
        <f aca="false">IFERROR(Y106/Y$5,0)</f>
        <v>0</v>
      </c>
      <c r="AB106" s="75" t="n">
        <f aca="false">SUMIFS('Dados Mov Financeira'!$N:$N,'Dados Mov Financeira'!$O:$O,'DRE 2021'!$B106,'Dados Mov Financeira'!$A:$A,'DRE 2021'!AB$1,'Dados Mov Financeira'!$B:$B,'DRE 2021'!AB$2)</f>
        <v>0</v>
      </c>
      <c r="AC106" s="91" t="n">
        <f aca="false">IFERROR(AB106/AB$5,0)</f>
        <v>0</v>
      </c>
      <c r="AE106" s="75" t="n">
        <f aca="false">SUMIFS('Dados Mov Financeira'!$N:$N,'Dados Mov Financeira'!$O:$O,'DRE 2021'!$B106,'Dados Mov Financeira'!$A:$A,'DRE 2021'!AE$1,'Dados Mov Financeira'!$B:$B,'DRE 2021'!AE$2)</f>
        <v>0</v>
      </c>
      <c r="AF106" s="91" t="n">
        <f aca="false">IFERROR(AE106/AE$5,0)</f>
        <v>0</v>
      </c>
      <c r="AH106" s="75" t="n">
        <f aca="false">SUMIFS('Dados Mov Financeira'!$N:$N,'Dados Mov Financeira'!$O:$O,'DRE 2021'!$B106,'Dados Mov Financeira'!$A:$A,'DRE 2021'!AH$1,'Dados Mov Financeira'!$B:$B,'DRE 2021'!AH$2)</f>
        <v>0</v>
      </c>
      <c r="AI106" s="91" t="n">
        <f aca="false">IFERROR(AH106/AH$5,0)</f>
        <v>0</v>
      </c>
      <c r="AK106" s="75" t="n">
        <f aca="false">SUMIFS('Dados Mov Financeira'!$N:$N,'Dados Mov Financeira'!$O:$O,'DRE 2021'!$B106,'Dados Mov Financeira'!$A:$A,'DRE 2021'!AK$1,'Dados Mov Financeira'!$B:$B,'DRE 2021'!AK$2)</f>
        <v>0</v>
      </c>
      <c r="AL106" s="91" t="n">
        <f aca="false">IFERROR(AK106/AK$5,0)</f>
        <v>0</v>
      </c>
      <c r="AN106" s="92" t="n">
        <f aca="false">SUM(D106,G106,J106,M106,P106,S106,V106,Y106,AB106,AE106,AH106,AK106)</f>
        <v>0</v>
      </c>
      <c r="AO106" s="91" t="n">
        <f aca="false">IFERROR(AN106/AN$5,0)</f>
        <v>0</v>
      </c>
      <c r="AQ106" s="93" t="n">
        <f aca="false">AN106/$AR$1</f>
        <v>0</v>
      </c>
      <c r="AR106" s="94" t="n">
        <f aca="false">IFERROR(AQ106/AQ$5,0)</f>
        <v>0</v>
      </c>
    </row>
    <row r="107" customFormat="false" ht="14.25" hidden="false" customHeight="false" outlineLevel="1" collapsed="false">
      <c r="B107" s="89" t="s">
        <v>127</v>
      </c>
      <c r="D107" s="75" t="n">
        <f aca="false">SUMIFS('Dados Mov Financeira'!$N:$N,'Dados Mov Financeira'!$O:$O,'DRE 2021'!$B107,'Dados Mov Financeira'!$A:$A,'DRE 2021'!D$1,'Dados Mov Financeira'!$B:$B,'DRE 2021'!D$2)</f>
        <v>0</v>
      </c>
      <c r="E107" s="91" t="n">
        <f aca="false">IFERROR(D107/D$5,0)</f>
        <v>0</v>
      </c>
      <c r="G107" s="75" t="n">
        <f aca="false">SUMIFS('Dados Mov Financeira'!$N:$N,'Dados Mov Financeira'!$O:$O,'DRE 2021'!$B107,'Dados Mov Financeira'!$A:$A,'DRE 2021'!G$1,'Dados Mov Financeira'!$B:$B,'DRE 2021'!G$2)</f>
        <v>0</v>
      </c>
      <c r="H107" s="91" t="n">
        <f aca="false">IFERROR(G107/G$5,0)</f>
        <v>0</v>
      </c>
      <c r="J107" s="75" t="n">
        <f aca="false">SUMIFS('Dados Mov Financeira'!$N:$N,'Dados Mov Financeira'!$O:$O,'DRE 2021'!$B107,'Dados Mov Financeira'!$A:$A,'DRE 2021'!J$1,'Dados Mov Financeira'!$B:$B,'DRE 2021'!J$2)</f>
        <v>0</v>
      </c>
      <c r="K107" s="91" t="n">
        <f aca="false">IFERROR(J107/J$5,0)</f>
        <v>0</v>
      </c>
      <c r="M107" s="75" t="n">
        <f aca="false">SUMIFS('Dados Mov Financeira'!$N:$N,'Dados Mov Financeira'!$O:$O,'DRE 2021'!$B107,'Dados Mov Financeira'!$A:$A,'DRE 2021'!M$1,'Dados Mov Financeira'!$B:$B,'DRE 2021'!M$2)</f>
        <v>0</v>
      </c>
      <c r="N107" s="91" t="n">
        <f aca="false">IFERROR(M107/M$5,0)</f>
        <v>0</v>
      </c>
      <c r="P107" s="75" t="n">
        <f aca="false">SUMIFS('Dados Mov Financeira'!$N:$N,'Dados Mov Financeira'!$O:$O,'DRE 2021'!$B107,'Dados Mov Financeira'!$A:$A,'DRE 2021'!P$1,'Dados Mov Financeira'!$B:$B,'DRE 2021'!P$2)</f>
        <v>0</v>
      </c>
      <c r="Q107" s="91" t="n">
        <f aca="false">IFERROR(P107/P$5,0)</f>
        <v>0</v>
      </c>
      <c r="S107" s="75" t="n">
        <f aca="false">SUMIFS('Dados Mov Financeira'!$N:$N,'Dados Mov Financeira'!$O:$O,'DRE 2021'!$B107,'Dados Mov Financeira'!$A:$A,'DRE 2021'!S$1,'Dados Mov Financeira'!$B:$B,'DRE 2021'!S$2)</f>
        <v>0</v>
      </c>
      <c r="T107" s="91" t="n">
        <f aca="false">IFERROR(S107/S$5,0)</f>
        <v>0</v>
      </c>
      <c r="V107" s="75" t="n">
        <f aca="false">SUMIFS('Dados Mov Financeira'!$N:$N,'Dados Mov Financeira'!$O:$O,'DRE 2021'!$B107,'Dados Mov Financeira'!$A:$A,'DRE 2021'!V$1,'Dados Mov Financeira'!$B:$B,'DRE 2021'!V$2)</f>
        <v>0</v>
      </c>
      <c r="W107" s="91" t="n">
        <f aca="false">IFERROR(V107/V$5,0)</f>
        <v>0</v>
      </c>
      <c r="Y107" s="75" t="n">
        <f aca="false">SUMIFS('Dados Mov Financeira'!$N:$N,'Dados Mov Financeira'!$O:$O,'DRE 2021'!$B107,'Dados Mov Financeira'!$A:$A,'DRE 2021'!Y$1,'Dados Mov Financeira'!$B:$B,'DRE 2021'!Y$2)</f>
        <v>0</v>
      </c>
      <c r="Z107" s="91" t="n">
        <f aca="false">IFERROR(Y107/Y$5,0)</f>
        <v>0</v>
      </c>
      <c r="AB107" s="75" t="n">
        <f aca="false">SUMIFS('Dados Mov Financeira'!$N:$N,'Dados Mov Financeira'!$O:$O,'DRE 2021'!$B107,'Dados Mov Financeira'!$A:$A,'DRE 2021'!AB$1,'Dados Mov Financeira'!$B:$B,'DRE 2021'!AB$2)</f>
        <v>0</v>
      </c>
      <c r="AC107" s="91" t="n">
        <f aca="false">IFERROR(AB107/AB$5,0)</f>
        <v>0</v>
      </c>
      <c r="AE107" s="75" t="n">
        <f aca="false">SUMIFS('Dados Mov Financeira'!$N:$N,'Dados Mov Financeira'!$O:$O,'DRE 2021'!$B107,'Dados Mov Financeira'!$A:$A,'DRE 2021'!AE$1,'Dados Mov Financeira'!$B:$B,'DRE 2021'!AE$2)</f>
        <v>0</v>
      </c>
      <c r="AF107" s="91" t="n">
        <f aca="false">IFERROR(AE107/AE$5,0)</f>
        <v>0</v>
      </c>
      <c r="AH107" s="75" t="n">
        <f aca="false">SUMIFS('Dados Mov Financeira'!$N:$N,'Dados Mov Financeira'!$O:$O,'DRE 2021'!$B107,'Dados Mov Financeira'!$A:$A,'DRE 2021'!AH$1,'Dados Mov Financeira'!$B:$B,'DRE 2021'!AH$2)</f>
        <v>0</v>
      </c>
      <c r="AI107" s="91" t="n">
        <f aca="false">IFERROR(AH107/AH$5,0)</f>
        <v>0</v>
      </c>
      <c r="AK107" s="75" t="n">
        <f aca="false">SUMIFS('Dados Mov Financeira'!$N:$N,'Dados Mov Financeira'!$O:$O,'DRE 2021'!$B107,'Dados Mov Financeira'!$A:$A,'DRE 2021'!AK$1,'Dados Mov Financeira'!$B:$B,'DRE 2021'!AK$2)</f>
        <v>0</v>
      </c>
      <c r="AL107" s="91" t="n">
        <f aca="false">IFERROR(AK107/AK$5,0)</f>
        <v>0</v>
      </c>
      <c r="AN107" s="92" t="n">
        <f aca="false">SUM(D107,G107,J107,M107,P107,S107,V107,Y107,AB107,AE107,AH107,AK107)</f>
        <v>0</v>
      </c>
      <c r="AO107" s="91" t="n">
        <f aca="false">IFERROR(AN107/AN$5,0)</f>
        <v>0</v>
      </c>
      <c r="AQ107" s="93" t="n">
        <f aca="false">AN107/$AR$1</f>
        <v>0</v>
      </c>
      <c r="AR107" s="94" t="n">
        <f aca="false">IFERROR(AQ107/AQ$5,0)</f>
        <v>0</v>
      </c>
    </row>
    <row r="108" customFormat="false" ht="14.25" hidden="false" customHeight="false" outlineLevel="1" collapsed="false">
      <c r="B108" s="89" t="s">
        <v>128</v>
      </c>
      <c r="D108" s="75" t="n">
        <f aca="false">SUMIFS('Dados Mov Financeira'!$N:$N,'Dados Mov Financeira'!$O:$O,'DRE 2021'!$B108,'Dados Mov Financeira'!$A:$A,'DRE 2021'!D$1,'Dados Mov Financeira'!$B:$B,'DRE 2021'!D$2)</f>
        <v>0</v>
      </c>
      <c r="E108" s="91" t="n">
        <f aca="false">IFERROR(D108/D$5,0)</f>
        <v>0</v>
      </c>
      <c r="G108" s="75" t="n">
        <f aca="false">SUMIFS('Dados Mov Financeira'!$N:$N,'Dados Mov Financeira'!$O:$O,'DRE 2021'!$B108,'Dados Mov Financeira'!$A:$A,'DRE 2021'!G$1,'Dados Mov Financeira'!$B:$B,'DRE 2021'!G$2)</f>
        <v>0</v>
      </c>
      <c r="H108" s="91" t="n">
        <f aca="false">IFERROR(G108/G$5,0)</f>
        <v>0</v>
      </c>
      <c r="J108" s="75" t="n">
        <f aca="false">SUMIFS('Dados Mov Financeira'!$N:$N,'Dados Mov Financeira'!$O:$O,'DRE 2021'!$B108,'Dados Mov Financeira'!$A:$A,'DRE 2021'!J$1,'Dados Mov Financeira'!$B:$B,'DRE 2021'!J$2)</f>
        <v>0</v>
      </c>
      <c r="K108" s="91" t="n">
        <f aca="false">IFERROR(J108/J$5,0)</f>
        <v>0</v>
      </c>
      <c r="M108" s="75" t="n">
        <f aca="false">SUMIFS('Dados Mov Financeira'!$N:$N,'Dados Mov Financeira'!$O:$O,'DRE 2021'!$B108,'Dados Mov Financeira'!$A:$A,'DRE 2021'!M$1,'Dados Mov Financeira'!$B:$B,'DRE 2021'!M$2)</f>
        <v>0</v>
      </c>
      <c r="N108" s="91" t="n">
        <f aca="false">IFERROR(M108/M$5,0)</f>
        <v>0</v>
      </c>
      <c r="P108" s="75" t="n">
        <f aca="false">SUMIFS('Dados Mov Financeira'!$N:$N,'Dados Mov Financeira'!$O:$O,'DRE 2021'!$B108,'Dados Mov Financeira'!$A:$A,'DRE 2021'!P$1,'Dados Mov Financeira'!$B:$B,'DRE 2021'!P$2)</f>
        <v>0</v>
      </c>
      <c r="Q108" s="91" t="n">
        <f aca="false">IFERROR(P108/P$5,0)</f>
        <v>0</v>
      </c>
      <c r="S108" s="75" t="n">
        <f aca="false">SUMIFS('Dados Mov Financeira'!$N:$N,'Dados Mov Financeira'!$O:$O,'DRE 2021'!$B108,'Dados Mov Financeira'!$A:$A,'DRE 2021'!S$1,'Dados Mov Financeira'!$B:$B,'DRE 2021'!S$2)</f>
        <v>0</v>
      </c>
      <c r="T108" s="91" t="n">
        <f aca="false">IFERROR(S108/S$5,0)</f>
        <v>0</v>
      </c>
      <c r="V108" s="75" t="n">
        <f aca="false">SUMIFS('Dados Mov Financeira'!$N:$N,'Dados Mov Financeira'!$O:$O,'DRE 2021'!$B108,'Dados Mov Financeira'!$A:$A,'DRE 2021'!V$1,'Dados Mov Financeira'!$B:$B,'DRE 2021'!V$2)</f>
        <v>0</v>
      </c>
      <c r="W108" s="91" t="n">
        <f aca="false">IFERROR(V108/V$5,0)</f>
        <v>0</v>
      </c>
      <c r="Y108" s="75" t="n">
        <f aca="false">SUMIFS('Dados Mov Financeira'!$N:$N,'Dados Mov Financeira'!$O:$O,'DRE 2021'!$B108,'Dados Mov Financeira'!$A:$A,'DRE 2021'!Y$1,'Dados Mov Financeira'!$B:$B,'DRE 2021'!Y$2)</f>
        <v>0</v>
      </c>
      <c r="Z108" s="91" t="n">
        <f aca="false">IFERROR(Y108/Y$5,0)</f>
        <v>0</v>
      </c>
      <c r="AB108" s="75" t="n">
        <f aca="false">SUMIFS('Dados Mov Financeira'!$N:$N,'Dados Mov Financeira'!$O:$O,'DRE 2021'!$B108,'Dados Mov Financeira'!$A:$A,'DRE 2021'!AB$1,'Dados Mov Financeira'!$B:$B,'DRE 2021'!AB$2)</f>
        <v>0</v>
      </c>
      <c r="AC108" s="91" t="n">
        <f aca="false">IFERROR(AB108/AB$5,0)</f>
        <v>0</v>
      </c>
      <c r="AE108" s="75" t="n">
        <f aca="false">SUMIFS('Dados Mov Financeira'!$N:$N,'Dados Mov Financeira'!$O:$O,'DRE 2021'!$B108,'Dados Mov Financeira'!$A:$A,'DRE 2021'!AE$1,'Dados Mov Financeira'!$B:$B,'DRE 2021'!AE$2)</f>
        <v>0</v>
      </c>
      <c r="AF108" s="91" t="n">
        <f aca="false">IFERROR(AE108/AE$5,0)</f>
        <v>0</v>
      </c>
      <c r="AH108" s="75" t="n">
        <f aca="false">SUMIFS('Dados Mov Financeira'!$N:$N,'Dados Mov Financeira'!$O:$O,'DRE 2021'!$B108,'Dados Mov Financeira'!$A:$A,'DRE 2021'!AH$1,'Dados Mov Financeira'!$B:$B,'DRE 2021'!AH$2)</f>
        <v>0</v>
      </c>
      <c r="AI108" s="91" t="n">
        <f aca="false">IFERROR(AH108/AH$5,0)</f>
        <v>0</v>
      </c>
      <c r="AK108" s="75" t="n">
        <f aca="false">SUMIFS('Dados Mov Financeira'!$N:$N,'Dados Mov Financeira'!$O:$O,'DRE 2021'!$B108,'Dados Mov Financeira'!$A:$A,'DRE 2021'!AK$1,'Dados Mov Financeira'!$B:$B,'DRE 2021'!AK$2)</f>
        <v>0</v>
      </c>
      <c r="AL108" s="91" t="n">
        <f aca="false">IFERROR(AK108/AK$5,0)</f>
        <v>0</v>
      </c>
      <c r="AN108" s="92" t="n">
        <f aca="false">SUM(D108,G108,J108,M108,P108,S108,V108,Y108,AB108,AE108,AH108,AK108)</f>
        <v>0</v>
      </c>
      <c r="AO108" s="91" t="n">
        <f aca="false">IFERROR(AN108/AN$5,0)</f>
        <v>0</v>
      </c>
      <c r="AQ108" s="93" t="n">
        <f aca="false">AN108/$AR$1</f>
        <v>0</v>
      </c>
      <c r="AR108" s="94" t="n">
        <f aca="false">IFERROR(AQ108/AQ$5,0)</f>
        <v>0</v>
      </c>
    </row>
    <row r="109" customFormat="false" ht="14.25" hidden="false" customHeight="false" outlineLevel="1" collapsed="false">
      <c r="B109" s="89" t="s">
        <v>129</v>
      </c>
      <c r="D109" s="75" t="n">
        <f aca="false">SUMIFS('Dados Mov Financeira'!$N:$N,'Dados Mov Financeira'!$O:$O,'DRE 2021'!$B109,'Dados Mov Financeira'!$A:$A,'DRE 2021'!D$1,'Dados Mov Financeira'!$B:$B,'DRE 2021'!D$2)</f>
        <v>0</v>
      </c>
      <c r="E109" s="91" t="n">
        <f aca="false">IFERROR(D109/D$5,0)</f>
        <v>0</v>
      </c>
      <c r="G109" s="75" t="n">
        <f aca="false">SUMIFS('Dados Mov Financeira'!$N:$N,'Dados Mov Financeira'!$O:$O,'DRE 2021'!$B109,'Dados Mov Financeira'!$A:$A,'DRE 2021'!G$1,'Dados Mov Financeira'!$B:$B,'DRE 2021'!G$2)</f>
        <v>0</v>
      </c>
      <c r="H109" s="91" t="n">
        <f aca="false">IFERROR(G109/G$5,0)</f>
        <v>0</v>
      </c>
      <c r="J109" s="75" t="n">
        <f aca="false">SUMIFS('Dados Mov Financeira'!$N:$N,'Dados Mov Financeira'!$O:$O,'DRE 2021'!$B109,'Dados Mov Financeira'!$A:$A,'DRE 2021'!J$1,'Dados Mov Financeira'!$B:$B,'DRE 2021'!J$2)</f>
        <v>0</v>
      </c>
      <c r="K109" s="91" t="n">
        <f aca="false">IFERROR(J109/J$5,0)</f>
        <v>0</v>
      </c>
      <c r="M109" s="75" t="n">
        <f aca="false">SUMIFS('Dados Mov Financeira'!$N:$N,'Dados Mov Financeira'!$O:$O,'DRE 2021'!$B109,'Dados Mov Financeira'!$A:$A,'DRE 2021'!M$1,'Dados Mov Financeira'!$B:$B,'DRE 2021'!M$2)</f>
        <v>0</v>
      </c>
      <c r="N109" s="91" t="n">
        <f aca="false">IFERROR(M109/M$5,0)</f>
        <v>0</v>
      </c>
      <c r="P109" s="75" t="n">
        <f aca="false">SUMIFS('Dados Mov Financeira'!$N:$N,'Dados Mov Financeira'!$O:$O,'DRE 2021'!$B109,'Dados Mov Financeira'!$A:$A,'DRE 2021'!P$1,'Dados Mov Financeira'!$B:$B,'DRE 2021'!P$2)</f>
        <v>0</v>
      </c>
      <c r="Q109" s="91" t="n">
        <f aca="false">IFERROR(P109/P$5,0)</f>
        <v>0</v>
      </c>
      <c r="S109" s="75" t="n">
        <f aca="false">SUMIFS('Dados Mov Financeira'!$N:$N,'Dados Mov Financeira'!$O:$O,'DRE 2021'!$B109,'Dados Mov Financeira'!$A:$A,'DRE 2021'!S$1,'Dados Mov Financeira'!$B:$B,'DRE 2021'!S$2)</f>
        <v>0</v>
      </c>
      <c r="T109" s="91" t="n">
        <f aca="false">IFERROR(S109/S$5,0)</f>
        <v>0</v>
      </c>
      <c r="V109" s="75" t="n">
        <f aca="false">SUMIFS('Dados Mov Financeira'!$N:$N,'Dados Mov Financeira'!$O:$O,'DRE 2021'!$B109,'Dados Mov Financeira'!$A:$A,'DRE 2021'!V$1,'Dados Mov Financeira'!$B:$B,'DRE 2021'!V$2)</f>
        <v>0</v>
      </c>
      <c r="W109" s="91" t="n">
        <f aca="false">IFERROR(V109/V$5,0)</f>
        <v>0</v>
      </c>
      <c r="Y109" s="75" t="n">
        <f aca="false">SUMIFS('Dados Mov Financeira'!$N:$N,'Dados Mov Financeira'!$O:$O,'DRE 2021'!$B109,'Dados Mov Financeira'!$A:$A,'DRE 2021'!Y$1,'Dados Mov Financeira'!$B:$B,'DRE 2021'!Y$2)</f>
        <v>0</v>
      </c>
      <c r="Z109" s="91" t="n">
        <f aca="false">IFERROR(Y109/Y$5,0)</f>
        <v>0</v>
      </c>
      <c r="AB109" s="75" t="n">
        <f aca="false">SUMIFS('Dados Mov Financeira'!$N:$N,'Dados Mov Financeira'!$O:$O,'DRE 2021'!$B109,'Dados Mov Financeira'!$A:$A,'DRE 2021'!AB$1,'Dados Mov Financeira'!$B:$B,'DRE 2021'!AB$2)</f>
        <v>0</v>
      </c>
      <c r="AC109" s="91" t="n">
        <f aca="false">IFERROR(AB109/AB$5,0)</f>
        <v>0</v>
      </c>
      <c r="AE109" s="75" t="n">
        <f aca="false">SUMIFS('Dados Mov Financeira'!$N:$N,'Dados Mov Financeira'!$O:$O,'DRE 2021'!$B109,'Dados Mov Financeira'!$A:$A,'DRE 2021'!AE$1,'Dados Mov Financeira'!$B:$B,'DRE 2021'!AE$2)</f>
        <v>0</v>
      </c>
      <c r="AF109" s="91" t="n">
        <f aca="false">IFERROR(AE109/AE$5,0)</f>
        <v>0</v>
      </c>
      <c r="AH109" s="75" t="n">
        <f aca="false">SUMIFS('Dados Mov Financeira'!$N:$N,'Dados Mov Financeira'!$O:$O,'DRE 2021'!$B109,'Dados Mov Financeira'!$A:$A,'DRE 2021'!AH$1,'Dados Mov Financeira'!$B:$B,'DRE 2021'!AH$2)</f>
        <v>0</v>
      </c>
      <c r="AI109" s="91" t="n">
        <f aca="false">IFERROR(AH109/AH$5,0)</f>
        <v>0</v>
      </c>
      <c r="AK109" s="75" t="n">
        <f aca="false">SUMIFS('Dados Mov Financeira'!$N:$N,'Dados Mov Financeira'!$O:$O,'DRE 2021'!$B109,'Dados Mov Financeira'!$A:$A,'DRE 2021'!AK$1,'Dados Mov Financeira'!$B:$B,'DRE 2021'!AK$2)</f>
        <v>0</v>
      </c>
      <c r="AL109" s="91" t="n">
        <f aca="false">IFERROR(AK109/AK$5,0)</f>
        <v>0</v>
      </c>
      <c r="AN109" s="92" t="n">
        <f aca="false">SUM(D109,G109,J109,M109,P109,S109,V109,Y109,AB109,AE109,AH109,AK109)</f>
        <v>0</v>
      </c>
      <c r="AO109" s="91" t="n">
        <f aca="false">IFERROR(AN109/AN$5,0)</f>
        <v>0</v>
      </c>
      <c r="AQ109" s="93" t="n">
        <f aca="false">AN109/$AR$1</f>
        <v>0</v>
      </c>
      <c r="AR109" s="94" t="n">
        <f aca="false">IFERROR(AQ109/AQ$5,0)</f>
        <v>0</v>
      </c>
    </row>
    <row r="110" s="57" customFormat="true" ht="17.25" hidden="false" customHeight="true" outlineLevel="0" collapsed="false">
      <c r="B110" s="48"/>
      <c r="C110" s="58"/>
      <c r="D110" s="59"/>
      <c r="E110" s="60"/>
      <c r="F110" s="58"/>
      <c r="G110" s="59"/>
      <c r="H110" s="60"/>
      <c r="I110" s="58"/>
      <c r="J110" s="59"/>
      <c r="K110" s="60"/>
      <c r="L110" s="58"/>
      <c r="M110" s="59"/>
      <c r="N110" s="60"/>
      <c r="O110" s="58"/>
      <c r="P110" s="59"/>
      <c r="Q110" s="60"/>
      <c r="R110" s="58"/>
      <c r="S110" s="59"/>
      <c r="T110" s="60"/>
      <c r="U110" s="58"/>
      <c r="V110" s="59"/>
      <c r="W110" s="60"/>
      <c r="X110" s="58"/>
      <c r="Y110" s="59"/>
      <c r="Z110" s="60"/>
      <c r="AA110" s="58"/>
      <c r="AB110" s="59"/>
      <c r="AC110" s="60"/>
      <c r="AD110" s="58"/>
      <c r="AE110" s="59"/>
      <c r="AF110" s="60"/>
      <c r="AG110" s="58"/>
      <c r="AH110" s="59"/>
      <c r="AI110" s="60"/>
      <c r="AJ110" s="58"/>
      <c r="AK110" s="59"/>
      <c r="AL110" s="60"/>
      <c r="AM110" s="58"/>
      <c r="AN110" s="59"/>
      <c r="AO110" s="60"/>
      <c r="AP110" s="58"/>
      <c r="AQ110" s="61"/>
      <c r="AR110" s="60"/>
      <c r="AS110" s="58"/>
    </row>
    <row r="111" s="63" customFormat="true" ht="20.85" hidden="false" customHeight="false" outlineLevel="0" collapsed="false">
      <c r="A111" s="36"/>
      <c r="B111" s="102" t="s">
        <v>130</v>
      </c>
      <c r="D111" s="103" t="n">
        <f aca="false">D42+D44</f>
        <v>0</v>
      </c>
      <c r="E111" s="104" t="n">
        <f aca="false">IFERROR(D111/D$5,0)</f>
        <v>0</v>
      </c>
      <c r="G111" s="103" t="n">
        <f aca="false">G42+G44</f>
        <v>0</v>
      </c>
      <c r="H111" s="104" t="n">
        <f aca="false">IFERROR(G111/G$5,0)</f>
        <v>0</v>
      </c>
      <c r="J111" s="103" t="n">
        <f aca="false">J42+J44</f>
        <v>0</v>
      </c>
      <c r="K111" s="104" t="n">
        <f aca="false">IFERROR(J111/J$5,0)</f>
        <v>0</v>
      </c>
      <c r="M111" s="103" t="n">
        <f aca="false">M42+M44</f>
        <v>0</v>
      </c>
      <c r="N111" s="104" t="n">
        <f aca="false">IFERROR(M111/M$5,0)</f>
        <v>0</v>
      </c>
      <c r="P111" s="103" t="n">
        <f aca="false">P42+P44</f>
        <v>0</v>
      </c>
      <c r="Q111" s="104" t="n">
        <f aca="false">IFERROR(P111/P$5,0)</f>
        <v>0</v>
      </c>
      <c r="S111" s="103" t="n">
        <f aca="false">S42+S44</f>
        <v>0</v>
      </c>
      <c r="T111" s="104" t="n">
        <f aca="false">IFERROR(S111/S$5,0)</f>
        <v>0</v>
      </c>
      <c r="V111" s="103" t="n">
        <f aca="false">V42+V44</f>
        <v>0</v>
      </c>
      <c r="W111" s="104" t="n">
        <f aca="false">IFERROR(V111/V$5,0)</f>
        <v>0</v>
      </c>
      <c r="Y111" s="103" t="n">
        <f aca="false">Y42+Y44</f>
        <v>0</v>
      </c>
      <c r="Z111" s="104" t="n">
        <f aca="false">IFERROR(Y111/Y$5,0)</f>
        <v>0</v>
      </c>
      <c r="AB111" s="103" t="n">
        <f aca="false">AB42+AB44</f>
        <v>0</v>
      </c>
      <c r="AC111" s="104" t="n">
        <f aca="false">IFERROR(AB111/AB$5,0)</f>
        <v>0</v>
      </c>
      <c r="AE111" s="103" t="n">
        <f aca="false">AE42+AE44</f>
        <v>0</v>
      </c>
      <c r="AF111" s="104" t="n">
        <f aca="false">IFERROR(AE111/AE$5,0)</f>
        <v>0</v>
      </c>
      <c r="AH111" s="103" t="n">
        <f aca="false">AH42+AH44</f>
        <v>0</v>
      </c>
      <c r="AI111" s="104" t="n">
        <f aca="false">IFERROR(AH111/AH$5,0)</f>
        <v>0</v>
      </c>
      <c r="AK111" s="103" t="n">
        <f aca="false">AK42+AK44</f>
        <v>0</v>
      </c>
      <c r="AL111" s="104" t="n">
        <f aca="false">IFERROR(AK111/AK$5,0)</f>
        <v>0</v>
      </c>
      <c r="AN111" s="103" t="n">
        <f aca="false">AN42+AN44</f>
        <v>0</v>
      </c>
      <c r="AO111" s="104" t="n">
        <f aca="false">IFERROR(AN111/AN$5,0)</f>
        <v>0</v>
      </c>
      <c r="AQ111" s="103" t="n">
        <f aca="false">AQ42+AQ44</f>
        <v>0</v>
      </c>
      <c r="AR111" s="104" t="n">
        <f aca="false">IFERROR(AQ111/AQ$5,0)</f>
        <v>0</v>
      </c>
    </row>
    <row r="112" s="57" customFormat="true" ht="7.5" hidden="false" customHeight="true" outlineLevel="0" collapsed="false">
      <c r="B112" s="48"/>
      <c r="C112" s="58"/>
      <c r="D112" s="59"/>
      <c r="E112" s="60"/>
      <c r="F112" s="58"/>
      <c r="G112" s="59"/>
      <c r="H112" s="60"/>
      <c r="I112" s="58"/>
      <c r="J112" s="59"/>
      <c r="K112" s="60"/>
      <c r="L112" s="58"/>
      <c r="M112" s="59"/>
      <c r="N112" s="60"/>
      <c r="O112" s="58"/>
      <c r="P112" s="59"/>
      <c r="Q112" s="60"/>
      <c r="R112" s="58"/>
      <c r="S112" s="59"/>
      <c r="T112" s="60"/>
      <c r="U112" s="58"/>
      <c r="V112" s="59"/>
      <c r="W112" s="60"/>
      <c r="X112" s="58"/>
      <c r="Y112" s="59"/>
      <c r="Z112" s="60"/>
      <c r="AA112" s="58"/>
      <c r="AB112" s="59"/>
      <c r="AC112" s="60"/>
      <c r="AD112" s="58"/>
      <c r="AE112" s="59"/>
      <c r="AF112" s="60"/>
      <c r="AG112" s="58"/>
      <c r="AH112" s="59"/>
      <c r="AI112" s="60"/>
      <c r="AJ112" s="58"/>
      <c r="AK112" s="59"/>
      <c r="AL112" s="60"/>
      <c r="AM112" s="58"/>
      <c r="AN112" s="59"/>
      <c r="AO112" s="60"/>
      <c r="AP112" s="58"/>
      <c r="AQ112" s="61"/>
      <c r="AR112" s="60"/>
      <c r="AS112" s="58"/>
    </row>
    <row r="113" s="63" customFormat="true" ht="20.85" hidden="false" customHeight="false" outlineLevel="0" collapsed="false">
      <c r="A113" s="36"/>
      <c r="B113" s="79" t="s">
        <v>131</v>
      </c>
      <c r="D113" s="80" t="n">
        <f aca="false">D114+D122</f>
        <v>0</v>
      </c>
      <c r="E113" s="81" t="n">
        <f aca="false">IFERROR(D113/D$5,0)</f>
        <v>0</v>
      </c>
      <c r="G113" s="80" t="n">
        <f aca="false">G114+G122</f>
        <v>0</v>
      </c>
      <c r="H113" s="81" t="n">
        <f aca="false">IFERROR(G113/G$5,0)</f>
        <v>0</v>
      </c>
      <c r="J113" s="80" t="n">
        <f aca="false">J114+J122</f>
        <v>0</v>
      </c>
      <c r="K113" s="81" t="n">
        <f aca="false">IFERROR(J113/J$5,0)</f>
        <v>0</v>
      </c>
      <c r="M113" s="80" t="n">
        <f aca="false">M114+M122</f>
        <v>0</v>
      </c>
      <c r="N113" s="81" t="n">
        <f aca="false">IFERROR(M113/M$5,0)</f>
        <v>0</v>
      </c>
      <c r="P113" s="80" t="n">
        <f aca="false">P114+P122</f>
        <v>0</v>
      </c>
      <c r="Q113" s="81" t="n">
        <f aca="false">IFERROR(P113/P$5,0)</f>
        <v>0</v>
      </c>
      <c r="S113" s="80" t="n">
        <f aca="false">S114+S122</f>
        <v>0</v>
      </c>
      <c r="T113" s="81" t="n">
        <f aca="false">IFERROR(S113/S$5,0)</f>
        <v>0</v>
      </c>
      <c r="V113" s="80" t="n">
        <f aca="false">V114+V122</f>
        <v>0</v>
      </c>
      <c r="W113" s="81" t="n">
        <f aca="false">IFERROR(V113/V$5,0)</f>
        <v>0</v>
      </c>
      <c r="Y113" s="80" t="n">
        <f aca="false">Y114+Y122</f>
        <v>0</v>
      </c>
      <c r="Z113" s="81" t="n">
        <f aca="false">IFERROR(Y113/Y$5,0)</f>
        <v>0</v>
      </c>
      <c r="AB113" s="80" t="n">
        <f aca="false">AB114+AB122</f>
        <v>0</v>
      </c>
      <c r="AC113" s="81" t="n">
        <f aca="false">IFERROR(AB113/AB$5,0)</f>
        <v>0</v>
      </c>
      <c r="AE113" s="80" t="n">
        <f aca="false">AE114+AE122</f>
        <v>0</v>
      </c>
      <c r="AF113" s="81" t="n">
        <f aca="false">IFERROR(AE113/AE$5,0)</f>
        <v>0</v>
      </c>
      <c r="AH113" s="80" t="n">
        <f aca="false">AH114+AH122</f>
        <v>0</v>
      </c>
      <c r="AI113" s="81" t="n">
        <f aca="false">IFERROR(AH113/AH$5,0)</f>
        <v>0</v>
      </c>
      <c r="AK113" s="80" t="n">
        <f aca="false">AK114+AK122</f>
        <v>0</v>
      </c>
      <c r="AL113" s="81" t="n">
        <f aca="false">IFERROR(AK113/AK$5,0)</f>
        <v>0</v>
      </c>
      <c r="AN113" s="80" t="n">
        <f aca="false">AN114+AN122</f>
        <v>0</v>
      </c>
      <c r="AO113" s="81" t="n">
        <f aca="false">IFERROR(AN113/AN$5,0)</f>
        <v>0</v>
      </c>
      <c r="AQ113" s="80" t="n">
        <f aca="false">AQ114+AQ122</f>
        <v>0</v>
      </c>
      <c r="AR113" s="81" t="n">
        <f aca="false">IFERROR(AQ113/AQ$5,0)</f>
        <v>0</v>
      </c>
    </row>
    <row r="114" s="63" customFormat="true" ht="14.25" hidden="false" customHeight="false" outlineLevel="0" collapsed="false">
      <c r="B114" s="106" t="s">
        <v>132</v>
      </c>
      <c r="D114" s="99" t="n">
        <f aca="false">SUM(D115:D121)</f>
        <v>0</v>
      </c>
      <c r="E114" s="95" t="n">
        <f aca="false">IFERROR(D114/D$5,0)</f>
        <v>0</v>
      </c>
      <c r="G114" s="99" t="n">
        <f aca="false">SUM(G115:G121)</f>
        <v>0</v>
      </c>
      <c r="H114" s="95" t="n">
        <f aca="false">IFERROR(G114/G$5,0)</f>
        <v>0</v>
      </c>
      <c r="J114" s="99" t="n">
        <f aca="false">SUM(J115:J121)</f>
        <v>0</v>
      </c>
      <c r="K114" s="95" t="n">
        <f aca="false">IFERROR(J114/J$5,0)</f>
        <v>0</v>
      </c>
      <c r="M114" s="99" t="n">
        <f aca="false">SUM(M115:M121)</f>
        <v>0</v>
      </c>
      <c r="N114" s="95" t="n">
        <f aca="false">IFERROR(M114/M$5,0)</f>
        <v>0</v>
      </c>
      <c r="P114" s="99" t="n">
        <f aca="false">SUM(P115:P121)</f>
        <v>0</v>
      </c>
      <c r="Q114" s="95" t="n">
        <f aca="false">IFERROR(P114/P$5,0)</f>
        <v>0</v>
      </c>
      <c r="S114" s="99" t="n">
        <f aca="false">SUM(S115:S121)</f>
        <v>0</v>
      </c>
      <c r="T114" s="95" t="n">
        <f aca="false">IFERROR(S114/S$5,0)</f>
        <v>0</v>
      </c>
      <c r="V114" s="99" t="n">
        <f aca="false">SUM(V115:V121)</f>
        <v>0</v>
      </c>
      <c r="W114" s="95" t="n">
        <f aca="false">IFERROR(V114/V$5,0)</f>
        <v>0</v>
      </c>
      <c r="Y114" s="99" t="n">
        <f aca="false">SUM(Y115:Y121)</f>
        <v>0</v>
      </c>
      <c r="Z114" s="95" t="n">
        <f aca="false">IFERROR(Y114/Y$5,0)</f>
        <v>0</v>
      </c>
      <c r="AB114" s="99" t="n">
        <f aca="false">SUM(AB115:AB121)</f>
        <v>0</v>
      </c>
      <c r="AC114" s="95" t="n">
        <f aca="false">IFERROR(AB114/AB$5,0)</f>
        <v>0</v>
      </c>
      <c r="AE114" s="99" t="n">
        <f aca="false">SUM(AE115:AE121)</f>
        <v>0</v>
      </c>
      <c r="AF114" s="95" t="n">
        <f aca="false">IFERROR(AE114/AE$5,0)</f>
        <v>0</v>
      </c>
      <c r="AH114" s="99" t="n">
        <f aca="false">SUM(AH115:AH121)</f>
        <v>0</v>
      </c>
      <c r="AI114" s="95" t="n">
        <f aca="false">IFERROR(AH114/AH$5,0)</f>
        <v>0</v>
      </c>
      <c r="AK114" s="99" t="n">
        <f aca="false">SUM(AK115:AK121)</f>
        <v>0</v>
      </c>
      <c r="AL114" s="95" t="n">
        <f aca="false">IFERROR(AK114/AK$5,0)</f>
        <v>0</v>
      </c>
      <c r="AN114" s="99" t="n">
        <f aca="false">SUM(AN115:AN121)</f>
        <v>0</v>
      </c>
      <c r="AO114" s="95" t="n">
        <f aca="false">IFERROR(AN114/AN$5,0)</f>
        <v>0</v>
      </c>
      <c r="AQ114" s="99" t="n">
        <f aca="false">SUM(AQ115:AQ121)</f>
        <v>0</v>
      </c>
      <c r="AR114" s="76" t="n">
        <f aca="false">IFERROR(AQ114/AQ$5,0)</f>
        <v>0</v>
      </c>
    </row>
    <row r="115" customFormat="false" ht="14.25" hidden="false" customHeight="false" outlineLevel="1" collapsed="false">
      <c r="B115" s="117" t="s">
        <v>133</v>
      </c>
      <c r="D115" s="75" t="n">
        <f aca="false">SUMIFS('Dados Mov Financeira'!$N:$N,'Dados Mov Financeira'!$O:$O,'DRE 2021'!$B115,'Dados Mov Financeira'!$A:$A,'DRE 2021'!D$1,'Dados Mov Financeira'!$B:$B,'DRE 2021'!D$2)</f>
        <v>0</v>
      </c>
      <c r="E115" s="91" t="n">
        <f aca="false">IFERROR(D115/D$5,0)</f>
        <v>0</v>
      </c>
      <c r="G115" s="75" t="n">
        <f aca="false">SUMIFS('Dados Mov Financeira'!$N:$N,'Dados Mov Financeira'!$O:$O,'DRE 2021'!$B115,'Dados Mov Financeira'!$A:$A,'DRE 2021'!G$1,'Dados Mov Financeira'!$B:$B,'DRE 2021'!G$2)</f>
        <v>0</v>
      </c>
      <c r="H115" s="91" t="n">
        <f aca="false">IFERROR(G115/G$5,0)</f>
        <v>0</v>
      </c>
      <c r="J115" s="75" t="n">
        <f aca="false">SUMIFS('Dados Mov Financeira'!$N:$N,'Dados Mov Financeira'!$O:$O,'DRE 2021'!$B115,'Dados Mov Financeira'!$A:$A,'DRE 2021'!J$1,'Dados Mov Financeira'!$B:$B,'DRE 2021'!J$2)</f>
        <v>0</v>
      </c>
      <c r="K115" s="91" t="n">
        <f aca="false">IFERROR(J115/J$5,0)</f>
        <v>0</v>
      </c>
      <c r="M115" s="75" t="n">
        <f aca="false">SUMIFS('Dados Mov Financeira'!$N:$N,'Dados Mov Financeira'!$O:$O,'DRE 2021'!$B115,'Dados Mov Financeira'!$A:$A,'DRE 2021'!M$1,'Dados Mov Financeira'!$B:$B,'DRE 2021'!M$2)</f>
        <v>0</v>
      </c>
      <c r="N115" s="91" t="n">
        <f aca="false">IFERROR(M115/M$5,0)</f>
        <v>0</v>
      </c>
      <c r="P115" s="75" t="n">
        <f aca="false">SUMIFS('Dados Mov Financeira'!$N:$N,'Dados Mov Financeira'!$O:$O,'DRE 2021'!$B115,'Dados Mov Financeira'!$A:$A,'DRE 2021'!P$1,'Dados Mov Financeira'!$B:$B,'DRE 2021'!P$2)</f>
        <v>0</v>
      </c>
      <c r="Q115" s="91" t="n">
        <f aca="false">IFERROR(P115/P$5,0)</f>
        <v>0</v>
      </c>
      <c r="S115" s="75" t="n">
        <f aca="false">SUMIFS('Dados Mov Financeira'!$N:$N,'Dados Mov Financeira'!$O:$O,'DRE 2021'!$B115,'Dados Mov Financeira'!$A:$A,'DRE 2021'!S$1,'Dados Mov Financeira'!$B:$B,'DRE 2021'!S$2)</f>
        <v>0</v>
      </c>
      <c r="T115" s="91" t="n">
        <f aca="false">IFERROR(S115/S$5,0)</f>
        <v>0</v>
      </c>
      <c r="V115" s="75" t="n">
        <f aca="false">SUMIFS('Dados Mov Financeira'!$N:$N,'Dados Mov Financeira'!$O:$O,'DRE 2021'!$B115,'Dados Mov Financeira'!$A:$A,'DRE 2021'!V$1,'Dados Mov Financeira'!$B:$B,'DRE 2021'!V$2)</f>
        <v>0</v>
      </c>
      <c r="W115" s="91" t="n">
        <f aca="false">IFERROR(V115/V$5,0)</f>
        <v>0</v>
      </c>
      <c r="Y115" s="75" t="n">
        <f aca="false">SUMIFS('Dados Mov Financeira'!$N:$N,'Dados Mov Financeira'!$O:$O,'DRE 2021'!$B115,'Dados Mov Financeira'!$A:$A,'DRE 2021'!Y$1,'Dados Mov Financeira'!$B:$B,'DRE 2021'!Y$2)</f>
        <v>0</v>
      </c>
      <c r="Z115" s="91" t="n">
        <f aca="false">IFERROR(Y115/Y$5,0)</f>
        <v>0</v>
      </c>
      <c r="AB115" s="75" t="n">
        <f aca="false">SUMIFS('Dados Mov Financeira'!$N:$N,'Dados Mov Financeira'!$O:$O,'DRE 2021'!$B115,'Dados Mov Financeira'!$A:$A,'DRE 2021'!AB$1,'Dados Mov Financeira'!$B:$B,'DRE 2021'!AB$2)</f>
        <v>0</v>
      </c>
      <c r="AC115" s="91" t="n">
        <f aca="false">IFERROR(AB115/AB$5,0)</f>
        <v>0</v>
      </c>
      <c r="AE115" s="75" t="n">
        <f aca="false">SUMIFS('Dados Mov Financeira'!$N:$N,'Dados Mov Financeira'!$O:$O,'DRE 2021'!$B115,'Dados Mov Financeira'!$A:$A,'DRE 2021'!AE$1,'Dados Mov Financeira'!$B:$B,'DRE 2021'!AE$2)</f>
        <v>0</v>
      </c>
      <c r="AF115" s="91" t="n">
        <f aca="false">IFERROR(AE115/AE$5,0)</f>
        <v>0</v>
      </c>
      <c r="AH115" s="75" t="n">
        <f aca="false">SUMIFS('Dados Mov Financeira'!$N:$N,'Dados Mov Financeira'!$O:$O,'DRE 2021'!$B115,'Dados Mov Financeira'!$A:$A,'DRE 2021'!AH$1,'Dados Mov Financeira'!$B:$B,'DRE 2021'!AH$2)</f>
        <v>0</v>
      </c>
      <c r="AI115" s="91" t="n">
        <f aca="false">IFERROR(AH115/AH$5,0)</f>
        <v>0</v>
      </c>
      <c r="AK115" s="75" t="n">
        <f aca="false">SUMIFS('Dados Mov Financeira'!$N:$N,'Dados Mov Financeira'!$O:$O,'DRE 2021'!$B115,'Dados Mov Financeira'!$A:$A,'DRE 2021'!AK$1,'Dados Mov Financeira'!$B:$B,'DRE 2021'!AK$2)</f>
        <v>0</v>
      </c>
      <c r="AL115" s="91" t="n">
        <f aca="false">IFERROR(AK115/AK$5,0)</f>
        <v>0</v>
      </c>
      <c r="AN115" s="92" t="n">
        <f aca="false">SUM(D115,G115,J115,M115,P115,S115,V115,Y115,AB115,AE115,AH115,AK115)</f>
        <v>0</v>
      </c>
      <c r="AO115" s="108" t="n">
        <f aca="false">IFERROR(AN115/AN$5,0)</f>
        <v>0</v>
      </c>
      <c r="AQ115" s="93" t="n">
        <f aca="false">AN115/$AR$1</f>
        <v>0</v>
      </c>
      <c r="AR115" s="94" t="n">
        <f aca="false">IFERROR(AQ115/AQ$5,0)</f>
        <v>0</v>
      </c>
    </row>
    <row r="116" customFormat="false" ht="14.25" hidden="false" customHeight="false" outlineLevel="1" collapsed="false">
      <c r="B116" s="117" t="s">
        <v>134</v>
      </c>
      <c r="D116" s="75" t="n">
        <f aca="false">SUMIFS('Dados Mov Financeira'!$N:$N,'Dados Mov Financeira'!$O:$O,'DRE 2021'!$B116,'Dados Mov Financeira'!$A:$A,'DRE 2021'!D$1,'Dados Mov Financeira'!$B:$B,'DRE 2021'!D$2)</f>
        <v>0</v>
      </c>
      <c r="E116" s="91" t="n">
        <f aca="false">IFERROR(D116/D$5,0)</f>
        <v>0</v>
      </c>
      <c r="G116" s="75" t="n">
        <f aca="false">SUMIFS('Dados Mov Financeira'!$N:$N,'Dados Mov Financeira'!$O:$O,'DRE 2021'!$B116,'Dados Mov Financeira'!$A:$A,'DRE 2021'!G$1,'Dados Mov Financeira'!$B:$B,'DRE 2021'!G$2)</f>
        <v>0</v>
      </c>
      <c r="H116" s="91" t="n">
        <f aca="false">IFERROR(G116/G$5,0)</f>
        <v>0</v>
      </c>
      <c r="J116" s="75" t="n">
        <f aca="false">SUMIFS('Dados Mov Financeira'!$N:$N,'Dados Mov Financeira'!$O:$O,'DRE 2021'!$B116,'Dados Mov Financeira'!$A:$A,'DRE 2021'!J$1,'Dados Mov Financeira'!$B:$B,'DRE 2021'!J$2)</f>
        <v>0</v>
      </c>
      <c r="K116" s="91" t="n">
        <f aca="false">IFERROR(J116/J$5,0)</f>
        <v>0</v>
      </c>
      <c r="M116" s="75" t="n">
        <f aca="false">SUMIFS('Dados Mov Financeira'!$N:$N,'Dados Mov Financeira'!$O:$O,'DRE 2021'!$B116,'Dados Mov Financeira'!$A:$A,'DRE 2021'!M$1,'Dados Mov Financeira'!$B:$B,'DRE 2021'!M$2)</f>
        <v>0</v>
      </c>
      <c r="N116" s="91" t="n">
        <f aca="false">IFERROR(M116/M$5,0)</f>
        <v>0</v>
      </c>
      <c r="P116" s="75" t="n">
        <f aca="false">SUMIFS('Dados Mov Financeira'!$N:$N,'Dados Mov Financeira'!$O:$O,'DRE 2021'!$B116,'Dados Mov Financeira'!$A:$A,'DRE 2021'!P$1,'Dados Mov Financeira'!$B:$B,'DRE 2021'!P$2)</f>
        <v>0</v>
      </c>
      <c r="Q116" s="91" t="n">
        <f aca="false">IFERROR(P116/P$5,0)</f>
        <v>0</v>
      </c>
      <c r="S116" s="75" t="n">
        <f aca="false">SUMIFS('Dados Mov Financeira'!$N:$N,'Dados Mov Financeira'!$O:$O,'DRE 2021'!$B116,'Dados Mov Financeira'!$A:$A,'DRE 2021'!S$1,'Dados Mov Financeira'!$B:$B,'DRE 2021'!S$2)</f>
        <v>0</v>
      </c>
      <c r="T116" s="91" t="n">
        <f aca="false">IFERROR(S116/S$5,0)</f>
        <v>0</v>
      </c>
      <c r="V116" s="75" t="n">
        <f aca="false">SUMIFS('Dados Mov Financeira'!$N:$N,'Dados Mov Financeira'!$O:$O,'DRE 2021'!$B116,'Dados Mov Financeira'!$A:$A,'DRE 2021'!V$1,'Dados Mov Financeira'!$B:$B,'DRE 2021'!V$2)</f>
        <v>0</v>
      </c>
      <c r="W116" s="91" t="n">
        <f aca="false">IFERROR(V116/V$5,0)</f>
        <v>0</v>
      </c>
      <c r="Y116" s="75" t="n">
        <f aca="false">SUMIFS('Dados Mov Financeira'!$N:$N,'Dados Mov Financeira'!$O:$O,'DRE 2021'!$B116,'Dados Mov Financeira'!$A:$A,'DRE 2021'!Y$1,'Dados Mov Financeira'!$B:$B,'DRE 2021'!Y$2)</f>
        <v>0</v>
      </c>
      <c r="Z116" s="91" t="n">
        <f aca="false">IFERROR(Y116/Y$5,0)</f>
        <v>0</v>
      </c>
      <c r="AB116" s="75" t="n">
        <f aca="false">SUMIFS('Dados Mov Financeira'!$N:$N,'Dados Mov Financeira'!$O:$O,'DRE 2021'!$B116,'Dados Mov Financeira'!$A:$A,'DRE 2021'!AB$1,'Dados Mov Financeira'!$B:$B,'DRE 2021'!AB$2)</f>
        <v>0</v>
      </c>
      <c r="AC116" s="91" t="n">
        <f aca="false">IFERROR(AB116/AB$5,0)</f>
        <v>0</v>
      </c>
      <c r="AE116" s="75" t="n">
        <f aca="false">SUMIFS('Dados Mov Financeira'!$N:$N,'Dados Mov Financeira'!$O:$O,'DRE 2021'!$B116,'Dados Mov Financeira'!$A:$A,'DRE 2021'!AE$1,'Dados Mov Financeira'!$B:$B,'DRE 2021'!AE$2)</f>
        <v>0</v>
      </c>
      <c r="AF116" s="91" t="n">
        <f aca="false">IFERROR(AE116/AE$5,0)</f>
        <v>0</v>
      </c>
      <c r="AH116" s="75" t="n">
        <f aca="false">SUMIFS('Dados Mov Financeira'!$N:$N,'Dados Mov Financeira'!$O:$O,'DRE 2021'!$B116,'Dados Mov Financeira'!$A:$A,'DRE 2021'!AH$1,'Dados Mov Financeira'!$B:$B,'DRE 2021'!AH$2)</f>
        <v>0</v>
      </c>
      <c r="AI116" s="91" t="n">
        <f aca="false">IFERROR(AH116/AH$5,0)</f>
        <v>0</v>
      </c>
      <c r="AK116" s="75" t="n">
        <f aca="false">SUMIFS('Dados Mov Financeira'!$N:$N,'Dados Mov Financeira'!$O:$O,'DRE 2021'!$B116,'Dados Mov Financeira'!$A:$A,'DRE 2021'!AK$1,'Dados Mov Financeira'!$B:$B,'DRE 2021'!AK$2)</f>
        <v>0</v>
      </c>
      <c r="AL116" s="91" t="n">
        <f aca="false">IFERROR(AK116/AK$5,0)</f>
        <v>0</v>
      </c>
      <c r="AN116" s="92" t="n">
        <f aca="false">SUM(D116,G116,J116,M116,P116,S116,V116,Y116,AB116,AE116,AH116,AK116)</f>
        <v>0</v>
      </c>
      <c r="AO116" s="108" t="n">
        <f aca="false">IFERROR(AN116/AN$5,0)</f>
        <v>0</v>
      </c>
      <c r="AQ116" s="93" t="n">
        <f aca="false">AN116/$AR$1</f>
        <v>0</v>
      </c>
      <c r="AR116" s="94" t="n">
        <f aca="false">IFERROR(AQ116/AQ$5,0)</f>
        <v>0</v>
      </c>
    </row>
    <row r="117" customFormat="false" ht="14.25" hidden="false" customHeight="false" outlineLevel="1" collapsed="false">
      <c r="B117" s="117" t="s">
        <v>135</v>
      </c>
      <c r="D117" s="75" t="n">
        <f aca="false">SUMIFS('Dados Mov Financeira'!$N:$N,'Dados Mov Financeira'!$O:$O,'DRE 2021'!$B117,'Dados Mov Financeira'!$A:$A,'DRE 2021'!D$1,'Dados Mov Financeira'!$B:$B,'DRE 2021'!D$2)</f>
        <v>0</v>
      </c>
      <c r="E117" s="91" t="n">
        <f aca="false">IFERROR(D117/D$5,0)</f>
        <v>0</v>
      </c>
      <c r="G117" s="75" t="n">
        <f aca="false">SUMIFS('Dados Mov Financeira'!$N:$N,'Dados Mov Financeira'!$O:$O,'DRE 2021'!$B117,'Dados Mov Financeira'!$A:$A,'DRE 2021'!G$1,'Dados Mov Financeira'!$B:$B,'DRE 2021'!G$2)</f>
        <v>0</v>
      </c>
      <c r="H117" s="91" t="n">
        <f aca="false">IFERROR(G117/G$5,0)</f>
        <v>0</v>
      </c>
      <c r="J117" s="75" t="n">
        <f aca="false">SUMIFS('Dados Mov Financeira'!$N:$N,'Dados Mov Financeira'!$O:$O,'DRE 2021'!$B117,'Dados Mov Financeira'!$A:$A,'DRE 2021'!J$1,'Dados Mov Financeira'!$B:$B,'DRE 2021'!J$2)</f>
        <v>0</v>
      </c>
      <c r="K117" s="91" t="n">
        <f aca="false">IFERROR(J117/J$5,0)</f>
        <v>0</v>
      </c>
      <c r="M117" s="75" t="n">
        <f aca="false">SUMIFS('Dados Mov Financeira'!$N:$N,'Dados Mov Financeira'!$O:$O,'DRE 2021'!$B117,'Dados Mov Financeira'!$A:$A,'DRE 2021'!M$1,'Dados Mov Financeira'!$B:$B,'DRE 2021'!M$2)</f>
        <v>0</v>
      </c>
      <c r="N117" s="91" t="n">
        <f aca="false">IFERROR(M117/M$5,0)</f>
        <v>0</v>
      </c>
      <c r="P117" s="75" t="n">
        <f aca="false">SUMIFS('Dados Mov Financeira'!$N:$N,'Dados Mov Financeira'!$O:$O,'DRE 2021'!$B117,'Dados Mov Financeira'!$A:$A,'DRE 2021'!P$1,'Dados Mov Financeira'!$B:$B,'DRE 2021'!P$2)</f>
        <v>0</v>
      </c>
      <c r="Q117" s="91" t="n">
        <f aca="false">IFERROR(P117/P$5,0)</f>
        <v>0</v>
      </c>
      <c r="S117" s="75" t="n">
        <f aca="false">SUMIFS('Dados Mov Financeira'!$N:$N,'Dados Mov Financeira'!$O:$O,'DRE 2021'!$B117,'Dados Mov Financeira'!$A:$A,'DRE 2021'!S$1,'Dados Mov Financeira'!$B:$B,'DRE 2021'!S$2)</f>
        <v>0</v>
      </c>
      <c r="T117" s="91" t="n">
        <f aca="false">IFERROR(S117/S$5,0)</f>
        <v>0</v>
      </c>
      <c r="V117" s="75" t="n">
        <f aca="false">SUMIFS('Dados Mov Financeira'!$N:$N,'Dados Mov Financeira'!$O:$O,'DRE 2021'!$B117,'Dados Mov Financeira'!$A:$A,'DRE 2021'!V$1,'Dados Mov Financeira'!$B:$B,'DRE 2021'!V$2)</f>
        <v>0</v>
      </c>
      <c r="W117" s="91" t="n">
        <f aca="false">IFERROR(V117/V$5,0)</f>
        <v>0</v>
      </c>
      <c r="Y117" s="75" t="n">
        <f aca="false">SUMIFS('Dados Mov Financeira'!$N:$N,'Dados Mov Financeira'!$O:$O,'DRE 2021'!$B117,'Dados Mov Financeira'!$A:$A,'DRE 2021'!Y$1,'Dados Mov Financeira'!$B:$B,'DRE 2021'!Y$2)</f>
        <v>0</v>
      </c>
      <c r="Z117" s="91" t="n">
        <f aca="false">IFERROR(Y117/Y$5,0)</f>
        <v>0</v>
      </c>
      <c r="AB117" s="75" t="n">
        <f aca="false">SUMIFS('Dados Mov Financeira'!$N:$N,'Dados Mov Financeira'!$O:$O,'DRE 2021'!$B117,'Dados Mov Financeira'!$A:$A,'DRE 2021'!AB$1,'Dados Mov Financeira'!$B:$B,'DRE 2021'!AB$2)</f>
        <v>0</v>
      </c>
      <c r="AC117" s="91" t="n">
        <f aca="false">IFERROR(AB117/AB$5,0)</f>
        <v>0</v>
      </c>
      <c r="AE117" s="75" t="n">
        <f aca="false">SUMIFS('Dados Mov Financeira'!$N:$N,'Dados Mov Financeira'!$O:$O,'DRE 2021'!$B117,'Dados Mov Financeira'!$A:$A,'DRE 2021'!AE$1,'Dados Mov Financeira'!$B:$B,'DRE 2021'!AE$2)</f>
        <v>0</v>
      </c>
      <c r="AF117" s="91" t="n">
        <f aca="false">IFERROR(AE117/AE$5,0)</f>
        <v>0</v>
      </c>
      <c r="AH117" s="75" t="n">
        <f aca="false">SUMIFS('Dados Mov Financeira'!$N:$N,'Dados Mov Financeira'!$O:$O,'DRE 2021'!$B117,'Dados Mov Financeira'!$A:$A,'DRE 2021'!AH$1,'Dados Mov Financeira'!$B:$B,'DRE 2021'!AH$2)</f>
        <v>0</v>
      </c>
      <c r="AI117" s="91" t="n">
        <f aca="false">IFERROR(AH117/AH$5,0)</f>
        <v>0</v>
      </c>
      <c r="AK117" s="75" t="n">
        <f aca="false">SUMIFS('Dados Mov Financeira'!$N:$N,'Dados Mov Financeira'!$O:$O,'DRE 2021'!$B117,'Dados Mov Financeira'!$A:$A,'DRE 2021'!AK$1,'Dados Mov Financeira'!$B:$B,'DRE 2021'!AK$2)</f>
        <v>0</v>
      </c>
      <c r="AL117" s="91" t="n">
        <f aca="false">IFERROR(AK117/AK$5,0)</f>
        <v>0</v>
      </c>
      <c r="AN117" s="92" t="n">
        <f aca="false">SUM(D117,G117,J117,M117,P117,S117,V117,Y117,AB117,AE117,AH117,AK117)</f>
        <v>0</v>
      </c>
      <c r="AO117" s="108" t="n">
        <f aca="false">IFERROR(AN117/AN$5,0)</f>
        <v>0</v>
      </c>
      <c r="AQ117" s="93" t="n">
        <f aca="false">AN117/$AR$1</f>
        <v>0</v>
      </c>
      <c r="AR117" s="94" t="n">
        <f aca="false">IFERROR(AQ117/AQ$5,0)</f>
        <v>0</v>
      </c>
    </row>
    <row r="118" customFormat="false" ht="14.25" hidden="false" customHeight="false" outlineLevel="1" collapsed="false">
      <c r="B118" s="89" t="s">
        <v>136</v>
      </c>
      <c r="D118" s="75" t="n">
        <f aca="false">SUMIFS('Dados Mov Financeira'!$N:$N,'Dados Mov Financeira'!$O:$O,'DRE 2021'!$B118,'Dados Mov Financeira'!$A:$A,'DRE 2021'!D$1,'Dados Mov Financeira'!$B:$B,'DRE 2021'!D$2)</f>
        <v>0</v>
      </c>
      <c r="E118" s="91" t="n">
        <f aca="false">IFERROR(D118/D$5,0)</f>
        <v>0</v>
      </c>
      <c r="G118" s="75" t="n">
        <f aca="false">SUMIFS('Dados Mov Financeira'!$N:$N,'Dados Mov Financeira'!$O:$O,'DRE 2021'!$B118,'Dados Mov Financeira'!$A:$A,'DRE 2021'!G$1,'Dados Mov Financeira'!$B:$B,'DRE 2021'!G$2)</f>
        <v>0</v>
      </c>
      <c r="H118" s="91" t="n">
        <f aca="false">IFERROR(G118/G$5,0)</f>
        <v>0</v>
      </c>
      <c r="J118" s="75" t="n">
        <f aca="false">SUMIFS('Dados Mov Financeira'!$N:$N,'Dados Mov Financeira'!$O:$O,'DRE 2021'!$B118,'Dados Mov Financeira'!$A:$A,'DRE 2021'!J$1,'Dados Mov Financeira'!$B:$B,'DRE 2021'!J$2)</f>
        <v>0</v>
      </c>
      <c r="K118" s="91" t="n">
        <f aca="false">IFERROR(J118/J$5,0)</f>
        <v>0</v>
      </c>
      <c r="M118" s="75" t="n">
        <f aca="false">SUMIFS('Dados Mov Financeira'!$N:$N,'Dados Mov Financeira'!$O:$O,'DRE 2021'!$B118,'Dados Mov Financeira'!$A:$A,'DRE 2021'!M$1,'Dados Mov Financeira'!$B:$B,'DRE 2021'!M$2)</f>
        <v>0</v>
      </c>
      <c r="N118" s="91" t="n">
        <f aca="false">IFERROR(M118/M$5,0)</f>
        <v>0</v>
      </c>
      <c r="P118" s="75" t="n">
        <f aca="false">SUMIFS('Dados Mov Financeira'!$N:$N,'Dados Mov Financeira'!$O:$O,'DRE 2021'!$B118,'Dados Mov Financeira'!$A:$A,'DRE 2021'!P$1,'Dados Mov Financeira'!$B:$B,'DRE 2021'!P$2)</f>
        <v>0</v>
      </c>
      <c r="Q118" s="91" t="n">
        <f aca="false">IFERROR(P118/P$5,0)</f>
        <v>0</v>
      </c>
      <c r="S118" s="75" t="n">
        <f aca="false">SUMIFS('Dados Mov Financeira'!$N:$N,'Dados Mov Financeira'!$O:$O,'DRE 2021'!$B118,'Dados Mov Financeira'!$A:$A,'DRE 2021'!S$1,'Dados Mov Financeira'!$B:$B,'DRE 2021'!S$2)</f>
        <v>0</v>
      </c>
      <c r="T118" s="91" t="n">
        <f aca="false">IFERROR(S118/S$5,0)</f>
        <v>0</v>
      </c>
      <c r="V118" s="75" t="n">
        <f aca="false">SUMIFS('Dados Mov Financeira'!$N:$N,'Dados Mov Financeira'!$O:$O,'DRE 2021'!$B118,'Dados Mov Financeira'!$A:$A,'DRE 2021'!V$1,'Dados Mov Financeira'!$B:$B,'DRE 2021'!V$2)</f>
        <v>0</v>
      </c>
      <c r="W118" s="91" t="n">
        <f aca="false">IFERROR(V118/V$5,0)</f>
        <v>0</v>
      </c>
      <c r="Y118" s="75" t="n">
        <f aca="false">SUMIFS('Dados Mov Financeira'!$N:$N,'Dados Mov Financeira'!$O:$O,'DRE 2021'!$B118,'Dados Mov Financeira'!$A:$A,'DRE 2021'!Y$1,'Dados Mov Financeira'!$B:$B,'DRE 2021'!Y$2)</f>
        <v>0</v>
      </c>
      <c r="Z118" s="91" t="n">
        <f aca="false">IFERROR(Y118/Y$5,0)</f>
        <v>0</v>
      </c>
      <c r="AB118" s="75" t="n">
        <f aca="false">SUMIFS('Dados Mov Financeira'!$N:$N,'Dados Mov Financeira'!$O:$O,'DRE 2021'!$B118,'Dados Mov Financeira'!$A:$A,'DRE 2021'!AB$1,'Dados Mov Financeira'!$B:$B,'DRE 2021'!AB$2)</f>
        <v>0</v>
      </c>
      <c r="AC118" s="91" t="n">
        <f aca="false">IFERROR(AB118/AB$5,0)</f>
        <v>0</v>
      </c>
      <c r="AE118" s="75" t="n">
        <f aca="false">SUMIFS('Dados Mov Financeira'!$N:$N,'Dados Mov Financeira'!$O:$O,'DRE 2021'!$B118,'Dados Mov Financeira'!$A:$A,'DRE 2021'!AE$1,'Dados Mov Financeira'!$B:$B,'DRE 2021'!AE$2)</f>
        <v>0</v>
      </c>
      <c r="AF118" s="91" t="n">
        <f aca="false">IFERROR(AE118/AE$5,0)</f>
        <v>0</v>
      </c>
      <c r="AH118" s="75" t="n">
        <f aca="false">SUMIFS('Dados Mov Financeira'!$N:$N,'Dados Mov Financeira'!$O:$O,'DRE 2021'!$B118,'Dados Mov Financeira'!$A:$A,'DRE 2021'!AH$1,'Dados Mov Financeira'!$B:$B,'DRE 2021'!AH$2)</f>
        <v>0</v>
      </c>
      <c r="AI118" s="91" t="n">
        <f aca="false">IFERROR(AH118/AH$5,0)</f>
        <v>0</v>
      </c>
      <c r="AK118" s="75" t="n">
        <f aca="false">SUMIFS('Dados Mov Financeira'!$N:$N,'Dados Mov Financeira'!$O:$O,'DRE 2021'!$B118,'Dados Mov Financeira'!$A:$A,'DRE 2021'!AK$1,'Dados Mov Financeira'!$B:$B,'DRE 2021'!AK$2)</f>
        <v>0</v>
      </c>
      <c r="AL118" s="91" t="n">
        <f aca="false">IFERROR(AK118/AK$5,0)</f>
        <v>0</v>
      </c>
      <c r="AN118" s="92" t="n">
        <f aca="false">SUM(D118,G118,J118,M118,P118,S118,V118,Y118,AB118,AE118,AH118,AK118)</f>
        <v>0</v>
      </c>
      <c r="AO118" s="108" t="n">
        <f aca="false">IFERROR(AN118/AN$5,0)</f>
        <v>0</v>
      </c>
      <c r="AQ118" s="93" t="n">
        <f aca="false">AN118/$AR$1</f>
        <v>0</v>
      </c>
      <c r="AR118" s="94" t="n">
        <f aca="false">IFERROR(AQ118/AQ$5,0)</f>
        <v>0</v>
      </c>
    </row>
    <row r="119" customFormat="false" ht="14.25" hidden="false" customHeight="false" outlineLevel="1" collapsed="false">
      <c r="B119" s="89" t="s">
        <v>137</v>
      </c>
      <c r="D119" s="75" t="n">
        <f aca="false">SUMIFS('Dados Mov Financeira'!$N:$N,'Dados Mov Financeira'!$O:$O,'DRE 2021'!$B119,'Dados Mov Financeira'!$A:$A,'DRE 2021'!D$1,'Dados Mov Financeira'!$B:$B,'DRE 2021'!D$2)</f>
        <v>0</v>
      </c>
      <c r="E119" s="91" t="n">
        <f aca="false">IFERROR(D119/D$5,0)</f>
        <v>0</v>
      </c>
      <c r="G119" s="75" t="n">
        <f aca="false">SUMIFS('Dados Mov Financeira'!$N:$N,'Dados Mov Financeira'!$O:$O,'DRE 2021'!$B119,'Dados Mov Financeira'!$A:$A,'DRE 2021'!G$1,'Dados Mov Financeira'!$B:$B,'DRE 2021'!G$2)</f>
        <v>0</v>
      </c>
      <c r="H119" s="91" t="n">
        <f aca="false">IFERROR(G119/G$5,0)</f>
        <v>0</v>
      </c>
      <c r="J119" s="75" t="n">
        <f aca="false">SUMIFS('Dados Mov Financeira'!$N:$N,'Dados Mov Financeira'!$O:$O,'DRE 2021'!$B119,'Dados Mov Financeira'!$A:$A,'DRE 2021'!J$1,'Dados Mov Financeira'!$B:$B,'DRE 2021'!J$2)</f>
        <v>0</v>
      </c>
      <c r="K119" s="91" t="n">
        <f aca="false">IFERROR(J119/J$5,0)</f>
        <v>0</v>
      </c>
      <c r="M119" s="75" t="n">
        <f aca="false">SUMIFS('Dados Mov Financeira'!$N:$N,'Dados Mov Financeira'!$O:$O,'DRE 2021'!$B119,'Dados Mov Financeira'!$A:$A,'DRE 2021'!M$1,'Dados Mov Financeira'!$B:$B,'DRE 2021'!M$2)</f>
        <v>0</v>
      </c>
      <c r="N119" s="91" t="n">
        <f aca="false">IFERROR(M119/M$5,0)</f>
        <v>0</v>
      </c>
      <c r="P119" s="75" t="n">
        <f aca="false">SUMIFS('Dados Mov Financeira'!$N:$N,'Dados Mov Financeira'!$O:$O,'DRE 2021'!$B119,'Dados Mov Financeira'!$A:$A,'DRE 2021'!P$1,'Dados Mov Financeira'!$B:$B,'DRE 2021'!P$2)</f>
        <v>0</v>
      </c>
      <c r="Q119" s="91" t="n">
        <f aca="false">IFERROR(P119/P$5,0)</f>
        <v>0</v>
      </c>
      <c r="S119" s="75" t="n">
        <f aca="false">SUMIFS('Dados Mov Financeira'!$N:$N,'Dados Mov Financeira'!$O:$O,'DRE 2021'!$B119,'Dados Mov Financeira'!$A:$A,'DRE 2021'!S$1,'Dados Mov Financeira'!$B:$B,'DRE 2021'!S$2)</f>
        <v>0</v>
      </c>
      <c r="T119" s="91" t="n">
        <f aca="false">IFERROR(S119/S$5,0)</f>
        <v>0</v>
      </c>
      <c r="V119" s="75" t="n">
        <f aca="false">SUMIFS('Dados Mov Financeira'!$N:$N,'Dados Mov Financeira'!$O:$O,'DRE 2021'!$B119,'Dados Mov Financeira'!$A:$A,'DRE 2021'!V$1,'Dados Mov Financeira'!$B:$B,'DRE 2021'!V$2)</f>
        <v>0</v>
      </c>
      <c r="W119" s="91" t="n">
        <f aca="false">IFERROR(V119/V$5,0)</f>
        <v>0</v>
      </c>
      <c r="Y119" s="75" t="n">
        <f aca="false">SUMIFS('Dados Mov Financeira'!$N:$N,'Dados Mov Financeira'!$O:$O,'DRE 2021'!$B119,'Dados Mov Financeira'!$A:$A,'DRE 2021'!Y$1,'Dados Mov Financeira'!$B:$B,'DRE 2021'!Y$2)</f>
        <v>0</v>
      </c>
      <c r="Z119" s="91" t="n">
        <f aca="false">IFERROR(Y119/Y$5,0)</f>
        <v>0</v>
      </c>
      <c r="AB119" s="75" t="n">
        <f aca="false">SUMIFS('Dados Mov Financeira'!$N:$N,'Dados Mov Financeira'!$O:$O,'DRE 2021'!$B119,'Dados Mov Financeira'!$A:$A,'DRE 2021'!AB$1,'Dados Mov Financeira'!$B:$B,'DRE 2021'!AB$2)</f>
        <v>0</v>
      </c>
      <c r="AC119" s="91" t="n">
        <f aca="false">IFERROR(AB119/AB$5,0)</f>
        <v>0</v>
      </c>
      <c r="AE119" s="75" t="n">
        <f aca="false">SUMIFS('Dados Mov Financeira'!$N:$N,'Dados Mov Financeira'!$O:$O,'DRE 2021'!$B119,'Dados Mov Financeira'!$A:$A,'DRE 2021'!AE$1,'Dados Mov Financeira'!$B:$B,'DRE 2021'!AE$2)</f>
        <v>0</v>
      </c>
      <c r="AF119" s="91" t="n">
        <f aca="false">IFERROR(AE119/AE$5,0)</f>
        <v>0</v>
      </c>
      <c r="AH119" s="75" t="n">
        <f aca="false">SUMIFS('Dados Mov Financeira'!$N:$N,'Dados Mov Financeira'!$O:$O,'DRE 2021'!$B119,'Dados Mov Financeira'!$A:$A,'DRE 2021'!AH$1,'Dados Mov Financeira'!$B:$B,'DRE 2021'!AH$2)</f>
        <v>0</v>
      </c>
      <c r="AI119" s="91" t="n">
        <f aca="false">IFERROR(AH119/AH$5,0)</f>
        <v>0</v>
      </c>
      <c r="AK119" s="75" t="n">
        <f aca="false">SUMIFS('Dados Mov Financeira'!$N:$N,'Dados Mov Financeira'!$O:$O,'DRE 2021'!$B119,'Dados Mov Financeira'!$A:$A,'DRE 2021'!AK$1,'Dados Mov Financeira'!$B:$B,'DRE 2021'!AK$2)</f>
        <v>0</v>
      </c>
      <c r="AL119" s="91" t="n">
        <f aca="false">IFERROR(AK119/AK$5,0)</f>
        <v>0</v>
      </c>
      <c r="AN119" s="92" t="n">
        <f aca="false">SUM(D119,G119,J119,M119,P119,S119,V119,Y119,AB119,AE119,AH119,AK119)</f>
        <v>0</v>
      </c>
      <c r="AO119" s="108" t="n">
        <f aca="false">IFERROR(AN119/AN$5,0)</f>
        <v>0</v>
      </c>
      <c r="AQ119" s="93" t="n">
        <f aca="false">AN119/$AR$1</f>
        <v>0</v>
      </c>
      <c r="AR119" s="94" t="n">
        <f aca="false">IFERROR(AQ119/AQ$5,0)</f>
        <v>0</v>
      </c>
    </row>
    <row r="120" customFormat="false" ht="14.25" hidden="false" customHeight="false" outlineLevel="1" collapsed="false">
      <c r="B120" s="89" t="s">
        <v>138</v>
      </c>
      <c r="D120" s="75" t="n">
        <f aca="false">SUMIFS('Dados Mov Financeira'!$N:$N,'Dados Mov Financeira'!$O:$O,'DRE 2021'!$B120,'Dados Mov Financeira'!$A:$A,'DRE 2021'!D$1,'Dados Mov Financeira'!$B:$B,'DRE 2021'!D$2)</f>
        <v>0</v>
      </c>
      <c r="E120" s="91" t="n">
        <f aca="false">IFERROR(D120/D$5,0)</f>
        <v>0</v>
      </c>
      <c r="G120" s="75" t="n">
        <f aca="false">SUMIFS('Dados Mov Financeira'!$N:$N,'Dados Mov Financeira'!$O:$O,'DRE 2021'!$B120,'Dados Mov Financeira'!$A:$A,'DRE 2021'!G$1,'Dados Mov Financeira'!$B:$B,'DRE 2021'!G$2)</f>
        <v>0</v>
      </c>
      <c r="H120" s="91" t="n">
        <f aca="false">IFERROR(G120/G$5,0)</f>
        <v>0</v>
      </c>
      <c r="J120" s="75" t="n">
        <f aca="false">SUMIFS('Dados Mov Financeira'!$N:$N,'Dados Mov Financeira'!$O:$O,'DRE 2021'!$B120,'Dados Mov Financeira'!$A:$A,'DRE 2021'!J$1,'Dados Mov Financeira'!$B:$B,'DRE 2021'!J$2)</f>
        <v>0</v>
      </c>
      <c r="K120" s="91" t="n">
        <f aca="false">IFERROR(J120/J$5,0)</f>
        <v>0</v>
      </c>
      <c r="M120" s="75" t="n">
        <f aca="false">SUMIFS('Dados Mov Financeira'!$N:$N,'Dados Mov Financeira'!$O:$O,'DRE 2021'!$B120,'Dados Mov Financeira'!$A:$A,'DRE 2021'!M$1,'Dados Mov Financeira'!$B:$B,'DRE 2021'!M$2)</f>
        <v>0</v>
      </c>
      <c r="N120" s="91" t="n">
        <f aca="false">IFERROR(M120/M$5,0)</f>
        <v>0</v>
      </c>
      <c r="P120" s="75" t="n">
        <f aca="false">SUMIFS('Dados Mov Financeira'!$N:$N,'Dados Mov Financeira'!$O:$O,'DRE 2021'!$B120,'Dados Mov Financeira'!$A:$A,'DRE 2021'!P$1,'Dados Mov Financeira'!$B:$B,'DRE 2021'!P$2)</f>
        <v>0</v>
      </c>
      <c r="Q120" s="91" t="n">
        <f aca="false">IFERROR(P120/P$5,0)</f>
        <v>0</v>
      </c>
      <c r="S120" s="75" t="n">
        <f aca="false">SUMIFS('Dados Mov Financeira'!$N:$N,'Dados Mov Financeira'!$O:$O,'DRE 2021'!$B120,'Dados Mov Financeira'!$A:$A,'DRE 2021'!S$1,'Dados Mov Financeira'!$B:$B,'DRE 2021'!S$2)</f>
        <v>0</v>
      </c>
      <c r="T120" s="91" t="n">
        <f aca="false">IFERROR(S120/S$5,0)</f>
        <v>0</v>
      </c>
      <c r="V120" s="75" t="n">
        <f aca="false">SUMIFS('Dados Mov Financeira'!$N:$N,'Dados Mov Financeira'!$O:$O,'DRE 2021'!$B120,'Dados Mov Financeira'!$A:$A,'DRE 2021'!V$1,'Dados Mov Financeira'!$B:$B,'DRE 2021'!V$2)</f>
        <v>0</v>
      </c>
      <c r="W120" s="91" t="n">
        <f aca="false">IFERROR(V120/V$5,0)</f>
        <v>0</v>
      </c>
      <c r="Y120" s="75" t="n">
        <f aca="false">SUMIFS('Dados Mov Financeira'!$N:$N,'Dados Mov Financeira'!$O:$O,'DRE 2021'!$B120,'Dados Mov Financeira'!$A:$A,'DRE 2021'!Y$1,'Dados Mov Financeira'!$B:$B,'DRE 2021'!Y$2)</f>
        <v>0</v>
      </c>
      <c r="Z120" s="91" t="n">
        <f aca="false">IFERROR(Y120/Y$5,0)</f>
        <v>0</v>
      </c>
      <c r="AB120" s="75" t="n">
        <f aca="false">SUMIFS('Dados Mov Financeira'!$N:$N,'Dados Mov Financeira'!$O:$O,'DRE 2021'!$B120,'Dados Mov Financeira'!$A:$A,'DRE 2021'!AB$1,'Dados Mov Financeira'!$B:$B,'DRE 2021'!AB$2)</f>
        <v>0</v>
      </c>
      <c r="AC120" s="91" t="n">
        <f aca="false">IFERROR(AB120/AB$5,0)</f>
        <v>0</v>
      </c>
      <c r="AE120" s="75" t="n">
        <f aca="false">SUMIFS('Dados Mov Financeira'!$N:$N,'Dados Mov Financeira'!$O:$O,'DRE 2021'!$B120,'Dados Mov Financeira'!$A:$A,'DRE 2021'!AE$1,'Dados Mov Financeira'!$B:$B,'DRE 2021'!AE$2)</f>
        <v>0</v>
      </c>
      <c r="AF120" s="91" t="n">
        <f aca="false">IFERROR(AE120/AE$5,0)</f>
        <v>0</v>
      </c>
      <c r="AH120" s="75" t="n">
        <f aca="false">SUMIFS('Dados Mov Financeira'!$N:$N,'Dados Mov Financeira'!$O:$O,'DRE 2021'!$B120,'Dados Mov Financeira'!$A:$A,'DRE 2021'!AH$1,'Dados Mov Financeira'!$B:$B,'DRE 2021'!AH$2)</f>
        <v>0</v>
      </c>
      <c r="AI120" s="91" t="n">
        <f aca="false">IFERROR(AH120/AH$5,0)</f>
        <v>0</v>
      </c>
      <c r="AK120" s="75" t="n">
        <f aca="false">SUMIFS('Dados Mov Financeira'!$N:$N,'Dados Mov Financeira'!$O:$O,'DRE 2021'!$B120,'Dados Mov Financeira'!$A:$A,'DRE 2021'!AK$1,'Dados Mov Financeira'!$B:$B,'DRE 2021'!AK$2)</f>
        <v>0</v>
      </c>
      <c r="AL120" s="91" t="n">
        <f aca="false">IFERROR(AK120/AK$5,0)</f>
        <v>0</v>
      </c>
      <c r="AN120" s="92" t="n">
        <f aca="false">SUM(D120,G120,J120,M120,P120,S120,V120,Y120,AB120,AE120,AH120,AK120)</f>
        <v>0</v>
      </c>
      <c r="AO120" s="108" t="n">
        <f aca="false">IFERROR(AN120/AN$5,0)</f>
        <v>0</v>
      </c>
      <c r="AQ120" s="93" t="n">
        <f aca="false">AN120/$AR$1</f>
        <v>0</v>
      </c>
      <c r="AR120" s="94" t="n">
        <f aca="false">IFERROR(AQ120/AQ$5,0)</f>
        <v>0</v>
      </c>
    </row>
    <row r="121" customFormat="false" ht="14.25" hidden="false" customHeight="false" outlineLevel="1" collapsed="false">
      <c r="B121" s="89" t="s">
        <v>139</v>
      </c>
      <c r="D121" s="75" t="n">
        <f aca="false">SUMIFS('Dados Mov Financeira'!$N:$N,'Dados Mov Financeira'!$O:$O,'DRE 2021'!$B121,'Dados Mov Financeira'!$A:$A,'DRE 2021'!D$1,'Dados Mov Financeira'!$B:$B,'DRE 2021'!D$2)</f>
        <v>0</v>
      </c>
      <c r="E121" s="91" t="n">
        <f aca="false">IFERROR(D121/D$5,0)</f>
        <v>0</v>
      </c>
      <c r="G121" s="75" t="n">
        <f aca="false">SUMIFS('Dados Mov Financeira'!$N:$N,'Dados Mov Financeira'!$O:$O,'DRE 2021'!$B121,'Dados Mov Financeira'!$A:$A,'DRE 2021'!G$1,'Dados Mov Financeira'!$B:$B,'DRE 2021'!G$2)</f>
        <v>0</v>
      </c>
      <c r="H121" s="91" t="n">
        <f aca="false">IFERROR(G121/G$5,0)</f>
        <v>0</v>
      </c>
      <c r="J121" s="75" t="n">
        <f aca="false">SUMIFS('Dados Mov Financeira'!$N:$N,'Dados Mov Financeira'!$O:$O,'DRE 2021'!$B121,'Dados Mov Financeira'!$A:$A,'DRE 2021'!J$1,'Dados Mov Financeira'!$B:$B,'DRE 2021'!J$2)</f>
        <v>0</v>
      </c>
      <c r="K121" s="91" t="n">
        <f aca="false">IFERROR(J121/J$5,0)</f>
        <v>0</v>
      </c>
      <c r="M121" s="75" t="n">
        <f aca="false">SUMIFS('Dados Mov Financeira'!$N:$N,'Dados Mov Financeira'!$O:$O,'DRE 2021'!$B121,'Dados Mov Financeira'!$A:$A,'DRE 2021'!M$1,'Dados Mov Financeira'!$B:$B,'DRE 2021'!M$2)</f>
        <v>0</v>
      </c>
      <c r="N121" s="91" t="n">
        <f aca="false">IFERROR(M121/M$5,0)</f>
        <v>0</v>
      </c>
      <c r="P121" s="75" t="n">
        <f aca="false">SUMIFS('Dados Mov Financeira'!$N:$N,'Dados Mov Financeira'!$O:$O,'DRE 2021'!$B121,'Dados Mov Financeira'!$A:$A,'DRE 2021'!P$1,'Dados Mov Financeira'!$B:$B,'DRE 2021'!P$2)</f>
        <v>0</v>
      </c>
      <c r="Q121" s="91" t="n">
        <f aca="false">IFERROR(P121/P$5,0)</f>
        <v>0</v>
      </c>
      <c r="S121" s="75" t="n">
        <f aca="false">SUMIFS('Dados Mov Financeira'!$N:$N,'Dados Mov Financeira'!$O:$O,'DRE 2021'!$B121,'Dados Mov Financeira'!$A:$A,'DRE 2021'!S$1,'Dados Mov Financeira'!$B:$B,'DRE 2021'!S$2)</f>
        <v>0</v>
      </c>
      <c r="T121" s="91" t="n">
        <f aca="false">IFERROR(S121/S$5,0)</f>
        <v>0</v>
      </c>
      <c r="V121" s="75" t="n">
        <f aca="false">SUMIFS('Dados Mov Financeira'!$N:$N,'Dados Mov Financeira'!$O:$O,'DRE 2021'!$B121,'Dados Mov Financeira'!$A:$A,'DRE 2021'!V$1,'Dados Mov Financeira'!$B:$B,'DRE 2021'!V$2)</f>
        <v>0</v>
      </c>
      <c r="W121" s="91" t="n">
        <f aca="false">IFERROR(V121/V$5,0)</f>
        <v>0</v>
      </c>
      <c r="Y121" s="75" t="n">
        <f aca="false">SUMIFS('Dados Mov Financeira'!$N:$N,'Dados Mov Financeira'!$O:$O,'DRE 2021'!$B121,'Dados Mov Financeira'!$A:$A,'DRE 2021'!Y$1,'Dados Mov Financeira'!$B:$B,'DRE 2021'!Y$2)</f>
        <v>0</v>
      </c>
      <c r="Z121" s="91" t="n">
        <f aca="false">IFERROR(Y121/Y$5,0)</f>
        <v>0</v>
      </c>
      <c r="AB121" s="75" t="n">
        <f aca="false">SUMIFS('Dados Mov Financeira'!$N:$N,'Dados Mov Financeira'!$O:$O,'DRE 2021'!$B121,'Dados Mov Financeira'!$A:$A,'DRE 2021'!AB$1,'Dados Mov Financeira'!$B:$B,'DRE 2021'!AB$2)</f>
        <v>0</v>
      </c>
      <c r="AC121" s="91" t="n">
        <f aca="false">IFERROR(AB121/AB$5,0)</f>
        <v>0</v>
      </c>
      <c r="AE121" s="75" t="n">
        <f aca="false">SUMIFS('Dados Mov Financeira'!$N:$N,'Dados Mov Financeira'!$O:$O,'DRE 2021'!$B121,'Dados Mov Financeira'!$A:$A,'DRE 2021'!AE$1,'Dados Mov Financeira'!$B:$B,'DRE 2021'!AE$2)</f>
        <v>0</v>
      </c>
      <c r="AF121" s="91" t="n">
        <f aca="false">IFERROR(AE121/AE$5,0)</f>
        <v>0</v>
      </c>
      <c r="AH121" s="75" t="n">
        <f aca="false">SUMIFS('Dados Mov Financeira'!$N:$N,'Dados Mov Financeira'!$O:$O,'DRE 2021'!$B121,'Dados Mov Financeira'!$A:$A,'DRE 2021'!AH$1,'Dados Mov Financeira'!$B:$B,'DRE 2021'!AH$2)</f>
        <v>0</v>
      </c>
      <c r="AI121" s="91" t="n">
        <f aca="false">IFERROR(AH121/AH$5,0)</f>
        <v>0</v>
      </c>
      <c r="AK121" s="75" t="n">
        <f aca="false">SUMIFS('Dados Mov Financeira'!$N:$N,'Dados Mov Financeira'!$O:$O,'DRE 2021'!$B121,'Dados Mov Financeira'!$A:$A,'DRE 2021'!AK$1,'Dados Mov Financeira'!$B:$B,'DRE 2021'!AK$2)</f>
        <v>0</v>
      </c>
      <c r="AL121" s="91" t="n">
        <f aca="false">IFERROR(AK121/AK$5,0)</f>
        <v>0</v>
      </c>
      <c r="AN121" s="92" t="n">
        <f aca="false">SUM(D121,G121,J121,M121,P121,S121,V121,Y121,AB121,AE121,AH121,AK121)</f>
        <v>0</v>
      </c>
      <c r="AO121" s="108" t="n">
        <f aca="false">IFERROR(AN121/AN$5,0)</f>
        <v>0</v>
      </c>
      <c r="AQ121" s="93" t="n">
        <f aca="false">AN121/$AR$1</f>
        <v>0</v>
      </c>
      <c r="AR121" s="94" t="n">
        <f aca="false">IFERROR(AQ121/AQ$5,0)</f>
        <v>0</v>
      </c>
    </row>
    <row r="122" s="63" customFormat="true" ht="14.25" hidden="false" customHeight="false" outlineLevel="0" collapsed="false">
      <c r="B122" s="106" t="s">
        <v>140</v>
      </c>
      <c r="D122" s="75" t="n">
        <f aca="false">SUM(D123:D125)</f>
        <v>0</v>
      </c>
      <c r="E122" s="95" t="n">
        <f aca="false">IFERROR(D122/D$5,0)</f>
        <v>0</v>
      </c>
      <c r="G122" s="75" t="n">
        <f aca="false">SUM(G123:G125)</f>
        <v>0</v>
      </c>
      <c r="H122" s="95" t="n">
        <f aca="false">IFERROR(G122/G$5,0)</f>
        <v>0</v>
      </c>
      <c r="J122" s="75" t="n">
        <f aca="false">SUM(J123:J125)</f>
        <v>0</v>
      </c>
      <c r="K122" s="95" t="n">
        <f aca="false">IFERROR(J122/J$5,0)</f>
        <v>0</v>
      </c>
      <c r="M122" s="75" t="n">
        <f aca="false">SUM(M123:M125)</f>
        <v>0</v>
      </c>
      <c r="N122" s="95" t="n">
        <f aca="false">IFERROR(M122/M$5,0)</f>
        <v>0</v>
      </c>
      <c r="P122" s="75" t="n">
        <f aca="false">SUM(P123:P125)</f>
        <v>0</v>
      </c>
      <c r="Q122" s="95" t="n">
        <f aca="false">IFERROR(P122/P$5,0)</f>
        <v>0</v>
      </c>
      <c r="S122" s="75" t="n">
        <f aca="false">SUM(S123:S125)</f>
        <v>0</v>
      </c>
      <c r="T122" s="95" t="n">
        <f aca="false">IFERROR(S122/S$5,0)</f>
        <v>0</v>
      </c>
      <c r="V122" s="75" t="n">
        <f aca="false">SUM(V123:V125)</f>
        <v>0</v>
      </c>
      <c r="W122" s="95" t="n">
        <f aca="false">IFERROR(V122/V$5,0)</f>
        <v>0</v>
      </c>
      <c r="Y122" s="75" t="n">
        <f aca="false">SUM(Y123:Y125)</f>
        <v>0</v>
      </c>
      <c r="Z122" s="95" t="n">
        <f aca="false">IFERROR(Y122/Y$5,0)</f>
        <v>0</v>
      </c>
      <c r="AB122" s="75" t="n">
        <f aca="false">SUM(AB123:AB125)</f>
        <v>0</v>
      </c>
      <c r="AC122" s="95" t="n">
        <f aca="false">IFERROR(AB122/AB$5,0)</f>
        <v>0</v>
      </c>
      <c r="AE122" s="75" t="n">
        <f aca="false">SUM(AE123:AE125)</f>
        <v>0</v>
      </c>
      <c r="AF122" s="95" t="n">
        <f aca="false">IFERROR(AE122/AE$5,0)</f>
        <v>0</v>
      </c>
      <c r="AH122" s="75" t="n">
        <f aca="false">SUM(AH123:AH125)</f>
        <v>0</v>
      </c>
      <c r="AI122" s="95" t="n">
        <f aca="false">IFERROR(AH122/AH$5,0)</f>
        <v>0</v>
      </c>
      <c r="AK122" s="75" t="n">
        <f aca="false">SUM(AK123:AK125)</f>
        <v>0</v>
      </c>
      <c r="AL122" s="95" t="n">
        <f aca="false">IFERROR(AK122/AK$5,0)</f>
        <v>0</v>
      </c>
      <c r="AN122" s="75" t="n">
        <f aca="false">SUM(AN123:AN125)</f>
        <v>0</v>
      </c>
      <c r="AO122" s="95" t="n">
        <f aca="false">IFERROR(AN122/AN$5,0)</f>
        <v>0</v>
      </c>
      <c r="AQ122" s="75" t="n">
        <f aca="false">SUM(AQ123:AQ125)</f>
        <v>0</v>
      </c>
      <c r="AR122" s="76" t="n">
        <f aca="false">IFERROR(AQ122/AQ$5,0)</f>
        <v>0</v>
      </c>
    </row>
    <row r="123" customFormat="false" ht="14.25" hidden="false" customHeight="false" outlineLevel="1" collapsed="false">
      <c r="B123" s="89" t="s">
        <v>141</v>
      </c>
      <c r="D123" s="75" t="n">
        <f aca="false">SUMIFS('Dados Mov Financeira'!$N:$N,'Dados Mov Financeira'!$O:$O,'DRE 2021'!$B123,'Dados Mov Financeira'!$A:$A,'DRE 2021'!D$1,'Dados Mov Financeira'!$B:$B,'DRE 2021'!D$2)</f>
        <v>0</v>
      </c>
      <c r="E123" s="91" t="n">
        <f aca="false">IFERROR(D123/D$5,0)</f>
        <v>0</v>
      </c>
      <c r="G123" s="75" t="n">
        <f aca="false">SUMIFS('Dados Mov Financeira'!$N:$N,'Dados Mov Financeira'!$O:$O,'DRE 2021'!$B123,'Dados Mov Financeira'!$A:$A,'DRE 2021'!G$1,'Dados Mov Financeira'!$B:$B,'DRE 2021'!G$2)</f>
        <v>0</v>
      </c>
      <c r="H123" s="91" t="n">
        <f aca="false">IFERROR(G123/G$5,0)</f>
        <v>0</v>
      </c>
      <c r="J123" s="75" t="n">
        <f aca="false">SUMIFS('Dados Mov Financeira'!$N:$N,'Dados Mov Financeira'!$O:$O,'DRE 2021'!$B123,'Dados Mov Financeira'!$A:$A,'DRE 2021'!J$1,'Dados Mov Financeira'!$B:$B,'DRE 2021'!J$2)</f>
        <v>0</v>
      </c>
      <c r="K123" s="91" t="n">
        <f aca="false">IFERROR(J123/J$5,0)</f>
        <v>0</v>
      </c>
      <c r="M123" s="75" t="n">
        <f aca="false">SUMIFS('Dados Mov Financeira'!$N:$N,'Dados Mov Financeira'!$O:$O,'DRE 2021'!$B123,'Dados Mov Financeira'!$A:$A,'DRE 2021'!M$1,'Dados Mov Financeira'!$B:$B,'DRE 2021'!M$2)</f>
        <v>0</v>
      </c>
      <c r="N123" s="91" t="n">
        <f aca="false">IFERROR(M123/M$5,0)</f>
        <v>0</v>
      </c>
      <c r="P123" s="75" t="n">
        <f aca="false">SUMIFS('Dados Mov Financeira'!$N:$N,'Dados Mov Financeira'!$O:$O,'DRE 2021'!$B123,'Dados Mov Financeira'!$A:$A,'DRE 2021'!P$1,'Dados Mov Financeira'!$B:$B,'DRE 2021'!P$2)</f>
        <v>0</v>
      </c>
      <c r="Q123" s="91" t="n">
        <f aca="false">IFERROR(P123/P$5,0)</f>
        <v>0</v>
      </c>
      <c r="S123" s="75" t="n">
        <f aca="false">SUMIFS('Dados Mov Financeira'!$N:$N,'Dados Mov Financeira'!$O:$O,'DRE 2021'!$B123,'Dados Mov Financeira'!$A:$A,'DRE 2021'!S$1,'Dados Mov Financeira'!$B:$B,'DRE 2021'!S$2)</f>
        <v>0</v>
      </c>
      <c r="T123" s="91" t="n">
        <f aca="false">IFERROR(S123/S$5,0)</f>
        <v>0</v>
      </c>
      <c r="V123" s="75" t="n">
        <f aca="false">SUMIFS('Dados Mov Financeira'!$N:$N,'Dados Mov Financeira'!$O:$O,'DRE 2021'!$B123,'Dados Mov Financeira'!$A:$A,'DRE 2021'!V$1,'Dados Mov Financeira'!$B:$B,'DRE 2021'!V$2)</f>
        <v>0</v>
      </c>
      <c r="W123" s="91" t="n">
        <f aca="false">IFERROR(V123/V$5,0)</f>
        <v>0</v>
      </c>
      <c r="Y123" s="75" t="n">
        <f aca="false">SUMIFS('Dados Mov Financeira'!$N:$N,'Dados Mov Financeira'!$O:$O,'DRE 2021'!$B123,'Dados Mov Financeira'!$A:$A,'DRE 2021'!Y$1,'Dados Mov Financeira'!$B:$B,'DRE 2021'!Y$2)</f>
        <v>0</v>
      </c>
      <c r="Z123" s="91" t="n">
        <f aca="false">IFERROR(Y123/Y$5,0)</f>
        <v>0</v>
      </c>
      <c r="AB123" s="75" t="n">
        <f aca="false">SUMIFS('Dados Mov Financeira'!$N:$N,'Dados Mov Financeira'!$O:$O,'DRE 2021'!$B123,'Dados Mov Financeira'!$A:$A,'DRE 2021'!AB$1,'Dados Mov Financeira'!$B:$B,'DRE 2021'!AB$2)</f>
        <v>0</v>
      </c>
      <c r="AC123" s="91" t="n">
        <f aca="false">IFERROR(AB123/AB$5,0)</f>
        <v>0</v>
      </c>
      <c r="AE123" s="75" t="n">
        <f aca="false">SUMIFS('Dados Mov Financeira'!$N:$N,'Dados Mov Financeira'!$O:$O,'DRE 2021'!$B123,'Dados Mov Financeira'!$A:$A,'DRE 2021'!AE$1,'Dados Mov Financeira'!$B:$B,'DRE 2021'!AE$2)</f>
        <v>0</v>
      </c>
      <c r="AF123" s="91" t="n">
        <f aca="false">IFERROR(AE123/AE$5,0)</f>
        <v>0</v>
      </c>
      <c r="AH123" s="75" t="n">
        <f aca="false">SUMIFS('Dados Mov Financeira'!$N:$N,'Dados Mov Financeira'!$O:$O,'DRE 2021'!$B123,'Dados Mov Financeira'!$A:$A,'DRE 2021'!AH$1,'Dados Mov Financeira'!$B:$B,'DRE 2021'!AH$2)</f>
        <v>0</v>
      </c>
      <c r="AI123" s="91" t="n">
        <f aca="false">IFERROR(AH123/AH$5,0)</f>
        <v>0</v>
      </c>
      <c r="AK123" s="75" t="n">
        <f aca="false">SUMIFS('Dados Mov Financeira'!$N:$N,'Dados Mov Financeira'!$O:$O,'DRE 2021'!$B123,'Dados Mov Financeira'!$A:$A,'DRE 2021'!AK$1,'Dados Mov Financeira'!$B:$B,'DRE 2021'!AK$2)</f>
        <v>0</v>
      </c>
      <c r="AL123" s="91" t="n">
        <f aca="false">IFERROR(AK123/AK$5,0)</f>
        <v>0</v>
      </c>
      <c r="AN123" s="92" t="n">
        <f aca="false">SUM(D123,G123,J123,M123,P123,S123,V123,Y123,AB123,AE123,AH123,AK123)</f>
        <v>0</v>
      </c>
      <c r="AO123" s="108" t="n">
        <f aca="false">IFERROR(AN123/AN$5,0)</f>
        <v>0</v>
      </c>
      <c r="AQ123" s="93" t="n">
        <f aca="false">AN123/$AR$1</f>
        <v>0</v>
      </c>
      <c r="AR123" s="94" t="n">
        <f aca="false">IFERROR(AQ123/AQ$5,0)</f>
        <v>0</v>
      </c>
    </row>
    <row r="124" customFormat="false" ht="14.25" hidden="false" customHeight="false" outlineLevel="1" collapsed="false">
      <c r="B124" s="89" t="s">
        <v>142</v>
      </c>
      <c r="D124" s="75" t="n">
        <f aca="false">SUMIFS('Dados Mov Financeira'!$N:$N,'Dados Mov Financeira'!$O:$O,'DRE 2021'!$B124,'Dados Mov Financeira'!$A:$A,'DRE 2021'!D$1,'Dados Mov Financeira'!$B:$B,'DRE 2021'!D$2)</f>
        <v>0</v>
      </c>
      <c r="E124" s="91" t="n">
        <f aca="false">IFERROR(D124/D$5,0)</f>
        <v>0</v>
      </c>
      <c r="G124" s="75" t="n">
        <f aca="false">SUMIFS('Dados Mov Financeira'!$N:$N,'Dados Mov Financeira'!$O:$O,'DRE 2021'!$B124,'Dados Mov Financeira'!$A:$A,'DRE 2021'!G$1,'Dados Mov Financeira'!$B:$B,'DRE 2021'!G$2)</f>
        <v>0</v>
      </c>
      <c r="H124" s="91" t="n">
        <f aca="false">IFERROR(G124/G$5,0)</f>
        <v>0</v>
      </c>
      <c r="J124" s="75" t="n">
        <f aca="false">SUMIFS('Dados Mov Financeira'!$N:$N,'Dados Mov Financeira'!$O:$O,'DRE 2021'!$B124,'Dados Mov Financeira'!$A:$A,'DRE 2021'!J$1,'Dados Mov Financeira'!$B:$B,'DRE 2021'!J$2)</f>
        <v>0</v>
      </c>
      <c r="K124" s="91" t="n">
        <f aca="false">IFERROR(J124/J$5,0)</f>
        <v>0</v>
      </c>
      <c r="M124" s="75" t="n">
        <f aca="false">SUMIFS('Dados Mov Financeira'!$N:$N,'Dados Mov Financeira'!$O:$O,'DRE 2021'!$B124,'Dados Mov Financeira'!$A:$A,'DRE 2021'!M$1,'Dados Mov Financeira'!$B:$B,'DRE 2021'!M$2)</f>
        <v>0</v>
      </c>
      <c r="N124" s="91" t="n">
        <f aca="false">IFERROR(M124/M$5,0)</f>
        <v>0</v>
      </c>
      <c r="P124" s="75" t="n">
        <f aca="false">SUMIFS('Dados Mov Financeira'!$N:$N,'Dados Mov Financeira'!$O:$O,'DRE 2021'!$B124,'Dados Mov Financeira'!$A:$A,'DRE 2021'!P$1,'Dados Mov Financeira'!$B:$B,'DRE 2021'!P$2)</f>
        <v>0</v>
      </c>
      <c r="Q124" s="91" t="n">
        <f aca="false">IFERROR(P124/P$5,0)</f>
        <v>0</v>
      </c>
      <c r="S124" s="75" t="n">
        <f aca="false">SUMIFS('Dados Mov Financeira'!$N:$N,'Dados Mov Financeira'!$O:$O,'DRE 2021'!$B124,'Dados Mov Financeira'!$A:$A,'DRE 2021'!S$1,'Dados Mov Financeira'!$B:$B,'DRE 2021'!S$2)</f>
        <v>0</v>
      </c>
      <c r="T124" s="91" t="n">
        <f aca="false">IFERROR(S124/S$5,0)</f>
        <v>0</v>
      </c>
      <c r="V124" s="75" t="n">
        <f aca="false">SUMIFS('Dados Mov Financeira'!$N:$N,'Dados Mov Financeira'!$O:$O,'DRE 2021'!$B124,'Dados Mov Financeira'!$A:$A,'DRE 2021'!V$1,'Dados Mov Financeira'!$B:$B,'DRE 2021'!V$2)</f>
        <v>0</v>
      </c>
      <c r="W124" s="91" t="n">
        <f aca="false">IFERROR(V124/V$5,0)</f>
        <v>0</v>
      </c>
      <c r="Y124" s="75" t="n">
        <f aca="false">SUMIFS('Dados Mov Financeira'!$N:$N,'Dados Mov Financeira'!$O:$O,'DRE 2021'!$B124,'Dados Mov Financeira'!$A:$A,'DRE 2021'!Y$1,'Dados Mov Financeira'!$B:$B,'DRE 2021'!Y$2)</f>
        <v>0</v>
      </c>
      <c r="Z124" s="91" t="n">
        <f aca="false">IFERROR(Y124/Y$5,0)</f>
        <v>0</v>
      </c>
      <c r="AB124" s="75" t="n">
        <f aca="false">SUMIFS('Dados Mov Financeira'!$N:$N,'Dados Mov Financeira'!$O:$O,'DRE 2021'!$B124,'Dados Mov Financeira'!$A:$A,'DRE 2021'!AB$1,'Dados Mov Financeira'!$B:$B,'DRE 2021'!AB$2)</f>
        <v>0</v>
      </c>
      <c r="AC124" s="91" t="n">
        <f aca="false">IFERROR(AB124/AB$5,0)</f>
        <v>0</v>
      </c>
      <c r="AE124" s="75" t="n">
        <f aca="false">SUMIFS('Dados Mov Financeira'!$N:$N,'Dados Mov Financeira'!$O:$O,'DRE 2021'!$B124,'Dados Mov Financeira'!$A:$A,'DRE 2021'!AE$1,'Dados Mov Financeira'!$B:$B,'DRE 2021'!AE$2)</f>
        <v>0</v>
      </c>
      <c r="AF124" s="91" t="n">
        <f aca="false">IFERROR(AE124/AE$5,0)</f>
        <v>0</v>
      </c>
      <c r="AH124" s="75" t="n">
        <f aca="false">SUMIFS('Dados Mov Financeira'!$N:$N,'Dados Mov Financeira'!$O:$O,'DRE 2021'!$B124,'Dados Mov Financeira'!$A:$A,'DRE 2021'!AH$1,'Dados Mov Financeira'!$B:$B,'DRE 2021'!AH$2)</f>
        <v>0</v>
      </c>
      <c r="AI124" s="91" t="n">
        <f aca="false">IFERROR(AH124/AH$5,0)</f>
        <v>0</v>
      </c>
      <c r="AK124" s="75" t="n">
        <f aca="false">SUMIFS('Dados Mov Financeira'!$N:$N,'Dados Mov Financeira'!$O:$O,'DRE 2021'!$B124,'Dados Mov Financeira'!$A:$A,'DRE 2021'!AK$1,'Dados Mov Financeira'!$B:$B,'DRE 2021'!AK$2)</f>
        <v>0</v>
      </c>
      <c r="AL124" s="91" t="n">
        <f aca="false">IFERROR(AK124/AK$5,0)</f>
        <v>0</v>
      </c>
      <c r="AN124" s="92" t="n">
        <f aca="false">SUM(D124,G124,J124,M124,P124,S124,V124,Y124,AB124,AE124,AH124,AK124)</f>
        <v>0</v>
      </c>
      <c r="AO124" s="108" t="n">
        <f aca="false">IFERROR(AN124/AN$5,0)</f>
        <v>0</v>
      </c>
      <c r="AQ124" s="93" t="n">
        <f aca="false">AN124/$AR$1</f>
        <v>0</v>
      </c>
      <c r="AR124" s="94" t="n">
        <f aca="false">IFERROR(AQ124/AQ$5,0)</f>
        <v>0</v>
      </c>
    </row>
    <row r="125" customFormat="false" ht="14.25" hidden="false" customHeight="false" outlineLevel="1" collapsed="false">
      <c r="B125" s="89" t="s">
        <v>143</v>
      </c>
      <c r="D125" s="75" t="n">
        <f aca="false">SUMIFS('Dados Mov Financeira'!$N:$N,'Dados Mov Financeira'!$O:$O,'DRE 2021'!$B125,'Dados Mov Financeira'!$A:$A,'DRE 2021'!D$1,'Dados Mov Financeira'!$B:$B,'DRE 2021'!D$2)</f>
        <v>0</v>
      </c>
      <c r="E125" s="91" t="n">
        <f aca="false">IFERROR(D125/D$5,0)</f>
        <v>0</v>
      </c>
      <c r="G125" s="75" t="n">
        <f aca="false">SUMIFS('Dados Mov Financeira'!$N:$N,'Dados Mov Financeira'!$O:$O,'DRE 2021'!$B125,'Dados Mov Financeira'!$A:$A,'DRE 2021'!G$1,'Dados Mov Financeira'!$B:$B,'DRE 2021'!G$2)</f>
        <v>0</v>
      </c>
      <c r="H125" s="91" t="n">
        <f aca="false">IFERROR(G125/G$5,0)</f>
        <v>0</v>
      </c>
      <c r="J125" s="75" t="n">
        <f aca="false">SUMIFS('Dados Mov Financeira'!$N:$N,'Dados Mov Financeira'!$O:$O,'DRE 2021'!$B125,'Dados Mov Financeira'!$A:$A,'DRE 2021'!J$1,'Dados Mov Financeira'!$B:$B,'DRE 2021'!J$2)</f>
        <v>0</v>
      </c>
      <c r="K125" s="91" t="n">
        <f aca="false">IFERROR(J125/J$5,0)</f>
        <v>0</v>
      </c>
      <c r="M125" s="75" t="n">
        <f aca="false">SUMIFS('Dados Mov Financeira'!$N:$N,'Dados Mov Financeira'!$O:$O,'DRE 2021'!$B125,'Dados Mov Financeira'!$A:$A,'DRE 2021'!M$1,'Dados Mov Financeira'!$B:$B,'DRE 2021'!M$2)</f>
        <v>0</v>
      </c>
      <c r="N125" s="91" t="n">
        <f aca="false">IFERROR(M125/M$5,0)</f>
        <v>0</v>
      </c>
      <c r="P125" s="75" t="n">
        <f aca="false">SUMIFS('Dados Mov Financeira'!$N:$N,'Dados Mov Financeira'!$O:$O,'DRE 2021'!$B125,'Dados Mov Financeira'!$A:$A,'DRE 2021'!P$1,'Dados Mov Financeira'!$B:$B,'DRE 2021'!P$2)</f>
        <v>0</v>
      </c>
      <c r="Q125" s="91" t="n">
        <f aca="false">IFERROR(P125/P$5,0)</f>
        <v>0</v>
      </c>
      <c r="S125" s="75" t="n">
        <f aca="false">SUMIFS('Dados Mov Financeira'!$N:$N,'Dados Mov Financeira'!$O:$O,'DRE 2021'!$B125,'Dados Mov Financeira'!$A:$A,'DRE 2021'!S$1,'Dados Mov Financeira'!$B:$B,'DRE 2021'!S$2)</f>
        <v>0</v>
      </c>
      <c r="T125" s="91" t="n">
        <f aca="false">IFERROR(S125/S$5,0)</f>
        <v>0</v>
      </c>
      <c r="V125" s="75" t="n">
        <f aca="false">SUMIFS('Dados Mov Financeira'!$N:$N,'Dados Mov Financeira'!$O:$O,'DRE 2021'!$B125,'Dados Mov Financeira'!$A:$A,'DRE 2021'!V$1,'Dados Mov Financeira'!$B:$B,'DRE 2021'!V$2)</f>
        <v>0</v>
      </c>
      <c r="W125" s="91" t="n">
        <f aca="false">IFERROR(V125/V$5,0)</f>
        <v>0</v>
      </c>
      <c r="Y125" s="75" t="n">
        <f aca="false">SUMIFS('Dados Mov Financeira'!$N:$N,'Dados Mov Financeira'!$O:$O,'DRE 2021'!$B125,'Dados Mov Financeira'!$A:$A,'DRE 2021'!Y$1,'Dados Mov Financeira'!$B:$B,'DRE 2021'!Y$2)</f>
        <v>0</v>
      </c>
      <c r="Z125" s="91" t="n">
        <f aca="false">IFERROR(Y125/Y$5,0)</f>
        <v>0</v>
      </c>
      <c r="AB125" s="75" t="n">
        <f aca="false">SUMIFS('Dados Mov Financeira'!$N:$N,'Dados Mov Financeira'!$O:$O,'DRE 2021'!$B125,'Dados Mov Financeira'!$A:$A,'DRE 2021'!AB$1,'Dados Mov Financeira'!$B:$B,'DRE 2021'!AB$2)</f>
        <v>0</v>
      </c>
      <c r="AC125" s="91" t="n">
        <f aca="false">IFERROR(AB125/AB$5,0)</f>
        <v>0</v>
      </c>
      <c r="AE125" s="75" t="n">
        <f aca="false">SUMIFS('Dados Mov Financeira'!$N:$N,'Dados Mov Financeira'!$O:$O,'DRE 2021'!$B125,'Dados Mov Financeira'!$A:$A,'DRE 2021'!AE$1,'Dados Mov Financeira'!$B:$B,'DRE 2021'!AE$2)</f>
        <v>0</v>
      </c>
      <c r="AF125" s="91" t="n">
        <f aca="false">IFERROR(AE125/AE$5,0)</f>
        <v>0</v>
      </c>
      <c r="AH125" s="75" t="n">
        <f aca="false">SUMIFS('Dados Mov Financeira'!$N:$N,'Dados Mov Financeira'!$O:$O,'DRE 2021'!$B125,'Dados Mov Financeira'!$A:$A,'DRE 2021'!AH$1,'Dados Mov Financeira'!$B:$B,'DRE 2021'!AH$2)</f>
        <v>0</v>
      </c>
      <c r="AI125" s="91" t="n">
        <f aca="false">IFERROR(AH125/AH$5,0)</f>
        <v>0</v>
      </c>
      <c r="AK125" s="75" t="n">
        <f aca="false">SUMIFS('Dados Mov Financeira'!$N:$N,'Dados Mov Financeira'!$O:$O,'DRE 2021'!$B125,'Dados Mov Financeira'!$A:$A,'DRE 2021'!AK$1,'Dados Mov Financeira'!$B:$B,'DRE 2021'!AK$2)</f>
        <v>0</v>
      </c>
      <c r="AL125" s="91" t="n">
        <f aca="false">IFERROR(AK125/AK$5,0)</f>
        <v>0</v>
      </c>
      <c r="AN125" s="92" t="n">
        <f aca="false">SUM(D125,G125,J125,M125,P125,S125,V125,Y125,AB125,AE125,AH125,AK125)</f>
        <v>0</v>
      </c>
      <c r="AO125" s="108" t="n">
        <f aca="false">IFERROR(AN125/AN$5,0)</f>
        <v>0</v>
      </c>
      <c r="AQ125" s="93" t="n">
        <f aca="false">AN125/$AR$1</f>
        <v>0</v>
      </c>
      <c r="AR125" s="94" t="n">
        <f aca="false">IFERROR(AQ125/AQ$5,0)</f>
        <v>0</v>
      </c>
    </row>
    <row r="126" s="57" customFormat="true" ht="15" hidden="false" customHeight="true" outlineLevel="0" collapsed="false">
      <c r="B126" s="48"/>
      <c r="C126" s="58"/>
      <c r="D126" s="59"/>
      <c r="E126" s="60"/>
      <c r="F126" s="58"/>
      <c r="G126" s="59"/>
      <c r="H126" s="60"/>
      <c r="I126" s="58"/>
      <c r="J126" s="59"/>
      <c r="K126" s="60"/>
      <c r="L126" s="58"/>
      <c r="M126" s="59"/>
      <c r="N126" s="60"/>
      <c r="O126" s="58"/>
      <c r="P126" s="59"/>
      <c r="Q126" s="60"/>
      <c r="R126" s="58"/>
      <c r="S126" s="59"/>
      <c r="T126" s="60"/>
      <c r="U126" s="58"/>
      <c r="V126" s="59"/>
      <c r="W126" s="60"/>
      <c r="X126" s="58"/>
      <c r="Y126" s="59"/>
      <c r="Z126" s="60"/>
      <c r="AA126" s="58"/>
      <c r="AB126" s="59"/>
      <c r="AC126" s="60"/>
      <c r="AD126" s="58"/>
      <c r="AE126" s="59"/>
      <c r="AF126" s="60"/>
      <c r="AG126" s="58"/>
      <c r="AH126" s="59"/>
      <c r="AI126" s="60"/>
      <c r="AJ126" s="58"/>
      <c r="AK126" s="59"/>
      <c r="AL126" s="60"/>
      <c r="AM126" s="58"/>
      <c r="AN126" s="59"/>
      <c r="AO126" s="60"/>
      <c r="AP126" s="58"/>
      <c r="AQ126" s="61"/>
      <c r="AR126" s="60"/>
      <c r="AS126" s="58"/>
    </row>
    <row r="127" s="63" customFormat="true" ht="20.85" hidden="false" customHeight="false" outlineLevel="0" collapsed="false">
      <c r="A127" s="36"/>
      <c r="B127" s="102" t="s">
        <v>144</v>
      </c>
      <c r="D127" s="103" t="n">
        <f aca="false">D111+D113</f>
        <v>0</v>
      </c>
      <c r="E127" s="104" t="n">
        <f aca="false">IFERROR(D127/D$5,0)</f>
        <v>0</v>
      </c>
      <c r="G127" s="103" t="n">
        <f aca="false">G111+G113</f>
        <v>0</v>
      </c>
      <c r="H127" s="104" t="n">
        <f aca="false">IFERROR(G127/G$5,0)</f>
        <v>0</v>
      </c>
      <c r="J127" s="103" t="n">
        <f aca="false">J111+J113</f>
        <v>0</v>
      </c>
      <c r="K127" s="104" t="n">
        <f aca="false">IFERROR(J127/J$5,0)</f>
        <v>0</v>
      </c>
      <c r="M127" s="103" t="n">
        <f aca="false">M111+M113</f>
        <v>0</v>
      </c>
      <c r="N127" s="104" t="n">
        <f aca="false">IFERROR(M127/M$5,0)</f>
        <v>0</v>
      </c>
      <c r="P127" s="103" t="n">
        <f aca="false">P111+P113</f>
        <v>0</v>
      </c>
      <c r="Q127" s="104" t="n">
        <f aca="false">IFERROR(P127/P$5,0)</f>
        <v>0</v>
      </c>
      <c r="S127" s="103" t="n">
        <f aca="false">S111+S113</f>
        <v>0</v>
      </c>
      <c r="T127" s="104" t="n">
        <f aca="false">IFERROR(S127/S$5,0)</f>
        <v>0</v>
      </c>
      <c r="V127" s="103" t="n">
        <f aca="false">V111+V113</f>
        <v>0</v>
      </c>
      <c r="W127" s="104" t="n">
        <f aca="false">IFERROR(V127/V$5,0)</f>
        <v>0</v>
      </c>
      <c r="Y127" s="103" t="n">
        <f aca="false">Y111+Y113</f>
        <v>0</v>
      </c>
      <c r="Z127" s="104" t="n">
        <f aca="false">IFERROR(Y127/Y$5,0)</f>
        <v>0</v>
      </c>
      <c r="AB127" s="103" t="n">
        <f aca="false">AB111+AB113</f>
        <v>0</v>
      </c>
      <c r="AC127" s="104" t="n">
        <f aca="false">IFERROR(AB127/AB$5,0)</f>
        <v>0</v>
      </c>
      <c r="AE127" s="103" t="n">
        <f aca="false">AE111+AE113</f>
        <v>0</v>
      </c>
      <c r="AF127" s="104" t="n">
        <f aca="false">IFERROR(AE127/AE$5,0)</f>
        <v>0</v>
      </c>
      <c r="AH127" s="103" t="n">
        <f aca="false">AH111+AH113</f>
        <v>0</v>
      </c>
      <c r="AI127" s="104" t="n">
        <f aca="false">IFERROR(AH127/AH$5,0)</f>
        <v>0</v>
      </c>
      <c r="AK127" s="103" t="n">
        <f aca="false">AK111+AK113</f>
        <v>0</v>
      </c>
      <c r="AL127" s="104" t="n">
        <f aca="false">IFERROR(AK127/AK$5,0)</f>
        <v>0</v>
      </c>
      <c r="AN127" s="103" t="n">
        <f aca="false">AN111+AN113</f>
        <v>0</v>
      </c>
      <c r="AO127" s="104" t="n">
        <f aca="false">IFERROR(AN127/AN$5,0)</f>
        <v>0</v>
      </c>
      <c r="AQ127" s="103" t="n">
        <f aca="false">AQ111+AQ113</f>
        <v>0</v>
      </c>
      <c r="AR127" s="104" t="n">
        <f aca="false">IFERROR(AQ127/AQ$5,0)</f>
        <v>0</v>
      </c>
    </row>
    <row r="128" s="57" customFormat="true" ht="7.5" hidden="false" customHeight="true" outlineLevel="0" collapsed="false">
      <c r="B128" s="48"/>
      <c r="C128" s="58"/>
      <c r="D128" s="59"/>
      <c r="E128" s="60"/>
      <c r="F128" s="58"/>
      <c r="G128" s="59"/>
      <c r="H128" s="60"/>
      <c r="I128" s="58"/>
      <c r="J128" s="59"/>
      <c r="K128" s="60"/>
      <c r="L128" s="58"/>
      <c r="M128" s="59"/>
      <c r="N128" s="60"/>
      <c r="O128" s="58"/>
      <c r="P128" s="59"/>
      <c r="Q128" s="60"/>
      <c r="R128" s="58"/>
      <c r="S128" s="59"/>
      <c r="T128" s="60"/>
      <c r="U128" s="58"/>
      <c r="V128" s="59"/>
      <c r="W128" s="60"/>
      <c r="X128" s="58"/>
      <c r="Y128" s="59"/>
      <c r="Z128" s="60"/>
      <c r="AA128" s="58"/>
      <c r="AB128" s="59"/>
      <c r="AC128" s="60"/>
      <c r="AD128" s="58"/>
      <c r="AE128" s="59"/>
      <c r="AF128" s="60"/>
      <c r="AG128" s="58"/>
      <c r="AH128" s="59"/>
      <c r="AI128" s="60"/>
      <c r="AJ128" s="58"/>
      <c r="AK128" s="59"/>
      <c r="AL128" s="60"/>
      <c r="AM128" s="58"/>
      <c r="AN128" s="59"/>
      <c r="AO128" s="60"/>
      <c r="AP128" s="58"/>
      <c r="AQ128" s="61"/>
      <c r="AR128" s="60"/>
      <c r="AS128" s="58"/>
    </row>
    <row r="129" s="63" customFormat="true" ht="20.85" hidden="false" customHeight="false" outlineLevel="0" collapsed="false">
      <c r="A129" s="36"/>
      <c r="B129" s="118" t="s">
        <v>145</v>
      </c>
      <c r="D129" s="119" t="n">
        <f aca="false">SUM(D130:D145)</f>
        <v>0</v>
      </c>
      <c r="E129" s="120" t="n">
        <f aca="false">IFERROR(D129/D$5,0)</f>
        <v>0</v>
      </c>
      <c r="G129" s="119" t="n">
        <f aca="false">SUM(G130:G145)</f>
        <v>0</v>
      </c>
      <c r="H129" s="120" t="n">
        <f aca="false">IFERROR(G129/G$5,0)</f>
        <v>0</v>
      </c>
      <c r="J129" s="119" t="n">
        <f aca="false">SUM(J130:J145)</f>
        <v>0</v>
      </c>
      <c r="K129" s="120" t="n">
        <f aca="false">IFERROR(J129/J$5,0)</f>
        <v>0</v>
      </c>
      <c r="M129" s="119" t="n">
        <f aca="false">SUM(M130:M145)</f>
        <v>0</v>
      </c>
      <c r="N129" s="120" t="n">
        <f aca="false">IFERROR(M129/M$5,0)</f>
        <v>0</v>
      </c>
      <c r="P129" s="119" t="n">
        <f aca="false">SUM(P130:P145)</f>
        <v>0</v>
      </c>
      <c r="Q129" s="120" t="n">
        <f aca="false">IFERROR(P129/P$5,0)</f>
        <v>0</v>
      </c>
      <c r="S129" s="119" t="n">
        <f aca="false">SUM(S130:S145)</f>
        <v>0</v>
      </c>
      <c r="T129" s="120" t="n">
        <f aca="false">IFERROR(S129/S$5,0)</f>
        <v>0</v>
      </c>
      <c r="V129" s="119" t="n">
        <f aca="false">SUM(V130:V145)</f>
        <v>0</v>
      </c>
      <c r="W129" s="120" t="n">
        <f aca="false">IFERROR(V129/V$5,0)</f>
        <v>0</v>
      </c>
      <c r="Y129" s="119" t="n">
        <f aca="false">SUM(Y130:Y145)</f>
        <v>0</v>
      </c>
      <c r="Z129" s="120" t="n">
        <f aca="false">IFERROR(Y129/Y$5,0)</f>
        <v>0</v>
      </c>
      <c r="AB129" s="119" t="n">
        <f aca="false">SUM(AB130:AB145)</f>
        <v>0</v>
      </c>
      <c r="AC129" s="120" t="n">
        <f aca="false">IFERROR(AB129/AB$5,0)</f>
        <v>0</v>
      </c>
      <c r="AE129" s="119" t="n">
        <f aca="false">SUM(AE130:AE145)</f>
        <v>0</v>
      </c>
      <c r="AF129" s="120" t="n">
        <f aca="false">IFERROR(AE129/AE$5,0)</f>
        <v>0</v>
      </c>
      <c r="AH129" s="119" t="n">
        <f aca="false">SUM(AH130:AH145)</f>
        <v>0</v>
      </c>
      <c r="AI129" s="120" t="n">
        <f aca="false">IFERROR(AH129/AH$5,0)</f>
        <v>0</v>
      </c>
      <c r="AK129" s="119" t="n">
        <f aca="false">SUM(AK130:AK145)</f>
        <v>0</v>
      </c>
      <c r="AL129" s="120" t="n">
        <f aca="false">IFERROR(AK129/AK$5,0)</f>
        <v>0</v>
      </c>
      <c r="AN129" s="119" t="n">
        <f aca="false">SUM(AN130:AN145)</f>
        <v>0</v>
      </c>
      <c r="AO129" s="120" t="n">
        <f aca="false">IFERROR(AN129/AN$5,0)</f>
        <v>0</v>
      </c>
      <c r="AQ129" s="119" t="n">
        <f aca="false">SUM(AQ130:AQ145)</f>
        <v>0</v>
      </c>
      <c r="AR129" s="120" t="n">
        <f aca="false">IFERROR(AQ129/AQ$5,0)</f>
        <v>0</v>
      </c>
    </row>
    <row r="130" customFormat="false" ht="14.25" hidden="false" customHeight="false" outlineLevel="1" collapsed="false">
      <c r="B130" s="89" t="s">
        <v>146</v>
      </c>
      <c r="D130" s="75" t="n">
        <f aca="false">SUMIFS('Dados Mov Financeira'!$N:$N,'Dados Mov Financeira'!$O:$O,'DRE 2021'!$B130,'Dados Mov Financeira'!$A:$A,'DRE 2021'!D$1,'Dados Mov Financeira'!$B:$B,'DRE 2021'!D$2)</f>
        <v>0</v>
      </c>
      <c r="E130" s="91" t="n">
        <f aca="false">IFERROR(D130/D$5,0)</f>
        <v>0</v>
      </c>
      <c r="G130" s="75" t="n">
        <f aca="false">SUMIFS('Dados Mov Financeira'!$N:$N,'Dados Mov Financeira'!$O:$O,'DRE 2021'!$B130,'Dados Mov Financeira'!$A:$A,'DRE 2021'!G$1,'Dados Mov Financeira'!$B:$B,'DRE 2021'!G$2)</f>
        <v>0</v>
      </c>
      <c r="H130" s="91" t="n">
        <f aca="false">IFERROR(G130/G$5,0)</f>
        <v>0</v>
      </c>
      <c r="J130" s="75" t="n">
        <f aca="false">SUMIFS('Dados Mov Financeira'!$N:$N,'Dados Mov Financeira'!$O:$O,'DRE 2021'!$B130,'Dados Mov Financeira'!$A:$A,'DRE 2021'!J$1,'Dados Mov Financeira'!$B:$B,'DRE 2021'!J$2)</f>
        <v>0</v>
      </c>
      <c r="K130" s="91" t="n">
        <f aca="false">IFERROR(J130/J$5,0)</f>
        <v>0</v>
      </c>
      <c r="M130" s="75" t="n">
        <f aca="false">SUMIFS('Dados Mov Financeira'!$N:$N,'Dados Mov Financeira'!$O:$O,'DRE 2021'!$B130,'Dados Mov Financeira'!$A:$A,'DRE 2021'!M$1,'Dados Mov Financeira'!$B:$B,'DRE 2021'!M$2)</f>
        <v>0</v>
      </c>
      <c r="N130" s="91" t="n">
        <f aca="false">IFERROR(M130/M$5,0)</f>
        <v>0</v>
      </c>
      <c r="P130" s="75" t="n">
        <f aca="false">SUMIFS('Dados Mov Financeira'!$N:$N,'Dados Mov Financeira'!$O:$O,'DRE 2021'!$B130,'Dados Mov Financeira'!$A:$A,'DRE 2021'!P$1,'Dados Mov Financeira'!$B:$B,'DRE 2021'!P$2)</f>
        <v>0</v>
      </c>
      <c r="Q130" s="91" t="n">
        <f aca="false">IFERROR(P130/P$5,0)</f>
        <v>0</v>
      </c>
      <c r="S130" s="75" t="n">
        <f aca="false">SUMIFS('Dados Mov Financeira'!$N:$N,'Dados Mov Financeira'!$O:$O,'DRE 2021'!$B130,'Dados Mov Financeira'!$A:$A,'DRE 2021'!S$1,'Dados Mov Financeira'!$B:$B,'DRE 2021'!S$2)</f>
        <v>0</v>
      </c>
      <c r="T130" s="91" t="n">
        <f aca="false">IFERROR(S130/S$5,0)</f>
        <v>0</v>
      </c>
      <c r="V130" s="75" t="n">
        <f aca="false">SUMIFS('Dados Mov Financeira'!$N:$N,'Dados Mov Financeira'!$O:$O,'DRE 2021'!$B130,'Dados Mov Financeira'!$A:$A,'DRE 2021'!V$1,'Dados Mov Financeira'!$B:$B,'DRE 2021'!V$2)</f>
        <v>0</v>
      </c>
      <c r="W130" s="91" t="n">
        <f aca="false">IFERROR(V130/V$5,0)</f>
        <v>0</v>
      </c>
      <c r="Y130" s="75" t="n">
        <f aca="false">SUMIFS('Dados Mov Financeira'!$N:$N,'Dados Mov Financeira'!$O:$O,'DRE 2021'!$B130,'Dados Mov Financeira'!$A:$A,'DRE 2021'!Y$1,'Dados Mov Financeira'!$B:$B,'DRE 2021'!Y$2)</f>
        <v>0</v>
      </c>
      <c r="Z130" s="91" t="n">
        <f aca="false">IFERROR(Y130/Y$5,0)</f>
        <v>0</v>
      </c>
      <c r="AB130" s="75" t="n">
        <f aca="false">SUMIFS('Dados Mov Financeira'!$N:$N,'Dados Mov Financeira'!$O:$O,'DRE 2021'!$B130,'Dados Mov Financeira'!$A:$A,'DRE 2021'!AB$1,'Dados Mov Financeira'!$B:$B,'DRE 2021'!AB$2)</f>
        <v>0</v>
      </c>
      <c r="AC130" s="91" t="n">
        <f aca="false">IFERROR(AB130/AB$5,0)</f>
        <v>0</v>
      </c>
      <c r="AE130" s="75" t="n">
        <f aca="false">SUMIFS('Dados Mov Financeira'!$N:$N,'Dados Mov Financeira'!$O:$O,'DRE 2021'!$B130,'Dados Mov Financeira'!$A:$A,'DRE 2021'!AE$1,'Dados Mov Financeira'!$B:$B,'DRE 2021'!AE$2)</f>
        <v>0</v>
      </c>
      <c r="AF130" s="91" t="n">
        <f aca="false">IFERROR(AE130/AE$5,0)</f>
        <v>0</v>
      </c>
      <c r="AH130" s="75" t="n">
        <f aca="false">SUMIFS('Dados Mov Financeira'!$N:$N,'Dados Mov Financeira'!$O:$O,'DRE 2021'!$B130,'Dados Mov Financeira'!$A:$A,'DRE 2021'!AH$1,'Dados Mov Financeira'!$B:$B,'DRE 2021'!AH$2)</f>
        <v>0</v>
      </c>
      <c r="AI130" s="91" t="n">
        <f aca="false">IFERROR(AH130/AH$5,0)</f>
        <v>0</v>
      </c>
      <c r="AK130" s="75" t="n">
        <f aca="false">SUMIFS('Dados Mov Financeira'!$N:$N,'Dados Mov Financeira'!$O:$O,'DRE 2021'!$B130,'Dados Mov Financeira'!$A:$A,'DRE 2021'!AK$1,'Dados Mov Financeira'!$B:$B,'DRE 2021'!AK$2)</f>
        <v>0</v>
      </c>
      <c r="AL130" s="91" t="n">
        <f aca="false">IFERROR(AK130/AK$5,0)</f>
        <v>0</v>
      </c>
      <c r="AN130" s="92" t="n">
        <f aca="false">SUM(D130,G130,J130,M130,P130,S130,V130,Y130,AB130,AE130,AH130,AK130)</f>
        <v>0</v>
      </c>
      <c r="AO130" s="108" t="n">
        <f aca="false">IFERROR(AN130/AN$5,0)</f>
        <v>0</v>
      </c>
      <c r="AQ130" s="93" t="n">
        <f aca="false">AN130/$AR$1</f>
        <v>0</v>
      </c>
      <c r="AR130" s="94" t="n">
        <f aca="false">IFERROR(AQ130/AQ$5,0)</f>
        <v>0</v>
      </c>
    </row>
    <row r="131" customFormat="false" ht="14.25" hidden="false" customHeight="false" outlineLevel="1" collapsed="false">
      <c r="B131" s="89" t="s">
        <v>147</v>
      </c>
      <c r="D131" s="75" t="n">
        <f aca="false">SUMIFS('Dados Mov Financeira'!$N:$N,'Dados Mov Financeira'!$O:$O,'DRE 2021'!$B131,'Dados Mov Financeira'!$A:$A,'DRE 2021'!D$1,'Dados Mov Financeira'!$B:$B,'DRE 2021'!D$2)</f>
        <v>0</v>
      </c>
      <c r="E131" s="91" t="n">
        <f aca="false">IFERROR(D131/D$5,0)</f>
        <v>0</v>
      </c>
      <c r="G131" s="75" t="n">
        <f aca="false">SUMIFS('Dados Mov Financeira'!$N:$N,'Dados Mov Financeira'!$O:$O,'DRE 2021'!$B131,'Dados Mov Financeira'!$A:$A,'DRE 2021'!G$1,'Dados Mov Financeira'!$B:$B,'DRE 2021'!G$2)</f>
        <v>0</v>
      </c>
      <c r="H131" s="91" t="n">
        <f aca="false">IFERROR(G131/G$5,0)</f>
        <v>0</v>
      </c>
      <c r="J131" s="75" t="n">
        <f aca="false">SUMIFS('Dados Mov Financeira'!$N:$N,'Dados Mov Financeira'!$O:$O,'DRE 2021'!$B131,'Dados Mov Financeira'!$A:$A,'DRE 2021'!J$1,'Dados Mov Financeira'!$B:$B,'DRE 2021'!J$2)</f>
        <v>0</v>
      </c>
      <c r="K131" s="91" t="n">
        <f aca="false">IFERROR(J131/J$5,0)</f>
        <v>0</v>
      </c>
      <c r="M131" s="75" t="n">
        <f aca="false">SUMIFS('Dados Mov Financeira'!$N:$N,'Dados Mov Financeira'!$O:$O,'DRE 2021'!$B131,'Dados Mov Financeira'!$A:$A,'DRE 2021'!M$1,'Dados Mov Financeira'!$B:$B,'DRE 2021'!M$2)</f>
        <v>0</v>
      </c>
      <c r="N131" s="91" t="n">
        <f aca="false">IFERROR(M131/M$5,0)</f>
        <v>0</v>
      </c>
      <c r="P131" s="75" t="n">
        <f aca="false">SUMIFS('Dados Mov Financeira'!$N:$N,'Dados Mov Financeira'!$O:$O,'DRE 2021'!$B131,'Dados Mov Financeira'!$A:$A,'DRE 2021'!P$1,'Dados Mov Financeira'!$B:$B,'DRE 2021'!P$2)</f>
        <v>0</v>
      </c>
      <c r="Q131" s="91" t="n">
        <f aca="false">IFERROR(P131/P$5,0)</f>
        <v>0</v>
      </c>
      <c r="S131" s="75" t="n">
        <f aca="false">SUMIFS('Dados Mov Financeira'!$N:$N,'Dados Mov Financeira'!$O:$O,'DRE 2021'!$B131,'Dados Mov Financeira'!$A:$A,'DRE 2021'!S$1,'Dados Mov Financeira'!$B:$B,'DRE 2021'!S$2)</f>
        <v>0</v>
      </c>
      <c r="T131" s="91" t="n">
        <f aca="false">IFERROR(S131/S$5,0)</f>
        <v>0</v>
      </c>
      <c r="V131" s="75" t="n">
        <f aca="false">SUMIFS('Dados Mov Financeira'!$N:$N,'Dados Mov Financeira'!$O:$O,'DRE 2021'!$B131,'Dados Mov Financeira'!$A:$A,'DRE 2021'!V$1,'Dados Mov Financeira'!$B:$B,'DRE 2021'!V$2)</f>
        <v>0</v>
      </c>
      <c r="W131" s="91" t="n">
        <f aca="false">IFERROR(V131/V$5,0)</f>
        <v>0</v>
      </c>
      <c r="Y131" s="75" t="n">
        <f aca="false">SUMIFS('Dados Mov Financeira'!$N:$N,'Dados Mov Financeira'!$O:$O,'DRE 2021'!$B131,'Dados Mov Financeira'!$A:$A,'DRE 2021'!Y$1,'Dados Mov Financeira'!$B:$B,'DRE 2021'!Y$2)</f>
        <v>0</v>
      </c>
      <c r="Z131" s="91" t="n">
        <f aca="false">IFERROR(Y131/Y$5,0)</f>
        <v>0</v>
      </c>
      <c r="AB131" s="75" t="n">
        <f aca="false">SUMIFS('Dados Mov Financeira'!$N:$N,'Dados Mov Financeira'!$O:$O,'DRE 2021'!$B131,'Dados Mov Financeira'!$A:$A,'DRE 2021'!AB$1,'Dados Mov Financeira'!$B:$B,'DRE 2021'!AB$2)</f>
        <v>0</v>
      </c>
      <c r="AC131" s="91" t="n">
        <f aca="false">IFERROR(AB131/AB$5,0)</f>
        <v>0</v>
      </c>
      <c r="AE131" s="75" t="n">
        <f aca="false">SUMIFS('Dados Mov Financeira'!$N:$N,'Dados Mov Financeira'!$O:$O,'DRE 2021'!$B131,'Dados Mov Financeira'!$A:$A,'DRE 2021'!AE$1,'Dados Mov Financeira'!$B:$B,'DRE 2021'!AE$2)</f>
        <v>0</v>
      </c>
      <c r="AF131" s="91" t="n">
        <f aca="false">IFERROR(AE131/AE$5,0)</f>
        <v>0</v>
      </c>
      <c r="AH131" s="75" t="n">
        <f aca="false">SUMIFS('Dados Mov Financeira'!$N:$N,'Dados Mov Financeira'!$O:$O,'DRE 2021'!$B131,'Dados Mov Financeira'!$A:$A,'DRE 2021'!AH$1,'Dados Mov Financeira'!$B:$B,'DRE 2021'!AH$2)</f>
        <v>0</v>
      </c>
      <c r="AI131" s="91" t="n">
        <f aca="false">IFERROR(AH131/AH$5,0)</f>
        <v>0</v>
      </c>
      <c r="AK131" s="75" t="n">
        <f aca="false">SUMIFS('Dados Mov Financeira'!$N:$N,'Dados Mov Financeira'!$O:$O,'DRE 2021'!$B131,'Dados Mov Financeira'!$A:$A,'DRE 2021'!AK$1,'Dados Mov Financeira'!$B:$B,'DRE 2021'!AK$2)</f>
        <v>0</v>
      </c>
      <c r="AL131" s="91" t="n">
        <f aca="false">IFERROR(AK131/AK$5,0)</f>
        <v>0</v>
      </c>
      <c r="AN131" s="92" t="n">
        <f aca="false">SUM(D131,G131,J131,M131,P131,S131,V131,Y131,AB131,AE131,AH131,AK131)</f>
        <v>0</v>
      </c>
      <c r="AO131" s="108" t="n">
        <f aca="false">IFERROR(AN131/AN$5,0)</f>
        <v>0</v>
      </c>
      <c r="AQ131" s="93" t="n">
        <f aca="false">AN131/$AR$1</f>
        <v>0</v>
      </c>
      <c r="AR131" s="94" t="n">
        <f aca="false">IFERROR(AQ131/AQ$5,0)</f>
        <v>0</v>
      </c>
    </row>
    <row r="132" customFormat="false" ht="14.25" hidden="false" customHeight="false" outlineLevel="1" collapsed="false">
      <c r="B132" s="89" t="s">
        <v>148</v>
      </c>
      <c r="D132" s="75" t="n">
        <f aca="false">SUMIFS('Dados Mov Financeira'!$N:$N,'Dados Mov Financeira'!$O:$O,'DRE 2021'!$B132,'Dados Mov Financeira'!$A:$A,'DRE 2021'!D$1,'Dados Mov Financeira'!$B:$B,'DRE 2021'!D$2)</f>
        <v>0</v>
      </c>
      <c r="E132" s="91" t="n">
        <f aca="false">IFERROR(D132/D$5,0)</f>
        <v>0</v>
      </c>
      <c r="G132" s="75" t="n">
        <f aca="false">SUMIFS('Dados Mov Financeira'!$N:$N,'Dados Mov Financeira'!$O:$O,'DRE 2021'!$B132,'Dados Mov Financeira'!$A:$A,'DRE 2021'!G$1,'Dados Mov Financeira'!$B:$B,'DRE 2021'!G$2)</f>
        <v>0</v>
      </c>
      <c r="H132" s="91" t="n">
        <f aca="false">IFERROR(G132/G$5,0)</f>
        <v>0</v>
      </c>
      <c r="J132" s="75" t="n">
        <f aca="false">SUMIFS('Dados Mov Financeira'!$N:$N,'Dados Mov Financeira'!$O:$O,'DRE 2021'!$B132,'Dados Mov Financeira'!$A:$A,'DRE 2021'!J$1,'Dados Mov Financeira'!$B:$B,'DRE 2021'!J$2)</f>
        <v>0</v>
      </c>
      <c r="K132" s="91" t="n">
        <f aca="false">IFERROR(J132/J$5,0)</f>
        <v>0</v>
      </c>
      <c r="M132" s="75" t="n">
        <f aca="false">SUMIFS('Dados Mov Financeira'!$N:$N,'Dados Mov Financeira'!$O:$O,'DRE 2021'!$B132,'Dados Mov Financeira'!$A:$A,'DRE 2021'!M$1,'Dados Mov Financeira'!$B:$B,'DRE 2021'!M$2)</f>
        <v>0</v>
      </c>
      <c r="N132" s="91" t="n">
        <f aca="false">IFERROR(M132/M$5,0)</f>
        <v>0</v>
      </c>
      <c r="P132" s="75" t="n">
        <f aca="false">SUMIFS('Dados Mov Financeira'!$N:$N,'Dados Mov Financeira'!$O:$O,'DRE 2021'!$B132,'Dados Mov Financeira'!$A:$A,'DRE 2021'!P$1,'Dados Mov Financeira'!$B:$B,'DRE 2021'!P$2)</f>
        <v>0</v>
      </c>
      <c r="Q132" s="91" t="n">
        <f aca="false">IFERROR(P132/P$5,0)</f>
        <v>0</v>
      </c>
      <c r="S132" s="75" t="n">
        <f aca="false">SUMIFS('Dados Mov Financeira'!$N:$N,'Dados Mov Financeira'!$O:$O,'DRE 2021'!$B132,'Dados Mov Financeira'!$A:$A,'DRE 2021'!S$1,'Dados Mov Financeira'!$B:$B,'DRE 2021'!S$2)</f>
        <v>0</v>
      </c>
      <c r="T132" s="91" t="n">
        <f aca="false">IFERROR(S132/S$5,0)</f>
        <v>0</v>
      </c>
      <c r="V132" s="75" t="n">
        <f aca="false">SUMIFS('Dados Mov Financeira'!$N:$N,'Dados Mov Financeira'!$O:$O,'DRE 2021'!$B132,'Dados Mov Financeira'!$A:$A,'DRE 2021'!V$1,'Dados Mov Financeira'!$B:$B,'DRE 2021'!V$2)</f>
        <v>0</v>
      </c>
      <c r="W132" s="91" t="n">
        <f aca="false">IFERROR(V132/V$5,0)</f>
        <v>0</v>
      </c>
      <c r="Y132" s="75" t="n">
        <f aca="false">SUMIFS('Dados Mov Financeira'!$N:$N,'Dados Mov Financeira'!$O:$O,'DRE 2021'!$B132,'Dados Mov Financeira'!$A:$A,'DRE 2021'!Y$1,'Dados Mov Financeira'!$B:$B,'DRE 2021'!Y$2)</f>
        <v>0</v>
      </c>
      <c r="Z132" s="91" t="n">
        <f aca="false">IFERROR(Y132/Y$5,0)</f>
        <v>0</v>
      </c>
      <c r="AB132" s="75" t="n">
        <f aca="false">SUMIFS('Dados Mov Financeira'!$N:$N,'Dados Mov Financeira'!$O:$O,'DRE 2021'!$B132,'Dados Mov Financeira'!$A:$A,'DRE 2021'!AB$1,'Dados Mov Financeira'!$B:$B,'DRE 2021'!AB$2)</f>
        <v>0</v>
      </c>
      <c r="AC132" s="91" t="n">
        <f aca="false">IFERROR(AB132/AB$5,0)</f>
        <v>0</v>
      </c>
      <c r="AE132" s="75" t="n">
        <f aca="false">SUMIFS('Dados Mov Financeira'!$N:$N,'Dados Mov Financeira'!$O:$O,'DRE 2021'!$B132,'Dados Mov Financeira'!$A:$A,'DRE 2021'!AE$1,'Dados Mov Financeira'!$B:$B,'DRE 2021'!AE$2)</f>
        <v>0</v>
      </c>
      <c r="AF132" s="91" t="n">
        <f aca="false">IFERROR(AE132/AE$5,0)</f>
        <v>0</v>
      </c>
      <c r="AH132" s="75" t="n">
        <f aca="false">SUMIFS('Dados Mov Financeira'!$N:$N,'Dados Mov Financeira'!$O:$O,'DRE 2021'!$B132,'Dados Mov Financeira'!$A:$A,'DRE 2021'!AH$1,'Dados Mov Financeira'!$B:$B,'DRE 2021'!AH$2)</f>
        <v>0</v>
      </c>
      <c r="AI132" s="91" t="n">
        <f aca="false">IFERROR(AH132/AH$5,0)</f>
        <v>0</v>
      </c>
      <c r="AK132" s="75" t="n">
        <f aca="false">SUMIFS('Dados Mov Financeira'!$N:$N,'Dados Mov Financeira'!$O:$O,'DRE 2021'!$B132,'Dados Mov Financeira'!$A:$A,'DRE 2021'!AK$1,'Dados Mov Financeira'!$B:$B,'DRE 2021'!AK$2)</f>
        <v>0</v>
      </c>
      <c r="AL132" s="91" t="n">
        <f aca="false">IFERROR(AK132/AK$5,0)</f>
        <v>0</v>
      </c>
      <c r="AN132" s="92" t="n">
        <f aca="false">SUM(D132,G132,J132,M132,P132,S132,V132,Y132,AB132,AE132,AH132,AK132)</f>
        <v>0</v>
      </c>
      <c r="AO132" s="108" t="n">
        <f aca="false">IFERROR(AN132/AN$5,0)</f>
        <v>0</v>
      </c>
      <c r="AQ132" s="93" t="n">
        <f aca="false">AN132/$AR$1</f>
        <v>0</v>
      </c>
      <c r="AR132" s="94" t="n">
        <f aca="false">IFERROR(AQ132/AQ$5,0)</f>
        <v>0</v>
      </c>
    </row>
    <row r="133" customFormat="false" ht="14.25" hidden="false" customHeight="false" outlineLevel="1" collapsed="false">
      <c r="B133" s="89" t="s">
        <v>149</v>
      </c>
      <c r="D133" s="75" t="n">
        <f aca="false">SUMIFS('Dados Mov Financeira'!$N:$N,'Dados Mov Financeira'!$O:$O,'DRE 2021'!$B133,'Dados Mov Financeira'!$A:$A,'DRE 2021'!D$1,'Dados Mov Financeira'!$B:$B,'DRE 2021'!D$2)</f>
        <v>0</v>
      </c>
      <c r="E133" s="91" t="n">
        <f aca="false">IFERROR(D133/D$5,0)</f>
        <v>0</v>
      </c>
      <c r="G133" s="75" t="n">
        <f aca="false">SUMIFS('Dados Mov Financeira'!$N:$N,'Dados Mov Financeira'!$O:$O,'DRE 2021'!$B133,'Dados Mov Financeira'!$A:$A,'DRE 2021'!G$1,'Dados Mov Financeira'!$B:$B,'DRE 2021'!G$2)</f>
        <v>0</v>
      </c>
      <c r="H133" s="91" t="n">
        <f aca="false">IFERROR(G133/G$5,0)</f>
        <v>0</v>
      </c>
      <c r="J133" s="75" t="n">
        <f aca="false">SUMIFS('Dados Mov Financeira'!$N:$N,'Dados Mov Financeira'!$O:$O,'DRE 2021'!$B133,'Dados Mov Financeira'!$A:$A,'DRE 2021'!J$1,'Dados Mov Financeira'!$B:$B,'DRE 2021'!J$2)</f>
        <v>0</v>
      </c>
      <c r="K133" s="91" t="n">
        <f aca="false">IFERROR(J133/J$5,0)</f>
        <v>0</v>
      </c>
      <c r="M133" s="75" t="n">
        <f aca="false">SUMIFS('Dados Mov Financeira'!$N:$N,'Dados Mov Financeira'!$O:$O,'DRE 2021'!$B133,'Dados Mov Financeira'!$A:$A,'DRE 2021'!M$1,'Dados Mov Financeira'!$B:$B,'DRE 2021'!M$2)</f>
        <v>0</v>
      </c>
      <c r="N133" s="91" t="n">
        <f aca="false">IFERROR(M133/M$5,0)</f>
        <v>0</v>
      </c>
      <c r="P133" s="75" t="n">
        <f aca="false">SUMIFS('Dados Mov Financeira'!$N:$N,'Dados Mov Financeira'!$O:$O,'DRE 2021'!$B133,'Dados Mov Financeira'!$A:$A,'DRE 2021'!P$1,'Dados Mov Financeira'!$B:$B,'DRE 2021'!P$2)</f>
        <v>0</v>
      </c>
      <c r="Q133" s="91" t="n">
        <f aca="false">IFERROR(P133/P$5,0)</f>
        <v>0</v>
      </c>
      <c r="S133" s="75" t="n">
        <f aca="false">SUMIFS('Dados Mov Financeira'!$N:$N,'Dados Mov Financeira'!$O:$O,'DRE 2021'!$B133,'Dados Mov Financeira'!$A:$A,'DRE 2021'!S$1,'Dados Mov Financeira'!$B:$B,'DRE 2021'!S$2)</f>
        <v>0</v>
      </c>
      <c r="T133" s="91" t="n">
        <f aca="false">IFERROR(S133/S$5,0)</f>
        <v>0</v>
      </c>
      <c r="V133" s="75" t="n">
        <f aca="false">SUMIFS('Dados Mov Financeira'!$N:$N,'Dados Mov Financeira'!$O:$O,'DRE 2021'!$B133,'Dados Mov Financeira'!$A:$A,'DRE 2021'!V$1,'Dados Mov Financeira'!$B:$B,'DRE 2021'!V$2)</f>
        <v>0</v>
      </c>
      <c r="W133" s="91" t="n">
        <f aca="false">IFERROR(V133/V$5,0)</f>
        <v>0</v>
      </c>
      <c r="Y133" s="75" t="n">
        <f aca="false">SUMIFS('Dados Mov Financeira'!$N:$N,'Dados Mov Financeira'!$O:$O,'DRE 2021'!$B133,'Dados Mov Financeira'!$A:$A,'DRE 2021'!Y$1,'Dados Mov Financeira'!$B:$B,'DRE 2021'!Y$2)</f>
        <v>0</v>
      </c>
      <c r="Z133" s="91" t="n">
        <f aca="false">IFERROR(Y133/Y$5,0)</f>
        <v>0</v>
      </c>
      <c r="AB133" s="75" t="n">
        <f aca="false">SUMIFS('Dados Mov Financeira'!$N:$N,'Dados Mov Financeira'!$O:$O,'DRE 2021'!$B133,'Dados Mov Financeira'!$A:$A,'DRE 2021'!AB$1,'Dados Mov Financeira'!$B:$B,'DRE 2021'!AB$2)</f>
        <v>0</v>
      </c>
      <c r="AC133" s="91" t="n">
        <f aca="false">IFERROR(AB133/AB$5,0)</f>
        <v>0</v>
      </c>
      <c r="AE133" s="75" t="n">
        <f aca="false">SUMIFS('Dados Mov Financeira'!$N:$N,'Dados Mov Financeira'!$O:$O,'DRE 2021'!$B133,'Dados Mov Financeira'!$A:$A,'DRE 2021'!AE$1,'Dados Mov Financeira'!$B:$B,'DRE 2021'!AE$2)</f>
        <v>0</v>
      </c>
      <c r="AF133" s="91" t="n">
        <f aca="false">IFERROR(AE133/AE$5,0)</f>
        <v>0</v>
      </c>
      <c r="AH133" s="75" t="n">
        <f aca="false">SUMIFS('Dados Mov Financeira'!$N:$N,'Dados Mov Financeira'!$O:$O,'DRE 2021'!$B133,'Dados Mov Financeira'!$A:$A,'DRE 2021'!AH$1,'Dados Mov Financeira'!$B:$B,'DRE 2021'!AH$2)</f>
        <v>0</v>
      </c>
      <c r="AI133" s="91" t="n">
        <f aca="false">IFERROR(AH133/AH$5,0)</f>
        <v>0</v>
      </c>
      <c r="AK133" s="75" t="n">
        <f aca="false">SUMIFS('Dados Mov Financeira'!$N:$N,'Dados Mov Financeira'!$O:$O,'DRE 2021'!$B133,'Dados Mov Financeira'!$A:$A,'DRE 2021'!AK$1,'Dados Mov Financeira'!$B:$B,'DRE 2021'!AK$2)</f>
        <v>0</v>
      </c>
      <c r="AL133" s="91" t="n">
        <f aca="false">IFERROR(AK133/AK$5,0)</f>
        <v>0</v>
      </c>
      <c r="AN133" s="92" t="n">
        <f aca="false">SUM(D133,G133,J133,M133,P133,S133,V133,Y133,AB133,AE133,AH133,AK133)</f>
        <v>0</v>
      </c>
      <c r="AO133" s="108" t="n">
        <f aca="false">IFERROR(AN133/AN$5,0)</f>
        <v>0</v>
      </c>
      <c r="AQ133" s="93" t="n">
        <f aca="false">AN133/$AR$1</f>
        <v>0</v>
      </c>
      <c r="AR133" s="94" t="n">
        <f aca="false">IFERROR(AQ133/AQ$5,0)</f>
        <v>0</v>
      </c>
    </row>
    <row r="134" customFormat="false" ht="14.25" hidden="false" customHeight="false" outlineLevel="1" collapsed="false">
      <c r="B134" s="89" t="s">
        <v>150</v>
      </c>
      <c r="D134" s="75" t="n">
        <f aca="false">SUMIFS('Dados Mov Financeira'!$N:$N,'Dados Mov Financeira'!$O:$O,'DRE 2021'!$B134,'Dados Mov Financeira'!$A:$A,'DRE 2021'!D$1,'Dados Mov Financeira'!$B:$B,'DRE 2021'!D$2)</f>
        <v>0</v>
      </c>
      <c r="E134" s="91" t="n">
        <f aca="false">IFERROR(D134/D$5,0)</f>
        <v>0</v>
      </c>
      <c r="G134" s="75" t="n">
        <f aca="false">SUMIFS('Dados Mov Financeira'!$N:$N,'Dados Mov Financeira'!$O:$O,'DRE 2021'!$B134,'Dados Mov Financeira'!$A:$A,'DRE 2021'!G$1,'Dados Mov Financeira'!$B:$B,'DRE 2021'!G$2)</f>
        <v>0</v>
      </c>
      <c r="H134" s="91" t="n">
        <f aca="false">IFERROR(G134/G$5,0)</f>
        <v>0</v>
      </c>
      <c r="J134" s="75" t="n">
        <f aca="false">SUMIFS('Dados Mov Financeira'!$N:$N,'Dados Mov Financeira'!$O:$O,'DRE 2021'!$B134,'Dados Mov Financeira'!$A:$A,'DRE 2021'!J$1,'Dados Mov Financeira'!$B:$B,'DRE 2021'!J$2)</f>
        <v>0</v>
      </c>
      <c r="K134" s="91" t="n">
        <f aca="false">IFERROR(J134/J$5,0)</f>
        <v>0</v>
      </c>
      <c r="M134" s="75" t="n">
        <f aca="false">SUMIFS('Dados Mov Financeira'!$N:$N,'Dados Mov Financeira'!$O:$O,'DRE 2021'!$B134,'Dados Mov Financeira'!$A:$A,'DRE 2021'!M$1,'Dados Mov Financeira'!$B:$B,'DRE 2021'!M$2)</f>
        <v>0</v>
      </c>
      <c r="N134" s="91" t="n">
        <f aca="false">IFERROR(M134/M$5,0)</f>
        <v>0</v>
      </c>
      <c r="P134" s="75" t="n">
        <f aca="false">SUMIFS('Dados Mov Financeira'!$N:$N,'Dados Mov Financeira'!$O:$O,'DRE 2021'!$B134,'Dados Mov Financeira'!$A:$A,'DRE 2021'!P$1,'Dados Mov Financeira'!$B:$B,'DRE 2021'!P$2)</f>
        <v>0</v>
      </c>
      <c r="Q134" s="91" t="n">
        <f aca="false">IFERROR(P134/P$5,0)</f>
        <v>0</v>
      </c>
      <c r="S134" s="75" t="n">
        <f aca="false">SUMIFS('Dados Mov Financeira'!$N:$N,'Dados Mov Financeira'!$O:$O,'DRE 2021'!$B134,'Dados Mov Financeira'!$A:$A,'DRE 2021'!S$1,'Dados Mov Financeira'!$B:$B,'DRE 2021'!S$2)</f>
        <v>0</v>
      </c>
      <c r="T134" s="91" t="n">
        <f aca="false">IFERROR(S134/S$5,0)</f>
        <v>0</v>
      </c>
      <c r="V134" s="75" t="n">
        <f aca="false">SUMIFS('Dados Mov Financeira'!$N:$N,'Dados Mov Financeira'!$O:$O,'DRE 2021'!$B134,'Dados Mov Financeira'!$A:$A,'DRE 2021'!V$1,'Dados Mov Financeira'!$B:$B,'DRE 2021'!V$2)</f>
        <v>0</v>
      </c>
      <c r="W134" s="91" t="n">
        <f aca="false">IFERROR(V134/V$5,0)</f>
        <v>0</v>
      </c>
      <c r="Y134" s="75" t="n">
        <f aca="false">SUMIFS('Dados Mov Financeira'!$N:$N,'Dados Mov Financeira'!$O:$O,'DRE 2021'!$B134,'Dados Mov Financeira'!$A:$A,'DRE 2021'!Y$1,'Dados Mov Financeira'!$B:$B,'DRE 2021'!Y$2)</f>
        <v>0</v>
      </c>
      <c r="Z134" s="91" t="n">
        <f aca="false">IFERROR(Y134/Y$5,0)</f>
        <v>0</v>
      </c>
      <c r="AB134" s="75" t="n">
        <f aca="false">SUMIFS('Dados Mov Financeira'!$N:$N,'Dados Mov Financeira'!$O:$O,'DRE 2021'!$B134,'Dados Mov Financeira'!$A:$A,'DRE 2021'!AB$1,'Dados Mov Financeira'!$B:$B,'DRE 2021'!AB$2)</f>
        <v>0</v>
      </c>
      <c r="AC134" s="91" t="n">
        <f aca="false">IFERROR(AB134/AB$5,0)</f>
        <v>0</v>
      </c>
      <c r="AE134" s="75" t="n">
        <f aca="false">SUMIFS('Dados Mov Financeira'!$N:$N,'Dados Mov Financeira'!$O:$O,'DRE 2021'!$B134,'Dados Mov Financeira'!$A:$A,'DRE 2021'!AE$1,'Dados Mov Financeira'!$B:$B,'DRE 2021'!AE$2)</f>
        <v>0</v>
      </c>
      <c r="AF134" s="91" t="n">
        <f aca="false">IFERROR(AE134/AE$5,0)</f>
        <v>0</v>
      </c>
      <c r="AH134" s="75" t="n">
        <f aca="false">SUMIFS('Dados Mov Financeira'!$N:$N,'Dados Mov Financeira'!$O:$O,'DRE 2021'!$B134,'Dados Mov Financeira'!$A:$A,'DRE 2021'!AH$1,'Dados Mov Financeira'!$B:$B,'DRE 2021'!AH$2)</f>
        <v>0</v>
      </c>
      <c r="AI134" s="91" t="n">
        <f aca="false">IFERROR(AH134/AH$5,0)</f>
        <v>0</v>
      </c>
      <c r="AK134" s="75" t="n">
        <f aca="false">SUMIFS('Dados Mov Financeira'!$N:$N,'Dados Mov Financeira'!$O:$O,'DRE 2021'!$B134,'Dados Mov Financeira'!$A:$A,'DRE 2021'!AK$1,'Dados Mov Financeira'!$B:$B,'DRE 2021'!AK$2)</f>
        <v>0</v>
      </c>
      <c r="AL134" s="91" t="n">
        <f aca="false">IFERROR(AK134/AK$5,0)</f>
        <v>0</v>
      </c>
      <c r="AN134" s="92" t="n">
        <f aca="false">SUM(D134,G134,J134,M134,P134,S134,V134,Y134,AB134,AE134,AH134,AK134)</f>
        <v>0</v>
      </c>
      <c r="AO134" s="108" t="n">
        <f aca="false">IFERROR(AN134/AN$5,0)</f>
        <v>0</v>
      </c>
      <c r="AQ134" s="93" t="n">
        <f aca="false">AN134/$AR$1</f>
        <v>0</v>
      </c>
      <c r="AR134" s="94" t="n">
        <f aca="false">IFERROR(AQ134/AQ$5,0)</f>
        <v>0</v>
      </c>
    </row>
    <row r="135" customFormat="false" ht="14.25" hidden="false" customHeight="false" outlineLevel="1" collapsed="false">
      <c r="B135" s="89" t="s">
        <v>151</v>
      </c>
      <c r="D135" s="75" t="n">
        <f aca="false">SUMIFS('Dados Mov Financeira'!$N:$N,'Dados Mov Financeira'!$O:$O,'DRE 2021'!$B135,'Dados Mov Financeira'!$A:$A,'DRE 2021'!D$1,'Dados Mov Financeira'!$B:$B,'DRE 2021'!D$2)</f>
        <v>0</v>
      </c>
      <c r="E135" s="91" t="n">
        <f aca="false">IFERROR(D135/D$5,0)</f>
        <v>0</v>
      </c>
      <c r="G135" s="75" t="n">
        <f aca="false">SUMIFS('Dados Mov Financeira'!$N:$N,'Dados Mov Financeira'!$O:$O,'DRE 2021'!$B135,'Dados Mov Financeira'!$A:$A,'DRE 2021'!G$1,'Dados Mov Financeira'!$B:$B,'DRE 2021'!G$2)</f>
        <v>0</v>
      </c>
      <c r="H135" s="91" t="n">
        <f aca="false">IFERROR(G135/G$5,0)</f>
        <v>0</v>
      </c>
      <c r="J135" s="75" t="n">
        <f aca="false">SUMIFS('Dados Mov Financeira'!$N:$N,'Dados Mov Financeira'!$O:$O,'DRE 2021'!$B135,'Dados Mov Financeira'!$A:$A,'DRE 2021'!J$1,'Dados Mov Financeira'!$B:$B,'DRE 2021'!J$2)</f>
        <v>0</v>
      </c>
      <c r="K135" s="91" t="n">
        <f aca="false">IFERROR(J135/J$5,0)</f>
        <v>0</v>
      </c>
      <c r="M135" s="75" t="n">
        <f aca="false">SUMIFS('Dados Mov Financeira'!$N:$N,'Dados Mov Financeira'!$O:$O,'DRE 2021'!$B135,'Dados Mov Financeira'!$A:$A,'DRE 2021'!M$1,'Dados Mov Financeira'!$B:$B,'DRE 2021'!M$2)</f>
        <v>0</v>
      </c>
      <c r="N135" s="91" t="n">
        <f aca="false">IFERROR(M135/M$5,0)</f>
        <v>0</v>
      </c>
      <c r="P135" s="75" t="n">
        <f aca="false">SUMIFS('Dados Mov Financeira'!$N:$N,'Dados Mov Financeira'!$O:$O,'DRE 2021'!$B135,'Dados Mov Financeira'!$A:$A,'DRE 2021'!P$1,'Dados Mov Financeira'!$B:$B,'DRE 2021'!P$2)</f>
        <v>0</v>
      </c>
      <c r="Q135" s="91" t="n">
        <f aca="false">IFERROR(P135/P$5,0)</f>
        <v>0</v>
      </c>
      <c r="S135" s="75" t="n">
        <f aca="false">SUMIFS('Dados Mov Financeira'!$N:$N,'Dados Mov Financeira'!$O:$O,'DRE 2021'!$B135,'Dados Mov Financeira'!$A:$A,'DRE 2021'!S$1,'Dados Mov Financeira'!$B:$B,'DRE 2021'!S$2)</f>
        <v>0</v>
      </c>
      <c r="T135" s="91" t="n">
        <f aca="false">IFERROR(S135/S$5,0)</f>
        <v>0</v>
      </c>
      <c r="V135" s="75" t="n">
        <f aca="false">SUMIFS('Dados Mov Financeira'!$N:$N,'Dados Mov Financeira'!$O:$O,'DRE 2021'!$B135,'Dados Mov Financeira'!$A:$A,'DRE 2021'!V$1,'Dados Mov Financeira'!$B:$B,'DRE 2021'!V$2)</f>
        <v>0</v>
      </c>
      <c r="W135" s="91" t="n">
        <f aca="false">IFERROR(V135/V$5,0)</f>
        <v>0</v>
      </c>
      <c r="Y135" s="75" t="n">
        <f aca="false">SUMIFS('Dados Mov Financeira'!$N:$N,'Dados Mov Financeira'!$O:$O,'DRE 2021'!$B135,'Dados Mov Financeira'!$A:$A,'DRE 2021'!Y$1,'Dados Mov Financeira'!$B:$B,'DRE 2021'!Y$2)</f>
        <v>0</v>
      </c>
      <c r="Z135" s="91" t="n">
        <f aca="false">IFERROR(Y135/Y$5,0)</f>
        <v>0</v>
      </c>
      <c r="AB135" s="75" t="n">
        <f aca="false">SUMIFS('Dados Mov Financeira'!$N:$N,'Dados Mov Financeira'!$O:$O,'DRE 2021'!$B135,'Dados Mov Financeira'!$A:$A,'DRE 2021'!AB$1,'Dados Mov Financeira'!$B:$B,'DRE 2021'!AB$2)</f>
        <v>0</v>
      </c>
      <c r="AC135" s="91" t="n">
        <f aca="false">IFERROR(AB135/AB$5,0)</f>
        <v>0</v>
      </c>
      <c r="AE135" s="75" t="n">
        <f aca="false">SUMIFS('Dados Mov Financeira'!$N:$N,'Dados Mov Financeira'!$O:$O,'DRE 2021'!$B135,'Dados Mov Financeira'!$A:$A,'DRE 2021'!AE$1,'Dados Mov Financeira'!$B:$B,'DRE 2021'!AE$2)</f>
        <v>0</v>
      </c>
      <c r="AF135" s="91" t="n">
        <f aca="false">IFERROR(AE135/AE$5,0)</f>
        <v>0</v>
      </c>
      <c r="AH135" s="75" t="n">
        <f aca="false">SUMIFS('Dados Mov Financeira'!$N:$N,'Dados Mov Financeira'!$O:$O,'DRE 2021'!$B135,'Dados Mov Financeira'!$A:$A,'DRE 2021'!AH$1,'Dados Mov Financeira'!$B:$B,'DRE 2021'!AH$2)</f>
        <v>0</v>
      </c>
      <c r="AI135" s="91" t="n">
        <f aca="false">IFERROR(AH135/AH$5,0)</f>
        <v>0</v>
      </c>
      <c r="AK135" s="75" t="n">
        <f aca="false">SUMIFS('Dados Mov Financeira'!$N:$N,'Dados Mov Financeira'!$O:$O,'DRE 2021'!$B135,'Dados Mov Financeira'!$A:$A,'DRE 2021'!AK$1,'Dados Mov Financeira'!$B:$B,'DRE 2021'!AK$2)</f>
        <v>0</v>
      </c>
      <c r="AL135" s="91" t="n">
        <f aca="false">IFERROR(AK135/AK$5,0)</f>
        <v>0</v>
      </c>
      <c r="AN135" s="92" t="n">
        <f aca="false">SUM(D135,G135,J135,M135,P135,S135,V135,Y135,AB135,AE135,AH135,AK135)</f>
        <v>0</v>
      </c>
      <c r="AO135" s="108" t="n">
        <f aca="false">IFERROR(AN135/AN$5,0)</f>
        <v>0</v>
      </c>
      <c r="AQ135" s="93" t="n">
        <f aca="false">AN135/$AR$1</f>
        <v>0</v>
      </c>
      <c r="AR135" s="94" t="n">
        <f aca="false">IFERROR(AQ135/AQ$5,0)</f>
        <v>0</v>
      </c>
    </row>
    <row r="136" customFormat="false" ht="14.25" hidden="false" customHeight="false" outlineLevel="1" collapsed="false">
      <c r="B136" s="89" t="s">
        <v>152</v>
      </c>
      <c r="D136" s="75" t="n">
        <f aca="false">SUMIFS('Dados Mov Financeira'!$N:$N,'Dados Mov Financeira'!$O:$O,'DRE 2021'!$B136,'Dados Mov Financeira'!$A:$A,'DRE 2021'!D$1,'Dados Mov Financeira'!$B:$B,'DRE 2021'!D$2)</f>
        <v>0</v>
      </c>
      <c r="E136" s="91" t="n">
        <f aca="false">IFERROR(D136/D$5,0)</f>
        <v>0</v>
      </c>
      <c r="G136" s="75" t="n">
        <f aca="false">SUMIFS('Dados Mov Financeira'!$N:$N,'Dados Mov Financeira'!$O:$O,'DRE 2021'!$B136,'Dados Mov Financeira'!$A:$A,'DRE 2021'!G$1,'Dados Mov Financeira'!$B:$B,'DRE 2021'!G$2)</f>
        <v>0</v>
      </c>
      <c r="H136" s="91" t="n">
        <f aca="false">IFERROR(G136/G$5,0)</f>
        <v>0</v>
      </c>
      <c r="J136" s="75" t="n">
        <f aca="false">SUMIFS('Dados Mov Financeira'!$N:$N,'Dados Mov Financeira'!$O:$O,'DRE 2021'!$B136,'Dados Mov Financeira'!$A:$A,'DRE 2021'!J$1,'Dados Mov Financeira'!$B:$B,'DRE 2021'!J$2)</f>
        <v>0</v>
      </c>
      <c r="K136" s="91" t="n">
        <f aca="false">IFERROR(J136/J$5,0)</f>
        <v>0</v>
      </c>
      <c r="M136" s="75" t="n">
        <f aca="false">SUMIFS('Dados Mov Financeira'!$N:$N,'Dados Mov Financeira'!$O:$O,'DRE 2021'!$B136,'Dados Mov Financeira'!$A:$A,'DRE 2021'!M$1,'Dados Mov Financeira'!$B:$B,'DRE 2021'!M$2)</f>
        <v>0</v>
      </c>
      <c r="N136" s="91" t="n">
        <f aca="false">IFERROR(M136/M$5,0)</f>
        <v>0</v>
      </c>
      <c r="P136" s="99" t="n">
        <f aca="false">SUMIFS('Dados Mov Financeira'!$N:$N,'Dados Mov Financeira'!$O:$O,'DRE 2021'!$B136,'Dados Mov Financeira'!$A:$A,'DRE 2021'!P$1,'Dados Mov Financeira'!$B:$B,'DRE 2021'!P$2)</f>
        <v>0</v>
      </c>
      <c r="Q136" s="91" t="n">
        <f aca="false">IFERROR(P136/P$5,0)</f>
        <v>0</v>
      </c>
      <c r="S136" s="99" t="n">
        <f aca="false">SUMIFS('Dados Mov Financeira'!$N:$N,'Dados Mov Financeira'!$O:$O,'DRE 2021'!$B136,'Dados Mov Financeira'!$A:$A,'DRE 2021'!S$1,'Dados Mov Financeira'!$B:$B,'DRE 2021'!S$2)</f>
        <v>0</v>
      </c>
      <c r="T136" s="91" t="n">
        <f aca="false">IFERROR(S136/S$5,0)</f>
        <v>0</v>
      </c>
      <c r="V136" s="99" t="n">
        <f aca="false">SUMIFS('Dados Mov Financeira'!$N:$N,'Dados Mov Financeira'!$O:$O,'DRE 2021'!$B136,'Dados Mov Financeira'!$A:$A,'DRE 2021'!V$1,'Dados Mov Financeira'!$B:$B,'DRE 2021'!V$2)</f>
        <v>0</v>
      </c>
      <c r="W136" s="91" t="n">
        <f aca="false">IFERROR(V136/V$5,0)</f>
        <v>0</v>
      </c>
      <c r="Y136" s="99" t="n">
        <f aca="false">SUMIFS('Dados Mov Financeira'!$N:$N,'Dados Mov Financeira'!$O:$O,'DRE 2021'!$B136,'Dados Mov Financeira'!$A:$A,'DRE 2021'!Y$1,'Dados Mov Financeira'!$B:$B,'DRE 2021'!Y$2)</f>
        <v>0</v>
      </c>
      <c r="Z136" s="91" t="n">
        <f aca="false">IFERROR(Y136/Y$5,0)</f>
        <v>0</v>
      </c>
      <c r="AB136" s="99" t="n">
        <f aca="false">SUMIFS('Dados Mov Financeira'!$N:$N,'Dados Mov Financeira'!$O:$O,'DRE 2021'!$B136,'Dados Mov Financeira'!$A:$A,'DRE 2021'!AB$1,'Dados Mov Financeira'!$B:$B,'DRE 2021'!AB$2)</f>
        <v>0</v>
      </c>
      <c r="AC136" s="91" t="n">
        <f aca="false">IFERROR(AB136/AB$5,0)</f>
        <v>0</v>
      </c>
      <c r="AE136" s="99" t="n">
        <f aca="false">SUMIFS('Dados Mov Financeira'!$N:$N,'Dados Mov Financeira'!$O:$O,'DRE 2021'!$B136,'Dados Mov Financeira'!$A:$A,'DRE 2021'!AE$1,'Dados Mov Financeira'!$B:$B,'DRE 2021'!AE$2)</f>
        <v>0</v>
      </c>
      <c r="AF136" s="91" t="n">
        <f aca="false">IFERROR(AE136/AE$5,0)</f>
        <v>0</v>
      </c>
      <c r="AH136" s="99" t="n">
        <f aca="false">SUMIFS('Dados Mov Financeira'!$N:$N,'Dados Mov Financeira'!$O:$O,'DRE 2021'!$B136,'Dados Mov Financeira'!$A:$A,'DRE 2021'!AH$1,'Dados Mov Financeira'!$B:$B,'DRE 2021'!AH$2)</f>
        <v>0</v>
      </c>
      <c r="AI136" s="91" t="n">
        <f aca="false">IFERROR(AH136/AH$5,0)</f>
        <v>0</v>
      </c>
      <c r="AK136" s="99" t="n">
        <f aca="false">SUMIFS('Dados Mov Financeira'!$N:$N,'Dados Mov Financeira'!$O:$O,'DRE 2021'!$B136,'Dados Mov Financeira'!$A:$A,'DRE 2021'!AK$1,'Dados Mov Financeira'!$B:$B,'DRE 2021'!AK$2)</f>
        <v>0</v>
      </c>
      <c r="AL136" s="91" t="n">
        <f aca="false">IFERROR(AK136/AK$5,0)</f>
        <v>0</v>
      </c>
      <c r="AN136" s="92" t="n">
        <f aca="false">SUM(D136,G136,J136,M136,P136,S136,V136,Y136,AB136,AE136,AH136,AK136)</f>
        <v>0</v>
      </c>
      <c r="AO136" s="108" t="n">
        <f aca="false">IFERROR(AN136/AN$5,0)</f>
        <v>0</v>
      </c>
      <c r="AQ136" s="93" t="n">
        <f aca="false">AN136/$AR$1</f>
        <v>0</v>
      </c>
      <c r="AR136" s="94" t="n">
        <f aca="false">IFERROR(AQ136/AQ$5,0)</f>
        <v>0</v>
      </c>
    </row>
    <row r="137" customFormat="false" ht="14.25" hidden="false" customHeight="false" outlineLevel="1" collapsed="false">
      <c r="B137" s="89" t="s">
        <v>153</v>
      </c>
      <c r="D137" s="75" t="n">
        <f aca="false">SUMIFS('Dados Mov Financeira'!$N:$N,'Dados Mov Financeira'!$O:$O,'DRE 2021'!$B137,'Dados Mov Financeira'!$A:$A,'DRE 2021'!D$1,'Dados Mov Financeira'!$B:$B,'DRE 2021'!D$2)</f>
        <v>0</v>
      </c>
      <c r="E137" s="91" t="n">
        <f aca="false">IFERROR(D137/D$5,0)</f>
        <v>0</v>
      </c>
      <c r="G137" s="75" t="n">
        <f aca="false">SUMIFS('Dados Mov Financeira'!$N:$N,'Dados Mov Financeira'!$O:$O,'DRE 2021'!$B137,'Dados Mov Financeira'!$A:$A,'DRE 2021'!G$1,'Dados Mov Financeira'!$B:$B,'DRE 2021'!G$2)</f>
        <v>0</v>
      </c>
      <c r="H137" s="91" t="n">
        <f aca="false">IFERROR(G137/G$5,0)</f>
        <v>0</v>
      </c>
      <c r="J137" s="75" t="n">
        <f aca="false">SUMIFS('Dados Mov Financeira'!$N:$N,'Dados Mov Financeira'!$O:$O,'DRE 2021'!$B137,'Dados Mov Financeira'!$A:$A,'DRE 2021'!J$1,'Dados Mov Financeira'!$B:$B,'DRE 2021'!J$2)</f>
        <v>0</v>
      </c>
      <c r="K137" s="91" t="n">
        <f aca="false">IFERROR(J137/J$5,0)</f>
        <v>0</v>
      </c>
      <c r="M137" s="75" t="n">
        <f aca="false">SUMIFS('Dados Mov Financeira'!$N:$N,'Dados Mov Financeira'!$O:$O,'DRE 2021'!$B137,'Dados Mov Financeira'!$A:$A,'DRE 2021'!M$1,'Dados Mov Financeira'!$B:$B,'DRE 2021'!M$2)</f>
        <v>0</v>
      </c>
      <c r="N137" s="91" t="n">
        <f aca="false">IFERROR(M137/M$5,0)</f>
        <v>0</v>
      </c>
      <c r="P137" s="75" t="n">
        <f aca="false">SUMIFS('Dados Mov Financeira'!$N:$N,'Dados Mov Financeira'!$O:$O,'DRE 2021'!$B137,'Dados Mov Financeira'!$A:$A,'DRE 2021'!P$1,'Dados Mov Financeira'!$B:$B,'DRE 2021'!P$2)</f>
        <v>0</v>
      </c>
      <c r="Q137" s="91" t="n">
        <f aca="false">IFERROR(P137/P$5,0)</f>
        <v>0</v>
      </c>
      <c r="S137" s="75" t="n">
        <f aca="false">SUMIFS('Dados Mov Financeira'!$N:$N,'Dados Mov Financeira'!$O:$O,'DRE 2021'!$B137,'Dados Mov Financeira'!$A:$A,'DRE 2021'!S$1,'Dados Mov Financeira'!$B:$B,'DRE 2021'!S$2)</f>
        <v>0</v>
      </c>
      <c r="T137" s="91" t="n">
        <f aca="false">IFERROR(S137/S$5,0)</f>
        <v>0</v>
      </c>
      <c r="V137" s="75" t="n">
        <f aca="false">SUMIFS('Dados Mov Financeira'!$N:$N,'Dados Mov Financeira'!$O:$O,'DRE 2021'!$B137,'Dados Mov Financeira'!$A:$A,'DRE 2021'!V$1,'Dados Mov Financeira'!$B:$B,'DRE 2021'!V$2)</f>
        <v>0</v>
      </c>
      <c r="W137" s="91" t="n">
        <f aca="false">IFERROR(V137/V$5,0)</f>
        <v>0</v>
      </c>
      <c r="Y137" s="75" t="n">
        <f aca="false">SUMIFS('Dados Mov Financeira'!$N:$N,'Dados Mov Financeira'!$O:$O,'DRE 2021'!$B137,'Dados Mov Financeira'!$A:$A,'DRE 2021'!Y$1,'Dados Mov Financeira'!$B:$B,'DRE 2021'!Y$2)</f>
        <v>0</v>
      </c>
      <c r="Z137" s="91" t="n">
        <f aca="false">IFERROR(Y137/Y$5,0)</f>
        <v>0</v>
      </c>
      <c r="AB137" s="75" t="n">
        <f aca="false">SUMIFS('Dados Mov Financeira'!$N:$N,'Dados Mov Financeira'!$O:$O,'DRE 2021'!$B137,'Dados Mov Financeira'!$A:$A,'DRE 2021'!AB$1,'Dados Mov Financeira'!$B:$B,'DRE 2021'!AB$2)</f>
        <v>0</v>
      </c>
      <c r="AC137" s="91" t="n">
        <f aca="false">IFERROR(AB137/AB$5,0)</f>
        <v>0</v>
      </c>
      <c r="AE137" s="75" t="n">
        <f aca="false">SUMIFS('Dados Mov Financeira'!$N:$N,'Dados Mov Financeira'!$O:$O,'DRE 2021'!$B137,'Dados Mov Financeira'!$A:$A,'DRE 2021'!AE$1,'Dados Mov Financeira'!$B:$B,'DRE 2021'!AE$2)</f>
        <v>0</v>
      </c>
      <c r="AF137" s="91" t="n">
        <f aca="false">IFERROR(AE137/AE$5,0)</f>
        <v>0</v>
      </c>
      <c r="AH137" s="75" t="n">
        <f aca="false">SUMIFS('Dados Mov Financeira'!$N:$N,'Dados Mov Financeira'!$O:$O,'DRE 2021'!$B137,'Dados Mov Financeira'!$A:$A,'DRE 2021'!AH$1,'Dados Mov Financeira'!$B:$B,'DRE 2021'!AH$2)</f>
        <v>0</v>
      </c>
      <c r="AI137" s="91" t="n">
        <f aca="false">IFERROR(AH137/AH$5,0)</f>
        <v>0</v>
      </c>
      <c r="AK137" s="75" t="n">
        <f aca="false">SUMIFS('Dados Mov Financeira'!$N:$N,'Dados Mov Financeira'!$O:$O,'DRE 2021'!$B137,'Dados Mov Financeira'!$A:$A,'DRE 2021'!AK$1,'Dados Mov Financeira'!$B:$B,'DRE 2021'!AK$2)</f>
        <v>0</v>
      </c>
      <c r="AL137" s="91" t="n">
        <f aca="false">IFERROR(AK137/AK$5,0)</f>
        <v>0</v>
      </c>
      <c r="AN137" s="92" t="n">
        <f aca="false">SUM(D137,G137,J137,M137,P137,S137,V137,Y137,AB137,AE137,AH137,AK137)</f>
        <v>0</v>
      </c>
      <c r="AO137" s="108" t="n">
        <f aca="false">IFERROR(AN137/AN$5,0)</f>
        <v>0</v>
      </c>
      <c r="AQ137" s="93" t="n">
        <f aca="false">AN137/$AR$1</f>
        <v>0</v>
      </c>
      <c r="AR137" s="94" t="n">
        <f aca="false">IFERROR(AQ137/AQ$5,0)</f>
        <v>0</v>
      </c>
    </row>
    <row r="138" customFormat="false" ht="14.25" hidden="false" customHeight="false" outlineLevel="1" collapsed="false">
      <c r="B138" s="89" t="s">
        <v>154</v>
      </c>
      <c r="D138" s="75" t="n">
        <f aca="false">SUMIFS('Dados Mov Financeira'!$N:$N,'Dados Mov Financeira'!$O:$O,'DRE 2021'!$B138,'Dados Mov Financeira'!$A:$A,'DRE 2021'!D$1,'Dados Mov Financeira'!$B:$B,'DRE 2021'!D$2)</f>
        <v>0</v>
      </c>
      <c r="E138" s="91" t="n">
        <f aca="false">IFERROR(D138/D$5,0)</f>
        <v>0</v>
      </c>
      <c r="G138" s="75" t="n">
        <f aca="false">SUMIFS('Dados Mov Financeira'!$N:$N,'Dados Mov Financeira'!$O:$O,'DRE 2021'!$B138,'Dados Mov Financeira'!$A:$A,'DRE 2021'!G$1,'Dados Mov Financeira'!$B:$B,'DRE 2021'!G$2)</f>
        <v>0</v>
      </c>
      <c r="H138" s="91" t="n">
        <f aca="false">IFERROR(G138/G$5,0)</f>
        <v>0</v>
      </c>
      <c r="J138" s="75" t="n">
        <f aca="false">SUMIFS('Dados Mov Financeira'!$N:$N,'Dados Mov Financeira'!$O:$O,'DRE 2021'!$B138,'Dados Mov Financeira'!$A:$A,'DRE 2021'!J$1,'Dados Mov Financeira'!$B:$B,'DRE 2021'!J$2)</f>
        <v>0</v>
      </c>
      <c r="K138" s="91" t="n">
        <f aca="false">IFERROR(J138/J$5,0)</f>
        <v>0</v>
      </c>
      <c r="M138" s="75" t="n">
        <f aca="false">SUMIFS('Dados Mov Financeira'!$N:$N,'Dados Mov Financeira'!$O:$O,'DRE 2021'!$B138,'Dados Mov Financeira'!$A:$A,'DRE 2021'!M$1,'Dados Mov Financeira'!$B:$B,'DRE 2021'!M$2)</f>
        <v>0</v>
      </c>
      <c r="N138" s="91" t="n">
        <f aca="false">IFERROR(M138/M$5,0)</f>
        <v>0</v>
      </c>
      <c r="P138" s="75" t="n">
        <f aca="false">SUMIFS('Dados Mov Financeira'!$N:$N,'Dados Mov Financeira'!$O:$O,'DRE 2021'!$B138,'Dados Mov Financeira'!$A:$A,'DRE 2021'!P$1,'Dados Mov Financeira'!$B:$B,'DRE 2021'!P$2)</f>
        <v>0</v>
      </c>
      <c r="Q138" s="91" t="n">
        <f aca="false">IFERROR(P138/P$5,0)</f>
        <v>0</v>
      </c>
      <c r="S138" s="75" t="n">
        <f aca="false">SUMIFS('Dados Mov Financeira'!$N:$N,'Dados Mov Financeira'!$O:$O,'DRE 2021'!$B138,'Dados Mov Financeira'!$A:$A,'DRE 2021'!S$1,'Dados Mov Financeira'!$B:$B,'DRE 2021'!S$2)</f>
        <v>0</v>
      </c>
      <c r="T138" s="91" t="n">
        <f aca="false">IFERROR(S138/S$5,0)</f>
        <v>0</v>
      </c>
      <c r="V138" s="75" t="n">
        <f aca="false">SUMIFS('Dados Mov Financeira'!$N:$N,'Dados Mov Financeira'!$O:$O,'DRE 2021'!$B138,'Dados Mov Financeira'!$A:$A,'DRE 2021'!V$1,'Dados Mov Financeira'!$B:$B,'DRE 2021'!V$2)</f>
        <v>0</v>
      </c>
      <c r="W138" s="91" t="n">
        <f aca="false">IFERROR(V138/V$5,0)</f>
        <v>0</v>
      </c>
      <c r="Y138" s="75" t="n">
        <f aca="false">SUMIFS('Dados Mov Financeira'!$N:$N,'Dados Mov Financeira'!$O:$O,'DRE 2021'!$B138,'Dados Mov Financeira'!$A:$A,'DRE 2021'!Y$1,'Dados Mov Financeira'!$B:$B,'DRE 2021'!Y$2)</f>
        <v>0</v>
      </c>
      <c r="Z138" s="91" t="n">
        <f aca="false">IFERROR(Y138/Y$5,0)</f>
        <v>0</v>
      </c>
      <c r="AB138" s="75" t="n">
        <f aca="false">SUMIFS('Dados Mov Financeira'!$N:$N,'Dados Mov Financeira'!$O:$O,'DRE 2021'!$B138,'Dados Mov Financeira'!$A:$A,'DRE 2021'!AB$1,'Dados Mov Financeira'!$B:$B,'DRE 2021'!AB$2)</f>
        <v>0</v>
      </c>
      <c r="AC138" s="91" t="n">
        <f aca="false">IFERROR(AB138/AB$5,0)</f>
        <v>0</v>
      </c>
      <c r="AE138" s="75" t="n">
        <f aca="false">SUMIFS('Dados Mov Financeira'!$N:$N,'Dados Mov Financeira'!$O:$O,'DRE 2021'!$B138,'Dados Mov Financeira'!$A:$A,'DRE 2021'!AE$1,'Dados Mov Financeira'!$B:$B,'DRE 2021'!AE$2)</f>
        <v>0</v>
      </c>
      <c r="AF138" s="91" t="n">
        <f aca="false">IFERROR(AE138/AE$5,0)</f>
        <v>0</v>
      </c>
      <c r="AH138" s="75" t="n">
        <f aca="false">SUMIFS('Dados Mov Financeira'!$N:$N,'Dados Mov Financeira'!$O:$O,'DRE 2021'!$B138,'Dados Mov Financeira'!$A:$A,'DRE 2021'!AH$1,'Dados Mov Financeira'!$B:$B,'DRE 2021'!AH$2)</f>
        <v>0</v>
      </c>
      <c r="AI138" s="91" t="n">
        <f aca="false">IFERROR(AH138/AH$5,0)</f>
        <v>0</v>
      </c>
      <c r="AK138" s="75" t="n">
        <f aca="false">SUMIFS('Dados Mov Financeira'!$N:$N,'Dados Mov Financeira'!$O:$O,'DRE 2021'!$B138,'Dados Mov Financeira'!$A:$A,'DRE 2021'!AK$1,'Dados Mov Financeira'!$B:$B,'DRE 2021'!AK$2)</f>
        <v>0</v>
      </c>
      <c r="AL138" s="91" t="n">
        <f aca="false">IFERROR(AK138/AK$5,0)</f>
        <v>0</v>
      </c>
      <c r="AN138" s="92" t="n">
        <f aca="false">SUM(D138,G138,J138,M138,P138,S138,V138,Y138,AB138,AE138,AH138,AK138)</f>
        <v>0</v>
      </c>
      <c r="AO138" s="108" t="n">
        <f aca="false">IFERROR(AN138/AN$5,0)</f>
        <v>0</v>
      </c>
      <c r="AQ138" s="93" t="n">
        <f aca="false">AN138/$AR$1</f>
        <v>0</v>
      </c>
      <c r="AR138" s="94" t="n">
        <f aca="false">IFERROR(AQ138/AQ$5,0)</f>
        <v>0</v>
      </c>
    </row>
    <row r="139" customFormat="false" ht="14.25" hidden="false" customHeight="false" outlineLevel="1" collapsed="false">
      <c r="B139" s="89" t="s">
        <v>155</v>
      </c>
      <c r="D139" s="75" t="n">
        <f aca="false">SUMIFS('Dados Mov Financeira'!$N:$N,'Dados Mov Financeira'!$O:$O,'DRE 2021'!$B139,'Dados Mov Financeira'!$A:$A,'DRE 2021'!D$1,'Dados Mov Financeira'!$B:$B,'DRE 2021'!D$2)</f>
        <v>0</v>
      </c>
      <c r="E139" s="91" t="n">
        <f aca="false">IFERROR(D139/D$5,0)</f>
        <v>0</v>
      </c>
      <c r="G139" s="75" t="n">
        <f aca="false">SUMIFS('Dados Mov Financeira'!$N:$N,'Dados Mov Financeira'!$O:$O,'DRE 2021'!$B139,'Dados Mov Financeira'!$A:$A,'DRE 2021'!G$1,'Dados Mov Financeira'!$B:$B,'DRE 2021'!G$2)</f>
        <v>0</v>
      </c>
      <c r="H139" s="91" t="n">
        <f aca="false">IFERROR(G139/G$5,0)</f>
        <v>0</v>
      </c>
      <c r="J139" s="75" t="n">
        <f aca="false">SUMIFS('Dados Mov Financeira'!$N:$N,'Dados Mov Financeira'!$O:$O,'DRE 2021'!$B139,'Dados Mov Financeira'!$A:$A,'DRE 2021'!J$1,'Dados Mov Financeira'!$B:$B,'DRE 2021'!J$2)</f>
        <v>0</v>
      </c>
      <c r="K139" s="91" t="n">
        <f aca="false">IFERROR(J139/J$5,0)</f>
        <v>0</v>
      </c>
      <c r="M139" s="75" t="n">
        <f aca="false">SUMIFS('Dados Mov Financeira'!$N:$N,'Dados Mov Financeira'!$O:$O,'DRE 2021'!$B139,'Dados Mov Financeira'!$A:$A,'DRE 2021'!M$1,'Dados Mov Financeira'!$B:$B,'DRE 2021'!M$2)</f>
        <v>0</v>
      </c>
      <c r="N139" s="91" t="n">
        <f aca="false">IFERROR(M139/M$5,0)</f>
        <v>0</v>
      </c>
      <c r="P139" s="75" t="n">
        <f aca="false">SUMIFS('Dados Mov Financeira'!$N:$N,'Dados Mov Financeira'!$O:$O,'DRE 2021'!$B139,'Dados Mov Financeira'!$A:$A,'DRE 2021'!P$1,'Dados Mov Financeira'!$B:$B,'DRE 2021'!P$2)</f>
        <v>0</v>
      </c>
      <c r="Q139" s="91" t="n">
        <f aca="false">IFERROR(P139/P$5,0)</f>
        <v>0</v>
      </c>
      <c r="S139" s="75" t="n">
        <f aca="false">SUMIFS('Dados Mov Financeira'!$N:$N,'Dados Mov Financeira'!$O:$O,'DRE 2021'!$B139,'Dados Mov Financeira'!$A:$A,'DRE 2021'!S$1,'Dados Mov Financeira'!$B:$B,'DRE 2021'!S$2)</f>
        <v>0</v>
      </c>
      <c r="T139" s="91" t="n">
        <f aca="false">IFERROR(S139/S$5,0)</f>
        <v>0</v>
      </c>
      <c r="V139" s="75" t="n">
        <f aca="false">SUMIFS('Dados Mov Financeira'!$N:$N,'Dados Mov Financeira'!$O:$O,'DRE 2021'!$B139,'Dados Mov Financeira'!$A:$A,'DRE 2021'!V$1,'Dados Mov Financeira'!$B:$B,'DRE 2021'!V$2)</f>
        <v>0</v>
      </c>
      <c r="W139" s="91" t="n">
        <f aca="false">IFERROR(V139/V$5,0)</f>
        <v>0</v>
      </c>
      <c r="Y139" s="75" t="n">
        <f aca="false">SUMIFS('Dados Mov Financeira'!$N:$N,'Dados Mov Financeira'!$O:$O,'DRE 2021'!$B139,'Dados Mov Financeira'!$A:$A,'DRE 2021'!Y$1,'Dados Mov Financeira'!$B:$B,'DRE 2021'!Y$2)</f>
        <v>0</v>
      </c>
      <c r="Z139" s="91" t="n">
        <f aca="false">IFERROR(Y139/Y$5,0)</f>
        <v>0</v>
      </c>
      <c r="AB139" s="75" t="n">
        <f aca="false">SUMIFS('Dados Mov Financeira'!$N:$N,'Dados Mov Financeira'!$O:$O,'DRE 2021'!$B139,'Dados Mov Financeira'!$A:$A,'DRE 2021'!AB$1,'Dados Mov Financeira'!$B:$B,'DRE 2021'!AB$2)</f>
        <v>0</v>
      </c>
      <c r="AC139" s="91" t="n">
        <f aca="false">IFERROR(AB139/AB$5,0)</f>
        <v>0</v>
      </c>
      <c r="AE139" s="75" t="n">
        <f aca="false">SUMIFS('Dados Mov Financeira'!$N:$N,'Dados Mov Financeira'!$O:$O,'DRE 2021'!$B139,'Dados Mov Financeira'!$A:$A,'DRE 2021'!AE$1,'Dados Mov Financeira'!$B:$B,'DRE 2021'!AE$2)</f>
        <v>0</v>
      </c>
      <c r="AF139" s="91" t="n">
        <f aca="false">IFERROR(AE139/AE$5,0)</f>
        <v>0</v>
      </c>
      <c r="AH139" s="75" t="n">
        <f aca="false">SUMIFS('Dados Mov Financeira'!$N:$N,'Dados Mov Financeira'!$O:$O,'DRE 2021'!$B139,'Dados Mov Financeira'!$A:$A,'DRE 2021'!AH$1,'Dados Mov Financeira'!$B:$B,'DRE 2021'!AH$2)</f>
        <v>0</v>
      </c>
      <c r="AI139" s="91" t="n">
        <f aca="false">IFERROR(AH139/AH$5,0)</f>
        <v>0</v>
      </c>
      <c r="AK139" s="75" t="n">
        <f aca="false">SUMIFS('Dados Mov Financeira'!$N:$N,'Dados Mov Financeira'!$O:$O,'DRE 2021'!$B139,'Dados Mov Financeira'!$A:$A,'DRE 2021'!AK$1,'Dados Mov Financeira'!$B:$B,'DRE 2021'!AK$2)</f>
        <v>0</v>
      </c>
      <c r="AL139" s="91" t="n">
        <f aca="false">IFERROR(AK139/AK$5,0)</f>
        <v>0</v>
      </c>
      <c r="AN139" s="92" t="n">
        <f aca="false">SUM(D139,G139,J139,M139,P139,S139,V139,Y139,AB139,AE139,AH139,AK139)</f>
        <v>0</v>
      </c>
      <c r="AO139" s="108" t="n">
        <f aca="false">IFERROR(AN139/AN$5,0)</f>
        <v>0</v>
      </c>
      <c r="AQ139" s="93" t="n">
        <f aca="false">AN139/$AR$1</f>
        <v>0</v>
      </c>
      <c r="AR139" s="94" t="n">
        <f aca="false">IFERROR(AQ139/AQ$5,0)</f>
        <v>0</v>
      </c>
    </row>
    <row r="140" customFormat="false" ht="14.25" hidden="false" customHeight="false" outlineLevel="1" collapsed="false">
      <c r="B140" s="89" t="s">
        <v>156</v>
      </c>
      <c r="D140" s="75" t="n">
        <f aca="false">SUMIFS('Dados Mov Financeira'!$N:$N,'Dados Mov Financeira'!$O:$O,'DRE 2021'!$B140,'Dados Mov Financeira'!$A:$A,'DRE 2021'!D$1,'Dados Mov Financeira'!$B:$B,'DRE 2021'!D$2)</f>
        <v>0</v>
      </c>
      <c r="E140" s="91" t="n">
        <f aca="false">IFERROR(D140/D$5,0)</f>
        <v>0</v>
      </c>
      <c r="G140" s="75" t="n">
        <f aca="false">SUMIFS('Dados Mov Financeira'!$N:$N,'Dados Mov Financeira'!$O:$O,'DRE 2021'!$B140,'Dados Mov Financeira'!$A:$A,'DRE 2021'!G$1,'Dados Mov Financeira'!$B:$B,'DRE 2021'!G$2)</f>
        <v>0</v>
      </c>
      <c r="H140" s="91" t="n">
        <f aca="false">IFERROR(G140/G$5,0)</f>
        <v>0</v>
      </c>
      <c r="J140" s="75" t="n">
        <f aca="false">SUMIFS('Dados Mov Financeira'!$N:$N,'Dados Mov Financeira'!$O:$O,'DRE 2021'!$B140,'Dados Mov Financeira'!$A:$A,'DRE 2021'!J$1,'Dados Mov Financeira'!$B:$B,'DRE 2021'!J$2)</f>
        <v>0</v>
      </c>
      <c r="K140" s="91" t="n">
        <f aca="false">IFERROR(J140/J$5,0)</f>
        <v>0</v>
      </c>
      <c r="M140" s="75" t="n">
        <f aca="false">SUMIFS('Dados Mov Financeira'!$N:$N,'Dados Mov Financeira'!$O:$O,'DRE 2021'!$B140,'Dados Mov Financeira'!$A:$A,'DRE 2021'!M$1,'Dados Mov Financeira'!$B:$B,'DRE 2021'!M$2)</f>
        <v>0</v>
      </c>
      <c r="N140" s="91" t="n">
        <f aca="false">IFERROR(M140/M$5,0)</f>
        <v>0</v>
      </c>
      <c r="P140" s="75" t="n">
        <f aca="false">SUMIFS('Dados Mov Financeira'!$N:$N,'Dados Mov Financeira'!$O:$O,'DRE 2021'!$B140,'Dados Mov Financeira'!$A:$A,'DRE 2021'!P$1,'Dados Mov Financeira'!$B:$B,'DRE 2021'!P$2)</f>
        <v>0</v>
      </c>
      <c r="Q140" s="91" t="n">
        <f aca="false">IFERROR(P140/P$5,0)</f>
        <v>0</v>
      </c>
      <c r="S140" s="75" t="n">
        <f aca="false">SUMIFS('Dados Mov Financeira'!$N:$N,'Dados Mov Financeira'!$O:$O,'DRE 2021'!$B140,'Dados Mov Financeira'!$A:$A,'DRE 2021'!S$1,'Dados Mov Financeira'!$B:$B,'DRE 2021'!S$2)</f>
        <v>0</v>
      </c>
      <c r="T140" s="91" t="n">
        <f aca="false">IFERROR(S140/S$5,0)</f>
        <v>0</v>
      </c>
      <c r="V140" s="75" t="n">
        <f aca="false">SUMIFS('Dados Mov Financeira'!$N:$N,'Dados Mov Financeira'!$O:$O,'DRE 2021'!$B140,'Dados Mov Financeira'!$A:$A,'DRE 2021'!V$1,'Dados Mov Financeira'!$B:$B,'DRE 2021'!V$2)</f>
        <v>0</v>
      </c>
      <c r="W140" s="91" t="n">
        <f aca="false">IFERROR(V140/V$5,0)</f>
        <v>0</v>
      </c>
      <c r="Y140" s="75" t="n">
        <f aca="false">SUMIFS('Dados Mov Financeira'!$N:$N,'Dados Mov Financeira'!$O:$O,'DRE 2021'!$B140,'Dados Mov Financeira'!$A:$A,'DRE 2021'!Y$1,'Dados Mov Financeira'!$B:$B,'DRE 2021'!Y$2)</f>
        <v>0</v>
      </c>
      <c r="Z140" s="91" t="n">
        <f aca="false">IFERROR(Y140/Y$5,0)</f>
        <v>0</v>
      </c>
      <c r="AB140" s="75" t="n">
        <f aca="false">SUMIFS('Dados Mov Financeira'!$N:$N,'Dados Mov Financeira'!$O:$O,'DRE 2021'!$B140,'Dados Mov Financeira'!$A:$A,'DRE 2021'!AB$1,'Dados Mov Financeira'!$B:$B,'DRE 2021'!AB$2)</f>
        <v>0</v>
      </c>
      <c r="AC140" s="91" t="n">
        <f aca="false">IFERROR(AB140/AB$5,0)</f>
        <v>0</v>
      </c>
      <c r="AE140" s="75" t="n">
        <f aca="false">SUMIFS('Dados Mov Financeira'!$N:$N,'Dados Mov Financeira'!$O:$O,'DRE 2021'!$B140,'Dados Mov Financeira'!$A:$A,'DRE 2021'!AE$1,'Dados Mov Financeira'!$B:$B,'DRE 2021'!AE$2)</f>
        <v>0</v>
      </c>
      <c r="AF140" s="91" t="n">
        <f aca="false">IFERROR(AE140/AE$5,0)</f>
        <v>0</v>
      </c>
      <c r="AH140" s="75" t="n">
        <f aca="false">SUMIFS('Dados Mov Financeira'!$N:$N,'Dados Mov Financeira'!$O:$O,'DRE 2021'!$B140,'Dados Mov Financeira'!$A:$A,'DRE 2021'!AH$1,'Dados Mov Financeira'!$B:$B,'DRE 2021'!AH$2)</f>
        <v>0</v>
      </c>
      <c r="AI140" s="91" t="n">
        <f aca="false">IFERROR(AH140/AH$5,0)</f>
        <v>0</v>
      </c>
      <c r="AK140" s="75" t="n">
        <f aca="false">SUMIFS('Dados Mov Financeira'!$N:$N,'Dados Mov Financeira'!$O:$O,'DRE 2021'!$B140,'Dados Mov Financeira'!$A:$A,'DRE 2021'!AK$1,'Dados Mov Financeira'!$B:$B,'DRE 2021'!AK$2)</f>
        <v>0</v>
      </c>
      <c r="AL140" s="91" t="n">
        <f aca="false">IFERROR(AK140/AK$5,0)</f>
        <v>0</v>
      </c>
      <c r="AN140" s="92" t="n">
        <f aca="false">SUM(D140,G140,J140,M140,P140,S140,V140,Y140,AB140,AE140,AH140,AK140)</f>
        <v>0</v>
      </c>
      <c r="AO140" s="108" t="n">
        <f aca="false">IFERROR(AN140/AN$5,0)</f>
        <v>0</v>
      </c>
      <c r="AQ140" s="93" t="n">
        <f aca="false">AN140/$AR$1</f>
        <v>0</v>
      </c>
      <c r="AR140" s="94" t="n">
        <f aca="false">IFERROR(AQ140/AQ$5,0)</f>
        <v>0</v>
      </c>
    </row>
    <row r="141" customFormat="false" ht="14.25" hidden="false" customHeight="false" outlineLevel="1" collapsed="false">
      <c r="B141" s="89" t="s">
        <v>157</v>
      </c>
      <c r="D141" s="75" t="n">
        <f aca="false">SUMIFS('Dados Mov Financeira'!$N:$N,'Dados Mov Financeira'!$O:$O,'DRE 2021'!$B141,'Dados Mov Financeira'!$A:$A,'DRE 2021'!D$1,'Dados Mov Financeira'!$B:$B,'DRE 2021'!D$2)</f>
        <v>0</v>
      </c>
      <c r="E141" s="91" t="n">
        <f aca="false">IFERROR(D141/D$5,0)</f>
        <v>0</v>
      </c>
      <c r="G141" s="75" t="n">
        <f aca="false">SUMIFS('Dados Mov Financeira'!$N:$N,'Dados Mov Financeira'!$O:$O,'DRE 2021'!$B141,'Dados Mov Financeira'!$A:$A,'DRE 2021'!G$1,'Dados Mov Financeira'!$B:$B,'DRE 2021'!G$2)</f>
        <v>0</v>
      </c>
      <c r="H141" s="91" t="n">
        <f aca="false">IFERROR(G141/G$5,0)</f>
        <v>0</v>
      </c>
      <c r="J141" s="75" t="n">
        <f aca="false">SUMIFS('Dados Mov Financeira'!$N:$N,'Dados Mov Financeira'!$O:$O,'DRE 2021'!$B141,'Dados Mov Financeira'!$A:$A,'DRE 2021'!J$1,'Dados Mov Financeira'!$B:$B,'DRE 2021'!J$2)</f>
        <v>0</v>
      </c>
      <c r="K141" s="91" t="n">
        <f aca="false">IFERROR(J141/J$5,0)</f>
        <v>0</v>
      </c>
      <c r="M141" s="75" t="n">
        <f aca="false">SUMIFS('Dados Mov Financeira'!$N:$N,'Dados Mov Financeira'!$O:$O,'DRE 2021'!$B141,'Dados Mov Financeira'!$A:$A,'DRE 2021'!M$1,'Dados Mov Financeira'!$B:$B,'DRE 2021'!M$2)</f>
        <v>0</v>
      </c>
      <c r="N141" s="91" t="n">
        <f aca="false">IFERROR(M141/M$5,0)</f>
        <v>0</v>
      </c>
      <c r="P141" s="75" t="n">
        <f aca="false">SUMIFS('Dados Mov Financeira'!$N:$N,'Dados Mov Financeira'!$O:$O,'DRE 2021'!$B141,'Dados Mov Financeira'!$A:$A,'DRE 2021'!P$1,'Dados Mov Financeira'!$B:$B,'DRE 2021'!P$2)</f>
        <v>0</v>
      </c>
      <c r="Q141" s="91" t="n">
        <f aca="false">IFERROR(P141/P$5,0)</f>
        <v>0</v>
      </c>
      <c r="S141" s="75" t="n">
        <f aca="false">SUMIFS('Dados Mov Financeira'!$N:$N,'Dados Mov Financeira'!$O:$O,'DRE 2021'!$B141,'Dados Mov Financeira'!$A:$A,'DRE 2021'!S$1,'Dados Mov Financeira'!$B:$B,'DRE 2021'!S$2)</f>
        <v>0</v>
      </c>
      <c r="T141" s="91" t="n">
        <f aca="false">IFERROR(S141/S$5,0)</f>
        <v>0</v>
      </c>
      <c r="V141" s="75" t="n">
        <f aca="false">SUMIFS('Dados Mov Financeira'!$N:$N,'Dados Mov Financeira'!$O:$O,'DRE 2021'!$B141,'Dados Mov Financeira'!$A:$A,'DRE 2021'!V$1,'Dados Mov Financeira'!$B:$B,'DRE 2021'!V$2)</f>
        <v>0</v>
      </c>
      <c r="W141" s="91" t="n">
        <f aca="false">IFERROR(V141/V$5,0)</f>
        <v>0</v>
      </c>
      <c r="Y141" s="75" t="n">
        <f aca="false">SUMIFS('Dados Mov Financeira'!$N:$N,'Dados Mov Financeira'!$O:$O,'DRE 2021'!$B141,'Dados Mov Financeira'!$A:$A,'DRE 2021'!Y$1,'Dados Mov Financeira'!$B:$B,'DRE 2021'!Y$2)</f>
        <v>0</v>
      </c>
      <c r="Z141" s="91" t="n">
        <f aca="false">IFERROR(Y141/Y$5,0)</f>
        <v>0</v>
      </c>
      <c r="AB141" s="75" t="n">
        <f aca="false">SUMIFS('Dados Mov Financeira'!$N:$N,'Dados Mov Financeira'!$O:$O,'DRE 2021'!$B141,'Dados Mov Financeira'!$A:$A,'DRE 2021'!AB$1,'Dados Mov Financeira'!$B:$B,'DRE 2021'!AB$2)</f>
        <v>0</v>
      </c>
      <c r="AC141" s="91" t="n">
        <f aca="false">IFERROR(AB141/AB$5,0)</f>
        <v>0</v>
      </c>
      <c r="AE141" s="75" t="n">
        <f aca="false">SUMIFS('Dados Mov Financeira'!$N:$N,'Dados Mov Financeira'!$O:$O,'DRE 2021'!$B141,'Dados Mov Financeira'!$A:$A,'DRE 2021'!AE$1,'Dados Mov Financeira'!$B:$B,'DRE 2021'!AE$2)</f>
        <v>0</v>
      </c>
      <c r="AF141" s="91" t="n">
        <f aca="false">IFERROR(AE141/AE$5,0)</f>
        <v>0</v>
      </c>
      <c r="AH141" s="75" t="n">
        <f aca="false">SUMIFS('Dados Mov Financeira'!$N:$N,'Dados Mov Financeira'!$O:$O,'DRE 2021'!$B141,'Dados Mov Financeira'!$A:$A,'DRE 2021'!AH$1,'Dados Mov Financeira'!$B:$B,'DRE 2021'!AH$2)</f>
        <v>0</v>
      </c>
      <c r="AI141" s="91" t="n">
        <f aca="false">IFERROR(AH141/AH$5,0)</f>
        <v>0</v>
      </c>
      <c r="AK141" s="75" t="n">
        <f aca="false">SUMIFS('Dados Mov Financeira'!$N:$N,'Dados Mov Financeira'!$O:$O,'DRE 2021'!$B141,'Dados Mov Financeira'!$A:$A,'DRE 2021'!AK$1,'Dados Mov Financeira'!$B:$B,'DRE 2021'!AK$2)</f>
        <v>0</v>
      </c>
      <c r="AL141" s="91" t="n">
        <f aca="false">IFERROR(AK141/AK$5,0)</f>
        <v>0</v>
      </c>
      <c r="AN141" s="92" t="n">
        <f aca="false">SUM(D141,G141,J141,M141,P141,S141,V141,Y141,AB141,AE141,AH141,AK141)</f>
        <v>0</v>
      </c>
      <c r="AO141" s="108" t="n">
        <f aca="false">IFERROR(AN141/AN$5,0)</f>
        <v>0</v>
      </c>
      <c r="AQ141" s="93" t="n">
        <f aca="false">AN141/$AR$1</f>
        <v>0</v>
      </c>
      <c r="AR141" s="94" t="n">
        <f aca="false">IFERROR(AQ141/AQ$5,0)</f>
        <v>0</v>
      </c>
    </row>
    <row r="142" customFormat="false" ht="14.25" hidden="false" customHeight="false" outlineLevel="1" collapsed="false">
      <c r="B142" s="89" t="s">
        <v>158</v>
      </c>
      <c r="D142" s="75" t="n">
        <f aca="false">SUMIFS('Dados Mov Financeira'!$N:$N,'Dados Mov Financeira'!$O:$O,'DRE 2021'!$B142,'Dados Mov Financeira'!$A:$A,'DRE 2021'!D$1,'Dados Mov Financeira'!$B:$B,'DRE 2021'!D$2)</f>
        <v>0</v>
      </c>
      <c r="E142" s="91" t="n">
        <f aca="false">IFERROR(D142/D$5,0)</f>
        <v>0</v>
      </c>
      <c r="G142" s="75" t="n">
        <f aca="false">SUMIFS('Dados Mov Financeira'!$N:$N,'Dados Mov Financeira'!$O:$O,'DRE 2021'!$B142,'Dados Mov Financeira'!$A:$A,'DRE 2021'!G$1,'Dados Mov Financeira'!$B:$B,'DRE 2021'!G$2)</f>
        <v>0</v>
      </c>
      <c r="H142" s="91" t="n">
        <f aca="false">IFERROR(G142/G$5,0)</f>
        <v>0</v>
      </c>
      <c r="J142" s="75" t="n">
        <f aca="false">SUMIFS('Dados Mov Financeira'!$N:$N,'Dados Mov Financeira'!$O:$O,'DRE 2021'!$B142,'Dados Mov Financeira'!$A:$A,'DRE 2021'!J$1,'Dados Mov Financeira'!$B:$B,'DRE 2021'!J$2)</f>
        <v>0</v>
      </c>
      <c r="K142" s="91" t="n">
        <f aca="false">IFERROR(J142/J$5,0)</f>
        <v>0</v>
      </c>
      <c r="M142" s="75" t="n">
        <f aca="false">SUMIFS('Dados Mov Financeira'!$N:$N,'Dados Mov Financeira'!$O:$O,'DRE 2021'!$B142,'Dados Mov Financeira'!$A:$A,'DRE 2021'!M$1,'Dados Mov Financeira'!$B:$B,'DRE 2021'!M$2)</f>
        <v>0</v>
      </c>
      <c r="N142" s="91" t="n">
        <f aca="false">IFERROR(M142/M$5,0)</f>
        <v>0</v>
      </c>
      <c r="P142" s="75" t="n">
        <f aca="false">SUMIFS('Dados Mov Financeira'!$N:$N,'Dados Mov Financeira'!$O:$O,'DRE 2021'!$B142,'Dados Mov Financeira'!$A:$A,'DRE 2021'!P$1,'Dados Mov Financeira'!$B:$B,'DRE 2021'!P$2)</f>
        <v>0</v>
      </c>
      <c r="Q142" s="91" t="n">
        <f aca="false">IFERROR(P142/P$5,0)</f>
        <v>0</v>
      </c>
      <c r="S142" s="75" t="n">
        <f aca="false">SUMIFS('Dados Mov Financeira'!$N:$N,'Dados Mov Financeira'!$O:$O,'DRE 2021'!$B142,'Dados Mov Financeira'!$A:$A,'DRE 2021'!S$1,'Dados Mov Financeira'!$B:$B,'DRE 2021'!S$2)</f>
        <v>0</v>
      </c>
      <c r="T142" s="91" t="n">
        <f aca="false">IFERROR(S142/S$5,0)</f>
        <v>0</v>
      </c>
      <c r="V142" s="75" t="n">
        <f aca="false">SUMIFS('Dados Mov Financeira'!$N:$N,'Dados Mov Financeira'!$O:$O,'DRE 2021'!$B142,'Dados Mov Financeira'!$A:$A,'DRE 2021'!V$1,'Dados Mov Financeira'!$B:$B,'DRE 2021'!V$2)</f>
        <v>0</v>
      </c>
      <c r="W142" s="91" t="n">
        <f aca="false">IFERROR(V142/V$5,0)</f>
        <v>0</v>
      </c>
      <c r="Y142" s="75" t="n">
        <f aca="false">SUMIFS('Dados Mov Financeira'!$N:$N,'Dados Mov Financeira'!$O:$O,'DRE 2021'!$B142,'Dados Mov Financeira'!$A:$A,'DRE 2021'!Y$1,'Dados Mov Financeira'!$B:$B,'DRE 2021'!Y$2)</f>
        <v>0</v>
      </c>
      <c r="Z142" s="91" t="n">
        <f aca="false">IFERROR(Y142/Y$5,0)</f>
        <v>0</v>
      </c>
      <c r="AB142" s="75" t="n">
        <f aca="false">SUMIFS('Dados Mov Financeira'!$N:$N,'Dados Mov Financeira'!$O:$O,'DRE 2021'!$B142,'Dados Mov Financeira'!$A:$A,'DRE 2021'!AB$1,'Dados Mov Financeira'!$B:$B,'DRE 2021'!AB$2)</f>
        <v>0</v>
      </c>
      <c r="AC142" s="91" t="n">
        <f aca="false">IFERROR(AB142/AB$5,0)</f>
        <v>0</v>
      </c>
      <c r="AE142" s="75" t="n">
        <f aca="false">SUMIFS('Dados Mov Financeira'!$N:$N,'Dados Mov Financeira'!$O:$O,'DRE 2021'!$B142,'Dados Mov Financeira'!$A:$A,'DRE 2021'!AE$1,'Dados Mov Financeira'!$B:$B,'DRE 2021'!AE$2)</f>
        <v>0</v>
      </c>
      <c r="AF142" s="91" t="n">
        <f aca="false">IFERROR(AE142/AE$5,0)</f>
        <v>0</v>
      </c>
      <c r="AH142" s="75" t="n">
        <f aca="false">SUMIFS('Dados Mov Financeira'!$N:$N,'Dados Mov Financeira'!$O:$O,'DRE 2021'!$B142,'Dados Mov Financeira'!$A:$A,'DRE 2021'!AH$1,'Dados Mov Financeira'!$B:$B,'DRE 2021'!AH$2)</f>
        <v>0</v>
      </c>
      <c r="AI142" s="91" t="n">
        <f aca="false">IFERROR(AH142/AH$5,0)</f>
        <v>0</v>
      </c>
      <c r="AK142" s="75" t="n">
        <f aca="false">SUMIFS('Dados Mov Financeira'!$N:$N,'Dados Mov Financeira'!$O:$O,'DRE 2021'!$B142,'Dados Mov Financeira'!$A:$A,'DRE 2021'!AK$1,'Dados Mov Financeira'!$B:$B,'DRE 2021'!AK$2)</f>
        <v>0</v>
      </c>
      <c r="AL142" s="91" t="n">
        <f aca="false">IFERROR(AK142/AK$5,0)</f>
        <v>0</v>
      </c>
      <c r="AN142" s="92" t="n">
        <f aca="false">SUM(D142,G142,J142,M142,P142,S142,V142,Y142,AB142,AE142,AH142,AK142)</f>
        <v>0</v>
      </c>
      <c r="AO142" s="108" t="n">
        <f aca="false">IFERROR(AN142/AN$5,0)</f>
        <v>0</v>
      </c>
      <c r="AQ142" s="93" t="n">
        <f aca="false">AN142/$AR$1</f>
        <v>0</v>
      </c>
      <c r="AR142" s="94" t="n">
        <f aca="false">IFERROR(AQ142/AQ$5,0)</f>
        <v>0</v>
      </c>
    </row>
    <row r="143" customFormat="false" ht="15.75" hidden="false" customHeight="true" outlineLevel="1" collapsed="false">
      <c r="B143" s="89" t="s">
        <v>159</v>
      </c>
      <c r="D143" s="75" t="n">
        <f aca="false">SUMIFS('Dados Mov Financeira'!$N:$N,'Dados Mov Financeira'!$O:$O,'DRE 2021'!$B143,'Dados Mov Financeira'!$A:$A,'DRE 2021'!D$1,'Dados Mov Financeira'!$B:$B,'DRE 2021'!D$2)</f>
        <v>0</v>
      </c>
      <c r="E143" s="91" t="n">
        <f aca="false">IFERROR(D143/D$5,0)</f>
        <v>0</v>
      </c>
      <c r="G143" s="75" t="n">
        <f aca="false">SUMIFS('Dados Mov Financeira'!$N:$N,'Dados Mov Financeira'!$O:$O,'DRE 2021'!$B143,'Dados Mov Financeira'!$A:$A,'DRE 2021'!G$1,'Dados Mov Financeira'!$B:$B,'DRE 2021'!G$2)</f>
        <v>0</v>
      </c>
      <c r="H143" s="91" t="n">
        <f aca="false">IFERROR(G143/G$5,0)</f>
        <v>0</v>
      </c>
      <c r="J143" s="75" t="n">
        <f aca="false">SUMIFS('Dados Mov Financeira'!$N:$N,'Dados Mov Financeira'!$O:$O,'DRE 2021'!$B143,'Dados Mov Financeira'!$A:$A,'DRE 2021'!J$1,'Dados Mov Financeira'!$B:$B,'DRE 2021'!J$2)</f>
        <v>0</v>
      </c>
      <c r="K143" s="91" t="n">
        <f aca="false">IFERROR(J143/J$5,0)</f>
        <v>0</v>
      </c>
      <c r="M143" s="75" t="n">
        <f aca="false">SUMIFS('Dados Mov Financeira'!$N:$N,'Dados Mov Financeira'!$O:$O,'DRE 2021'!$B143,'Dados Mov Financeira'!$A:$A,'DRE 2021'!M$1,'Dados Mov Financeira'!$B:$B,'DRE 2021'!M$2)</f>
        <v>0</v>
      </c>
      <c r="N143" s="91" t="n">
        <f aca="false">IFERROR(M143/M$5,0)</f>
        <v>0</v>
      </c>
      <c r="P143" s="75" t="n">
        <f aca="false">SUMIFS('Dados Mov Financeira'!$N:$N,'Dados Mov Financeira'!$O:$O,'DRE 2021'!$B143,'Dados Mov Financeira'!$A:$A,'DRE 2021'!P$1,'Dados Mov Financeira'!$B:$B,'DRE 2021'!P$2)</f>
        <v>0</v>
      </c>
      <c r="Q143" s="91" t="n">
        <f aca="false">IFERROR(P143/P$5,0)</f>
        <v>0</v>
      </c>
      <c r="S143" s="75" t="n">
        <f aca="false">SUMIFS('Dados Mov Financeira'!$N:$N,'Dados Mov Financeira'!$O:$O,'DRE 2021'!$B143,'Dados Mov Financeira'!$A:$A,'DRE 2021'!S$1,'Dados Mov Financeira'!$B:$B,'DRE 2021'!S$2)</f>
        <v>0</v>
      </c>
      <c r="T143" s="91" t="n">
        <f aca="false">IFERROR(S143/S$5,0)</f>
        <v>0</v>
      </c>
      <c r="V143" s="75" t="n">
        <f aca="false">SUMIFS('Dados Mov Financeira'!$N:$N,'Dados Mov Financeira'!$O:$O,'DRE 2021'!$B143,'Dados Mov Financeira'!$A:$A,'DRE 2021'!V$1,'Dados Mov Financeira'!$B:$B,'DRE 2021'!V$2)</f>
        <v>0</v>
      </c>
      <c r="W143" s="91" t="n">
        <f aca="false">IFERROR(V143/V$5,0)</f>
        <v>0</v>
      </c>
      <c r="Y143" s="75" t="n">
        <f aca="false">SUMIFS('Dados Mov Financeira'!$N:$N,'Dados Mov Financeira'!$O:$O,'DRE 2021'!$B143,'Dados Mov Financeira'!$A:$A,'DRE 2021'!Y$1,'Dados Mov Financeira'!$B:$B,'DRE 2021'!Y$2)</f>
        <v>0</v>
      </c>
      <c r="Z143" s="91" t="n">
        <f aca="false">IFERROR(Y143/Y$5,0)</f>
        <v>0</v>
      </c>
      <c r="AB143" s="75" t="n">
        <f aca="false">SUMIFS('Dados Mov Financeira'!$N:$N,'Dados Mov Financeira'!$O:$O,'DRE 2021'!$B143,'Dados Mov Financeira'!$A:$A,'DRE 2021'!AB$1,'Dados Mov Financeira'!$B:$B,'DRE 2021'!AB$2)</f>
        <v>0</v>
      </c>
      <c r="AC143" s="91" t="n">
        <f aca="false">IFERROR(AB143/AB$5,0)</f>
        <v>0</v>
      </c>
      <c r="AE143" s="75" t="n">
        <f aca="false">SUMIFS('Dados Mov Financeira'!$N:$N,'Dados Mov Financeira'!$O:$O,'DRE 2021'!$B143,'Dados Mov Financeira'!$A:$A,'DRE 2021'!AE$1,'Dados Mov Financeira'!$B:$B,'DRE 2021'!AE$2)</f>
        <v>0</v>
      </c>
      <c r="AF143" s="91" t="n">
        <f aca="false">IFERROR(AE143/AE$5,0)</f>
        <v>0</v>
      </c>
      <c r="AH143" s="75" t="n">
        <f aca="false">SUMIFS('Dados Mov Financeira'!$N:$N,'Dados Mov Financeira'!$O:$O,'DRE 2021'!$B143,'Dados Mov Financeira'!$A:$A,'DRE 2021'!AH$1,'Dados Mov Financeira'!$B:$B,'DRE 2021'!AH$2)</f>
        <v>0</v>
      </c>
      <c r="AI143" s="91" t="n">
        <f aca="false">IFERROR(AH143/AH$5,0)</f>
        <v>0</v>
      </c>
      <c r="AK143" s="75" t="n">
        <f aca="false">SUMIFS('Dados Mov Financeira'!$N:$N,'Dados Mov Financeira'!$O:$O,'DRE 2021'!$B143,'Dados Mov Financeira'!$A:$A,'DRE 2021'!AK$1,'Dados Mov Financeira'!$B:$B,'DRE 2021'!AK$2)</f>
        <v>0</v>
      </c>
      <c r="AL143" s="91" t="n">
        <f aca="false">IFERROR(AK143/AK$5,0)</f>
        <v>0</v>
      </c>
      <c r="AN143" s="92" t="n">
        <f aca="false">SUM(D143,G143,J143,M143,P143,S143,V143,Y143,AB143,AE143,AH143,AK143)</f>
        <v>0</v>
      </c>
      <c r="AO143" s="91" t="n">
        <f aca="false">IFERROR(AN143/AN$5,0)</f>
        <v>0</v>
      </c>
      <c r="AQ143" s="93" t="n">
        <f aca="false">AN143/$AR$1</f>
        <v>0</v>
      </c>
      <c r="AR143" s="94" t="n">
        <f aca="false">IFERROR(AQ143/AQ$5,0)</f>
        <v>0</v>
      </c>
    </row>
    <row r="144" customFormat="false" ht="14.25" hidden="false" customHeight="false" outlineLevel="1" collapsed="false">
      <c r="B144" s="89" t="s">
        <v>160</v>
      </c>
      <c r="D144" s="75" t="n">
        <f aca="false">SUMIFS('Dados Mov Financeira'!$N:$N,'Dados Mov Financeira'!$O:$O,'DRE 2021'!$B144,'Dados Mov Financeira'!$A:$A,'DRE 2021'!D$1,'Dados Mov Financeira'!$B:$B,'DRE 2021'!D$2)</f>
        <v>0</v>
      </c>
      <c r="E144" s="91" t="n">
        <f aca="false">IFERROR(D144/D$5,0)</f>
        <v>0</v>
      </c>
      <c r="G144" s="75" t="n">
        <f aca="false">SUMIFS('Dados Mov Financeira'!$N:$N,'Dados Mov Financeira'!$O:$O,'DRE 2021'!$B144,'Dados Mov Financeira'!$A:$A,'DRE 2021'!G$1,'Dados Mov Financeira'!$B:$B,'DRE 2021'!G$2)</f>
        <v>0</v>
      </c>
      <c r="H144" s="91" t="n">
        <f aca="false">IFERROR(G144/G$5,0)</f>
        <v>0</v>
      </c>
      <c r="J144" s="75" t="n">
        <f aca="false">SUMIFS('Dados Mov Financeira'!$N:$N,'Dados Mov Financeira'!$O:$O,'DRE 2021'!$B144,'Dados Mov Financeira'!$A:$A,'DRE 2021'!J$1,'Dados Mov Financeira'!$B:$B,'DRE 2021'!J$2)</f>
        <v>0</v>
      </c>
      <c r="K144" s="91" t="n">
        <f aca="false">IFERROR(J144/J$5,0)</f>
        <v>0</v>
      </c>
      <c r="M144" s="75" t="n">
        <f aca="false">SUMIFS('Dados Mov Financeira'!$N:$N,'Dados Mov Financeira'!$O:$O,'DRE 2021'!$B144,'Dados Mov Financeira'!$A:$A,'DRE 2021'!M$1,'Dados Mov Financeira'!$B:$B,'DRE 2021'!M$2)</f>
        <v>0</v>
      </c>
      <c r="N144" s="91" t="n">
        <f aca="false">IFERROR(M144/M$5,0)</f>
        <v>0</v>
      </c>
      <c r="P144" s="75" t="n">
        <f aca="false">SUMIFS('Dados Mov Financeira'!$N:$N,'Dados Mov Financeira'!$O:$O,'DRE 2021'!$B144,'Dados Mov Financeira'!$A:$A,'DRE 2021'!P$1,'Dados Mov Financeira'!$B:$B,'DRE 2021'!P$2)</f>
        <v>0</v>
      </c>
      <c r="Q144" s="91" t="n">
        <f aca="false">IFERROR(P144/P$5,0)</f>
        <v>0</v>
      </c>
      <c r="S144" s="75" t="n">
        <f aca="false">SUMIFS('Dados Mov Financeira'!$N:$N,'Dados Mov Financeira'!$O:$O,'DRE 2021'!$B144,'Dados Mov Financeira'!$A:$A,'DRE 2021'!S$1,'Dados Mov Financeira'!$B:$B,'DRE 2021'!S$2)</f>
        <v>0</v>
      </c>
      <c r="T144" s="91" t="n">
        <f aca="false">IFERROR(S144/S$5,0)</f>
        <v>0</v>
      </c>
      <c r="V144" s="75" t="n">
        <f aca="false">SUMIFS('Dados Mov Financeira'!$N:$N,'Dados Mov Financeira'!$O:$O,'DRE 2021'!$B144,'Dados Mov Financeira'!$A:$A,'DRE 2021'!V$1,'Dados Mov Financeira'!$B:$B,'DRE 2021'!V$2)</f>
        <v>0</v>
      </c>
      <c r="W144" s="91" t="n">
        <f aca="false">IFERROR(V144/V$5,0)</f>
        <v>0</v>
      </c>
      <c r="Y144" s="75" t="n">
        <f aca="false">SUMIFS('Dados Mov Financeira'!$N:$N,'Dados Mov Financeira'!$O:$O,'DRE 2021'!$B144,'Dados Mov Financeira'!$A:$A,'DRE 2021'!Y$1,'Dados Mov Financeira'!$B:$B,'DRE 2021'!Y$2)</f>
        <v>0</v>
      </c>
      <c r="Z144" s="91" t="n">
        <f aca="false">IFERROR(Y144/Y$5,0)</f>
        <v>0</v>
      </c>
      <c r="AB144" s="75" t="n">
        <f aca="false">SUMIFS('Dados Mov Financeira'!$N:$N,'Dados Mov Financeira'!$O:$O,'DRE 2021'!$B144,'Dados Mov Financeira'!$A:$A,'DRE 2021'!AB$1,'Dados Mov Financeira'!$B:$B,'DRE 2021'!AB$2)</f>
        <v>0</v>
      </c>
      <c r="AC144" s="91" t="n">
        <f aca="false">IFERROR(AB144/AB$5,0)</f>
        <v>0</v>
      </c>
      <c r="AE144" s="75" t="n">
        <f aca="false">SUMIFS('Dados Mov Financeira'!$N:$N,'Dados Mov Financeira'!$O:$O,'DRE 2021'!$B144,'Dados Mov Financeira'!$A:$A,'DRE 2021'!AE$1,'Dados Mov Financeira'!$B:$B,'DRE 2021'!AE$2)</f>
        <v>0</v>
      </c>
      <c r="AF144" s="91" t="n">
        <f aca="false">IFERROR(AE144/AE$5,0)</f>
        <v>0</v>
      </c>
      <c r="AH144" s="75" t="n">
        <f aca="false">SUMIFS('Dados Mov Financeira'!$N:$N,'Dados Mov Financeira'!$O:$O,'DRE 2021'!$B144,'Dados Mov Financeira'!$A:$A,'DRE 2021'!AH$1,'Dados Mov Financeira'!$B:$B,'DRE 2021'!AH$2)</f>
        <v>0</v>
      </c>
      <c r="AI144" s="91" t="n">
        <f aca="false">IFERROR(AH144/AH$5,0)</f>
        <v>0</v>
      </c>
      <c r="AK144" s="75" t="n">
        <f aca="false">SUMIFS('Dados Mov Financeira'!$N:$N,'Dados Mov Financeira'!$O:$O,'DRE 2021'!$B144,'Dados Mov Financeira'!$A:$A,'DRE 2021'!AK$1,'Dados Mov Financeira'!$B:$B,'DRE 2021'!AK$2)</f>
        <v>0</v>
      </c>
      <c r="AL144" s="91" t="n">
        <f aca="false">IFERROR(AK144/AK$5,0)</f>
        <v>0</v>
      </c>
      <c r="AN144" s="92" t="n">
        <f aca="false">SUM(D144,G144,J144,M144,P144,S144,V144,Y144,AB144,AE144,AH144,AK144)</f>
        <v>0</v>
      </c>
      <c r="AO144" s="108" t="n">
        <f aca="false">IFERROR(AN144/AN$5,0)</f>
        <v>0</v>
      </c>
      <c r="AQ144" s="93" t="n">
        <f aca="false">AN144/$AR$1</f>
        <v>0</v>
      </c>
      <c r="AR144" s="94" t="n">
        <f aca="false">IFERROR(AQ144/AQ$5,0)</f>
        <v>0</v>
      </c>
    </row>
    <row r="145" customFormat="false" ht="14.25" hidden="false" customHeight="false" outlineLevel="1" collapsed="false">
      <c r="B145" s="89" t="s">
        <v>161</v>
      </c>
      <c r="D145" s="75" t="n">
        <f aca="false">SUMIFS('Dados Mov Financeira'!$N:$N,'Dados Mov Financeira'!$O:$O,'DRE 2021'!$B145,'Dados Mov Financeira'!$A:$A,'DRE 2021'!D$1,'Dados Mov Financeira'!$B:$B,'DRE 2021'!D$2)</f>
        <v>0</v>
      </c>
      <c r="E145" s="91" t="n">
        <f aca="false">IFERROR(D145/D$5,0)</f>
        <v>0</v>
      </c>
      <c r="G145" s="75" t="n">
        <f aca="false">SUMIFS('Dados Mov Financeira'!$N:$N,'Dados Mov Financeira'!$O:$O,'DRE 2021'!$B145,'Dados Mov Financeira'!$A:$A,'DRE 2021'!G$1,'Dados Mov Financeira'!$B:$B,'DRE 2021'!G$2)</f>
        <v>0</v>
      </c>
      <c r="H145" s="91" t="n">
        <f aca="false">IFERROR(G145/G$5,0)</f>
        <v>0</v>
      </c>
      <c r="J145" s="75" t="n">
        <f aca="false">SUMIFS('Dados Mov Financeira'!$N:$N,'Dados Mov Financeira'!$O:$O,'DRE 2021'!$B145,'Dados Mov Financeira'!$A:$A,'DRE 2021'!J$1,'Dados Mov Financeira'!$B:$B,'DRE 2021'!J$2)</f>
        <v>0</v>
      </c>
      <c r="K145" s="91" t="n">
        <f aca="false">IFERROR(J145/J$5,0)</f>
        <v>0</v>
      </c>
      <c r="M145" s="75" t="n">
        <f aca="false">SUMIFS('Dados Mov Financeira'!$N:$N,'Dados Mov Financeira'!$O:$O,'DRE 2021'!$B145,'Dados Mov Financeira'!$A:$A,'DRE 2021'!M$1,'Dados Mov Financeira'!$B:$B,'DRE 2021'!M$2)</f>
        <v>0</v>
      </c>
      <c r="N145" s="91" t="n">
        <f aca="false">IFERROR(M145/M$5,0)</f>
        <v>0</v>
      </c>
      <c r="P145" s="75" t="n">
        <f aca="false">SUMIFS('Dados Mov Financeira'!$N:$N,'Dados Mov Financeira'!$O:$O,'DRE 2021'!$B145,'Dados Mov Financeira'!$A:$A,'DRE 2021'!P$1,'Dados Mov Financeira'!$B:$B,'DRE 2021'!P$2)</f>
        <v>0</v>
      </c>
      <c r="Q145" s="91" t="n">
        <f aca="false">IFERROR(P145/P$5,0)</f>
        <v>0</v>
      </c>
      <c r="S145" s="75" t="n">
        <f aca="false">SUMIFS('Dados Mov Financeira'!$N:$N,'Dados Mov Financeira'!$O:$O,'DRE 2021'!$B145,'Dados Mov Financeira'!$A:$A,'DRE 2021'!S$1,'Dados Mov Financeira'!$B:$B,'DRE 2021'!S$2)</f>
        <v>0</v>
      </c>
      <c r="T145" s="91" t="n">
        <f aca="false">IFERROR(S145/S$5,0)</f>
        <v>0</v>
      </c>
      <c r="V145" s="75" t="n">
        <f aca="false">SUMIFS('Dados Mov Financeira'!$N:$N,'Dados Mov Financeira'!$O:$O,'DRE 2021'!$B145,'Dados Mov Financeira'!$A:$A,'DRE 2021'!V$1,'Dados Mov Financeira'!$B:$B,'DRE 2021'!V$2)</f>
        <v>0</v>
      </c>
      <c r="W145" s="91" t="n">
        <f aca="false">IFERROR(V145/V$5,0)</f>
        <v>0</v>
      </c>
      <c r="Y145" s="75" t="n">
        <f aca="false">SUMIFS('Dados Mov Financeira'!$N:$N,'Dados Mov Financeira'!$O:$O,'DRE 2021'!$B145,'Dados Mov Financeira'!$A:$A,'DRE 2021'!Y$1,'Dados Mov Financeira'!$B:$B,'DRE 2021'!Y$2)</f>
        <v>0</v>
      </c>
      <c r="Z145" s="91" t="n">
        <f aca="false">IFERROR(Y145/Y$5,0)</f>
        <v>0</v>
      </c>
      <c r="AB145" s="75" t="n">
        <f aca="false">SUMIFS('Dados Mov Financeira'!$N:$N,'Dados Mov Financeira'!$O:$O,'DRE 2021'!$B145,'Dados Mov Financeira'!$A:$A,'DRE 2021'!AB$1,'Dados Mov Financeira'!$B:$B,'DRE 2021'!AB$2)</f>
        <v>0</v>
      </c>
      <c r="AC145" s="91" t="n">
        <f aca="false">IFERROR(AB145/AB$5,0)</f>
        <v>0</v>
      </c>
      <c r="AE145" s="75" t="n">
        <f aca="false">SUMIFS('Dados Mov Financeira'!$N:$N,'Dados Mov Financeira'!$O:$O,'DRE 2021'!$B145,'Dados Mov Financeira'!$A:$A,'DRE 2021'!AE$1,'Dados Mov Financeira'!$B:$B,'DRE 2021'!AE$2)</f>
        <v>0</v>
      </c>
      <c r="AF145" s="91" t="n">
        <f aca="false">IFERROR(AE145/AE$5,0)</f>
        <v>0</v>
      </c>
      <c r="AH145" s="75" t="n">
        <f aca="false">SUMIFS('Dados Mov Financeira'!$N:$N,'Dados Mov Financeira'!$O:$O,'DRE 2021'!$B145,'Dados Mov Financeira'!$A:$A,'DRE 2021'!AH$1,'Dados Mov Financeira'!$B:$B,'DRE 2021'!AH$2)</f>
        <v>0</v>
      </c>
      <c r="AI145" s="91" t="n">
        <f aca="false">IFERROR(AH145/AH$5,0)</f>
        <v>0</v>
      </c>
      <c r="AK145" s="75" t="n">
        <f aca="false">SUMIFS('Dados Mov Financeira'!$N:$N,'Dados Mov Financeira'!$O:$O,'DRE 2021'!$B145,'Dados Mov Financeira'!$A:$A,'DRE 2021'!AK$1,'Dados Mov Financeira'!$B:$B,'DRE 2021'!AK$2)</f>
        <v>0</v>
      </c>
      <c r="AL145" s="91" t="n">
        <f aca="false">IFERROR(AK145/AK$5,0)</f>
        <v>0</v>
      </c>
      <c r="AN145" s="92" t="n">
        <f aca="false">SUM(D145,G145,J145,M145,P145,S145,V145,Y145,AB145,AE145,AH145,AK145)</f>
        <v>0</v>
      </c>
      <c r="AO145" s="108" t="n">
        <f aca="false">IFERROR(AN145/AN$5,0)</f>
        <v>0</v>
      </c>
      <c r="AQ145" s="93" t="n">
        <f aca="false">AN145/$AR$1</f>
        <v>0</v>
      </c>
      <c r="AR145" s="94" t="n">
        <f aca="false">IFERROR(AQ145/AQ$5,0)</f>
        <v>0</v>
      </c>
    </row>
    <row r="146" s="57" customFormat="true" ht="9" hidden="false" customHeight="true" outlineLevel="0" collapsed="false">
      <c r="B146" s="48"/>
      <c r="C146" s="58"/>
      <c r="D146" s="59"/>
      <c r="E146" s="60"/>
      <c r="F146" s="58"/>
      <c r="G146" s="59"/>
      <c r="H146" s="60"/>
      <c r="I146" s="58"/>
      <c r="J146" s="59"/>
      <c r="K146" s="60"/>
      <c r="L146" s="58"/>
      <c r="M146" s="59"/>
      <c r="N146" s="60"/>
      <c r="O146" s="58"/>
      <c r="P146" s="59"/>
      <c r="Q146" s="60"/>
      <c r="R146" s="58"/>
      <c r="S146" s="59"/>
      <c r="T146" s="60"/>
      <c r="U146" s="58"/>
      <c r="V146" s="59"/>
      <c r="W146" s="60"/>
      <c r="X146" s="58"/>
      <c r="Y146" s="59"/>
      <c r="Z146" s="60"/>
      <c r="AA146" s="58"/>
      <c r="AB146" s="59"/>
      <c r="AC146" s="60"/>
      <c r="AD146" s="58"/>
      <c r="AE146" s="59"/>
      <c r="AF146" s="60"/>
      <c r="AG146" s="58"/>
      <c r="AH146" s="59"/>
      <c r="AI146" s="60"/>
      <c r="AJ146" s="58"/>
      <c r="AK146" s="59"/>
      <c r="AL146" s="60"/>
      <c r="AM146" s="58"/>
      <c r="AN146" s="59"/>
      <c r="AO146" s="60"/>
      <c r="AP146" s="58"/>
      <c r="AQ146" s="61"/>
      <c r="AR146" s="60"/>
      <c r="AS146" s="58"/>
    </row>
    <row r="147" s="63" customFormat="true" ht="20.85" hidden="false" customHeight="false" outlineLevel="0" collapsed="false">
      <c r="A147" s="36"/>
      <c r="B147" s="102" t="s">
        <v>162</v>
      </c>
      <c r="D147" s="103" t="n">
        <f aca="false">D127+D129</f>
        <v>0</v>
      </c>
      <c r="E147" s="104" t="n">
        <f aca="false">IFERROR(D147/D$5,0)</f>
        <v>0</v>
      </c>
      <c r="G147" s="103" t="n">
        <f aca="false">G127+G129</f>
        <v>0</v>
      </c>
      <c r="H147" s="104" t="n">
        <f aca="false">IFERROR(G147/G$5,0)</f>
        <v>0</v>
      </c>
      <c r="J147" s="103" t="n">
        <f aca="false">J127+J129</f>
        <v>0</v>
      </c>
      <c r="K147" s="104" t="n">
        <f aca="false">IFERROR(J147/J$5,0)</f>
        <v>0</v>
      </c>
      <c r="M147" s="103" t="n">
        <f aca="false">M127+M129</f>
        <v>0</v>
      </c>
      <c r="N147" s="104" t="n">
        <f aca="false">IFERROR(M147/M$5,0)</f>
        <v>0</v>
      </c>
      <c r="P147" s="103" t="n">
        <f aca="false">P127+P129</f>
        <v>0</v>
      </c>
      <c r="Q147" s="104" t="n">
        <f aca="false">IFERROR(P147/P$5,0)</f>
        <v>0</v>
      </c>
      <c r="S147" s="103" t="n">
        <f aca="false">S127+S129</f>
        <v>0</v>
      </c>
      <c r="T147" s="104" t="n">
        <f aca="false">IFERROR(S147/S$5,0)</f>
        <v>0</v>
      </c>
      <c r="V147" s="103" t="n">
        <f aca="false">V127+V129</f>
        <v>0</v>
      </c>
      <c r="W147" s="104" t="n">
        <f aca="false">IFERROR(V147/V$5,0)</f>
        <v>0</v>
      </c>
      <c r="Y147" s="103" t="n">
        <f aca="false">Y127+Y129</f>
        <v>0</v>
      </c>
      <c r="Z147" s="104" t="n">
        <f aca="false">IFERROR(Y147/Y$5,0)</f>
        <v>0</v>
      </c>
      <c r="AB147" s="103" t="n">
        <f aca="false">AB127+AB129</f>
        <v>0</v>
      </c>
      <c r="AC147" s="104" t="n">
        <f aca="false">IFERROR(AB147/AB$5,0)</f>
        <v>0</v>
      </c>
      <c r="AE147" s="103" t="n">
        <f aca="false">AE127+AE129</f>
        <v>0</v>
      </c>
      <c r="AF147" s="104" t="n">
        <f aca="false">IFERROR(AE147/AE$5,0)</f>
        <v>0</v>
      </c>
      <c r="AH147" s="103" t="n">
        <f aca="false">AH127+AH129</f>
        <v>0</v>
      </c>
      <c r="AI147" s="104" t="n">
        <f aca="false">IFERROR(AH147/AH$5,0)</f>
        <v>0</v>
      </c>
      <c r="AK147" s="103" t="n">
        <f aca="false">AK127+AK129</f>
        <v>0</v>
      </c>
      <c r="AL147" s="104" t="n">
        <f aca="false">IFERROR(AK147/AK$5,0)</f>
        <v>0</v>
      </c>
      <c r="AN147" s="103" t="n">
        <f aca="false">AN127+AN129</f>
        <v>0</v>
      </c>
      <c r="AO147" s="104" t="n">
        <f aca="false">IFERROR(AN147/AN$5,0)</f>
        <v>0</v>
      </c>
      <c r="AQ147" s="103" t="n">
        <f aca="false">AQ127+AQ129</f>
        <v>0</v>
      </c>
      <c r="AR147" s="104" t="n">
        <f aca="false">IFERROR(AQ147/AQ$5,0)</f>
        <v>0</v>
      </c>
    </row>
    <row r="148" customFormat="false" ht="14.25" hidden="true" customHeight="false" outlineLevel="0" collapsed="false">
      <c r="B148" s="106" t="s">
        <v>163</v>
      </c>
      <c r="D148" s="99" t="e">
        <f aca="false">-D44/(E42)</f>
        <v>#DIV/0!</v>
      </c>
      <c r="E148" s="95" t="n">
        <f aca="false">IFERROR(D148/D$5,0)</f>
        <v>0</v>
      </c>
      <c r="G148" s="99" t="e">
        <f aca="false">-G44/(H42)</f>
        <v>#DIV/0!</v>
      </c>
      <c r="H148" s="95" t="n">
        <f aca="false">IFERROR(G148/G$5,0)</f>
        <v>0</v>
      </c>
      <c r="J148" s="99" t="e">
        <f aca="false">-J44/(K42)</f>
        <v>#DIV/0!</v>
      </c>
      <c r="K148" s="95" t="n">
        <f aca="false">IFERROR(J148/J$5,0)</f>
        <v>0</v>
      </c>
      <c r="M148" s="99" t="e">
        <f aca="false">-M44/(N42)</f>
        <v>#DIV/0!</v>
      </c>
      <c r="N148" s="95" t="n">
        <f aca="false">IFERROR(M148/M$5,0)</f>
        <v>0</v>
      </c>
      <c r="P148" s="99" t="e">
        <f aca="false">-P44/(Q42)</f>
        <v>#DIV/0!</v>
      </c>
      <c r="Q148" s="95" t="n">
        <f aca="false">IFERROR(P148/P$5,0)</f>
        <v>0</v>
      </c>
      <c r="S148" s="99" t="e">
        <f aca="false">-S44/(T42)</f>
        <v>#DIV/0!</v>
      </c>
      <c r="T148" s="95" t="n">
        <f aca="false">IFERROR(S148/S$5,0)</f>
        <v>0</v>
      </c>
      <c r="V148" s="99" t="e">
        <f aca="false">-V44/(W42)</f>
        <v>#DIV/0!</v>
      </c>
      <c r="W148" s="95" t="n">
        <f aca="false">IFERROR(V148/V$5,0)</f>
        <v>0</v>
      </c>
      <c r="Y148" s="99" t="e">
        <f aca="false">-Y44/(Z42)</f>
        <v>#DIV/0!</v>
      </c>
      <c r="Z148" s="95" t="n">
        <f aca="false">IFERROR(Y148/Y$5,0)</f>
        <v>0</v>
      </c>
      <c r="AB148" s="99" t="e">
        <f aca="false">-AB44/(AC42)</f>
        <v>#DIV/0!</v>
      </c>
      <c r="AC148" s="95" t="n">
        <f aca="false">IFERROR(AB148/AB$5,0)</f>
        <v>0</v>
      </c>
      <c r="AE148" s="99" t="e">
        <f aca="false">-AE44/(AF42)</f>
        <v>#DIV/0!</v>
      </c>
      <c r="AF148" s="95" t="n">
        <f aca="false">IFERROR(AE148/AE$5,0)</f>
        <v>0</v>
      </c>
      <c r="AH148" s="99" t="e">
        <f aca="false">-AH44/(AI42)</f>
        <v>#DIV/0!</v>
      </c>
      <c r="AI148" s="95" t="n">
        <f aca="false">IFERROR(AH148/AH$5,0)</f>
        <v>0</v>
      </c>
      <c r="AK148" s="99" t="e">
        <f aca="false">-AK44/(AL42)</f>
        <v>#DIV/0!</v>
      </c>
      <c r="AL148" s="95" t="n">
        <f aca="false">IFERROR(AK148/AK$5,0)</f>
        <v>0</v>
      </c>
      <c r="AN148" s="99" t="e">
        <f aca="false">-AN44/(AO42)</f>
        <v>#DIV/0!</v>
      </c>
      <c r="AO148" s="95" t="n">
        <f aca="false">IFERROR(AN148/AN$5,0)</f>
        <v>0</v>
      </c>
      <c r="AQ148" s="99" t="e">
        <f aca="false">-AQ44/(AR42)</f>
        <v>#DIV/0!</v>
      </c>
      <c r="AR148" s="95" t="n">
        <f aca="false">IFERROR(AQ148/AQ$5,0)</f>
        <v>0</v>
      </c>
    </row>
    <row r="149" customFormat="false" ht="14.25" hidden="true" customHeight="false" outlineLevel="0" collapsed="false">
      <c r="B149" s="106" t="s">
        <v>164</v>
      </c>
      <c r="D149" s="99" t="e">
        <f aca="false">-(D44-D113+D129)/E42</f>
        <v>#DIV/0!</v>
      </c>
      <c r="E149" s="95" t="n">
        <f aca="false">IFERROR(D149/D$5,0)</f>
        <v>0</v>
      </c>
      <c r="G149" s="99" t="e">
        <f aca="false">-(G44-G113+G129)/H42</f>
        <v>#DIV/0!</v>
      </c>
      <c r="H149" s="95" t="n">
        <f aca="false">IFERROR(G149/G$5,0)</f>
        <v>0</v>
      </c>
      <c r="J149" s="99" t="e">
        <f aca="false">-(J44-J113+J129)/K42</f>
        <v>#DIV/0!</v>
      </c>
      <c r="K149" s="95" t="n">
        <f aca="false">IFERROR(J149/J$5,0)</f>
        <v>0</v>
      </c>
      <c r="M149" s="99" t="e">
        <f aca="false">-(M44-M113+M129)/N42</f>
        <v>#DIV/0!</v>
      </c>
      <c r="N149" s="95" t="n">
        <f aca="false">IFERROR(M149/M$5,0)</f>
        <v>0</v>
      </c>
      <c r="P149" s="99" t="e">
        <f aca="false">-(P44-P113+P129)/Q42</f>
        <v>#DIV/0!</v>
      </c>
      <c r="Q149" s="95" t="n">
        <f aca="false">IFERROR(P149/P$5,0)</f>
        <v>0</v>
      </c>
      <c r="S149" s="99" t="e">
        <f aca="false">-(S44-S113+S129)/T42</f>
        <v>#DIV/0!</v>
      </c>
      <c r="T149" s="95" t="n">
        <f aca="false">IFERROR(S149/S$5,0)</f>
        <v>0</v>
      </c>
      <c r="V149" s="99" t="e">
        <f aca="false">-(V44-V113+V129)/W42</f>
        <v>#DIV/0!</v>
      </c>
      <c r="W149" s="95" t="n">
        <f aca="false">IFERROR(V149/V$5,0)</f>
        <v>0</v>
      </c>
      <c r="Y149" s="99" t="e">
        <f aca="false">-(Y44-Y113+Y129)/Z42</f>
        <v>#DIV/0!</v>
      </c>
      <c r="Z149" s="95" t="n">
        <f aca="false">IFERROR(Y149/Y$5,0)</f>
        <v>0</v>
      </c>
      <c r="AB149" s="99" t="e">
        <f aca="false">-(AB44-AB113+AB129)/AC42</f>
        <v>#DIV/0!</v>
      </c>
      <c r="AC149" s="95" t="n">
        <f aca="false">IFERROR(AB149/AB$5,0)</f>
        <v>0</v>
      </c>
      <c r="AE149" s="99" t="e">
        <f aca="false">-(AE44-AE113+AE129)/AF42</f>
        <v>#DIV/0!</v>
      </c>
      <c r="AF149" s="95" t="n">
        <f aca="false">IFERROR(AE149/AE$5,0)</f>
        <v>0</v>
      </c>
      <c r="AH149" s="99" t="e">
        <f aca="false">-(AH44-AH113+AH129)/AI42</f>
        <v>#DIV/0!</v>
      </c>
      <c r="AI149" s="95" t="n">
        <f aca="false">IFERROR(AH149/AH$5,0)</f>
        <v>0</v>
      </c>
      <c r="AK149" s="99" t="e">
        <f aca="false">-(AK44-AK113+AK129)/AL42</f>
        <v>#DIV/0!</v>
      </c>
      <c r="AL149" s="95" t="n">
        <f aca="false">IFERROR(AK149/AK$5,0)</f>
        <v>0</v>
      </c>
      <c r="AN149" s="99" t="e">
        <f aca="false">-(AN44-AN113+AN129)/AO42</f>
        <v>#DIV/0!</v>
      </c>
      <c r="AO149" s="95" t="n">
        <f aca="false">IFERROR(AN149/AN$5,0)</f>
        <v>0</v>
      </c>
      <c r="AQ149" s="99" t="e">
        <f aca="false">-(AQ44-AQ113+AQ129)/AR42</f>
        <v>#DIV/0!</v>
      </c>
      <c r="AR149" s="95" t="n">
        <f aca="false">IFERROR(AQ149/AQ$5,0)</f>
        <v>0</v>
      </c>
    </row>
  </sheetData>
  <conditionalFormatting sqref="B33:AS33">
    <cfRule type="cellIs" priority="2" operator="lessThan" aboveAverage="0" equalAverage="0" bottom="0" percent="0" rank="0" text="" dxfId="21">
      <formula>0</formula>
    </cfRule>
  </conditionalFormatting>
  <conditionalFormatting sqref="B147:AS147">
    <cfRule type="cellIs" priority="3" operator="lessThan" aboveAverage="0" equalAverage="0" bottom="0" percent="0" rank="0" text="" dxfId="22">
      <formula>0</formula>
    </cfRule>
  </conditionalFormatting>
  <conditionalFormatting sqref="B111:AS111">
    <cfRule type="cellIs" priority="4" operator="lessThan" aboveAverage="0" equalAverage="0" bottom="0" percent="0" rank="0" text="" dxfId="23">
      <formula>0</formula>
    </cfRule>
  </conditionalFormatting>
  <conditionalFormatting sqref="B113:AS113">
    <cfRule type="cellIs" priority="5" operator="lessThan" aboveAverage="0" equalAverage="0" bottom="0" percent="0" rank="0" text="" dxfId="24">
      <formula>0</formula>
    </cfRule>
  </conditionalFormatting>
  <conditionalFormatting sqref="B127:AS127">
    <cfRule type="cellIs" priority="6" operator="lessThan" aboveAverage="0" equalAverage="0" bottom="0" percent="0" rank="0" text="" dxfId="25">
      <formula>0</formula>
    </cfRule>
  </conditionalFormatting>
  <conditionalFormatting sqref="B129:AS129">
    <cfRule type="cellIs" priority="7" operator="lessThan" aboveAverage="0" equalAverage="0" bottom="0" percent="0" rank="0" text="" dxfId="26">
      <formula>0</formula>
    </cfRule>
  </conditionalFormatting>
  <conditionalFormatting sqref="B42:AS42">
    <cfRule type="cellIs" priority="8" operator="lessThan" aboveAverage="0" equalAverage="0" bottom="0" percent="0" rank="0" text="" dxfId="27">
      <formula>0</formula>
    </cfRule>
  </conditionalFormatting>
  <printOptions headings="false" gridLines="false" gridLinesSet="true" horizontalCentered="false" verticalCentered="false"/>
  <pageMargins left="0.315277777777778" right="0.315277777777778" top="0.7875" bottom="0.7875" header="0.511811023622047" footer="0.511811023622047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5968"/>
    <pageSetUpPr fitToPage="true"/>
  </sheetPr>
  <dimension ref="A1:CI13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73" activePane="bottomRight" state="frozen"/>
      <selection pane="topLeft" activeCell="A1" activeCellId="0" sqref="A1"/>
      <selection pane="topRight" activeCell="D1" activeCellId="0" sqref="D1"/>
      <selection pane="bottomLeft" activeCell="A73" activeCellId="0" sqref="A73"/>
      <selection pane="bottomRight" activeCell="B85" activeCellId="1" sqref="O2:O308 B85"/>
    </sheetView>
  </sheetViews>
  <sheetFormatPr defaultColWidth="9.11328125" defaultRowHeight="13.5" zeroHeight="false" outlineLevelRow="1" outlineLevelCol="2"/>
  <cols>
    <col collapsed="false" customWidth="true" hidden="false" outlineLevel="0" max="1" min="1" style="126" width="2.89"/>
    <col collapsed="false" customWidth="true" hidden="false" outlineLevel="0" max="2" min="2" style="126" width="50.56"/>
    <col collapsed="false" customWidth="true" hidden="false" outlineLevel="0" max="3" min="3" style="126" width="1.11"/>
    <col collapsed="false" customWidth="true" hidden="false" outlineLevel="2" max="4" min="4" style="127" width="9"/>
    <col collapsed="false" customWidth="true" hidden="false" outlineLevel="2" max="5" min="5" style="38" width="6.67"/>
    <col collapsed="false" customWidth="true" hidden="false" outlineLevel="2" max="6" min="6" style="126" width="1"/>
    <col collapsed="false" customWidth="false" hidden="false" outlineLevel="2" max="7" min="7" style="126" width="9.11"/>
    <col collapsed="false" customWidth="true" hidden="false" outlineLevel="2" max="8" min="8" style="126" width="8.89"/>
    <col collapsed="false" customWidth="true" hidden="true" outlineLevel="2" max="9" min="9" style="128" width="7.33"/>
    <col collapsed="false" customWidth="true" hidden="true" outlineLevel="2" max="10" min="10" style="127" width="10.89"/>
    <col collapsed="false" customWidth="true" hidden="false" outlineLevel="2" max="11" min="11" style="38" width="11.45"/>
    <col collapsed="false" customWidth="true" hidden="false" outlineLevel="2" max="12" min="12" style="126" width="1"/>
    <col collapsed="false" customWidth="true" hidden="false" outlineLevel="2" max="13" min="13" style="126" width="10.89"/>
    <col collapsed="false" customWidth="true" hidden="false" outlineLevel="2" max="14" min="14" style="126" width="6.67"/>
    <col collapsed="false" customWidth="true" hidden="false" outlineLevel="2" max="15" min="15" style="126" width="0.45"/>
    <col collapsed="false" customWidth="false" hidden="false" outlineLevel="2" max="16" min="16" style="127" width="9.11"/>
    <col collapsed="false" customWidth="true" hidden="false" outlineLevel="2" max="17" min="17" style="38" width="6.67"/>
    <col collapsed="false" customWidth="true" hidden="false" outlineLevel="2" max="18" min="18" style="126" width="1"/>
    <col collapsed="false" customWidth="true" hidden="false" outlineLevel="2" max="19" min="19" style="127" width="11.33"/>
    <col collapsed="false" customWidth="true" hidden="false" outlineLevel="2" max="20" min="20" style="38" width="5.44"/>
    <col collapsed="false" customWidth="true" hidden="false" outlineLevel="2" max="21" min="21" style="126" width="7.33"/>
    <col collapsed="false" customWidth="false" hidden="false" outlineLevel="2" max="22" min="22" style="127" width="9.11"/>
    <col collapsed="false" customWidth="true" hidden="false" outlineLevel="2" max="23" min="23" style="38" width="6.67"/>
    <col collapsed="false" customWidth="true" hidden="false" outlineLevel="2" max="24" min="24" style="126" width="1"/>
    <col collapsed="false" customWidth="true" hidden="false" outlineLevel="2" max="25" min="25" style="127" width="7"/>
    <col collapsed="false" customWidth="true" hidden="false" outlineLevel="2" max="26" min="26" style="38" width="9.66"/>
    <col collapsed="false" customWidth="true" hidden="false" outlineLevel="2" max="27" min="27" style="126" width="7.33"/>
    <col collapsed="false" customWidth="false" hidden="false" outlineLevel="2" max="28" min="28" style="127" width="9.11"/>
    <col collapsed="false" customWidth="true" hidden="false" outlineLevel="2" max="29" min="29" style="38" width="6.67"/>
    <col collapsed="false" customWidth="true" hidden="false" outlineLevel="2" max="30" min="30" style="126" width="1"/>
    <col collapsed="false" customWidth="true" hidden="true" outlineLevel="2" max="31" min="31" style="126" width="7.45"/>
    <col collapsed="false" customWidth="true" hidden="true" outlineLevel="2" max="32" min="32" style="126" width="4.67"/>
    <col collapsed="false" customWidth="true" hidden="true" outlineLevel="2" max="33" min="33" style="126" width="7.33"/>
    <col collapsed="false" customWidth="false" hidden="false" outlineLevel="2" max="34" min="34" style="127" width="9.11"/>
    <col collapsed="false" customWidth="true" hidden="false" outlineLevel="2" max="35" min="35" style="38" width="6.67"/>
    <col collapsed="false" customWidth="true" hidden="false" outlineLevel="2" max="36" min="36" style="126" width="1"/>
    <col collapsed="false" customWidth="true" hidden="true" outlineLevel="2" max="37" min="37" style="126" width="8"/>
    <col collapsed="false" customWidth="true" hidden="true" outlineLevel="2" max="38" min="38" style="126" width="4.67"/>
    <col collapsed="false" customWidth="true" hidden="true" outlineLevel="2" max="39" min="39" style="126" width="7.33"/>
    <col collapsed="false" customWidth="false" hidden="false" outlineLevel="2" max="40" min="40" style="127" width="9.11"/>
    <col collapsed="false" customWidth="true" hidden="false" outlineLevel="2" max="41" min="41" style="38" width="6.67"/>
    <col collapsed="false" customWidth="true" hidden="false" outlineLevel="2" max="42" min="42" style="126" width="1"/>
    <col collapsed="false" customWidth="true" hidden="true" outlineLevel="2" max="43" min="43" style="127" width="7.55"/>
    <col collapsed="false" customWidth="true" hidden="true" outlineLevel="2" max="44" min="44" style="38" width="4.67"/>
    <col collapsed="false" customWidth="true" hidden="true" outlineLevel="2" max="45" min="45" style="126" width="7.33"/>
    <col collapsed="false" customWidth="false" hidden="false" outlineLevel="2" max="46" min="46" style="127" width="9.11"/>
    <col collapsed="false" customWidth="true" hidden="false" outlineLevel="2" max="47" min="47" style="38" width="6.67"/>
    <col collapsed="false" customWidth="true" hidden="false" outlineLevel="2" max="48" min="48" style="126" width="1"/>
    <col collapsed="false" customWidth="true" hidden="true" outlineLevel="2" max="49" min="49" style="127" width="8.67"/>
    <col collapsed="false" customWidth="true" hidden="true" outlineLevel="2" max="50" min="50" style="38" width="4.67"/>
    <col collapsed="false" customWidth="true" hidden="true" outlineLevel="2" max="51" min="51" style="126" width="7.33"/>
    <col collapsed="false" customWidth="true" hidden="false" outlineLevel="1" max="52" min="52" style="127" width="11.33"/>
    <col collapsed="false" customWidth="true" hidden="false" outlineLevel="1" max="53" min="53" style="38" width="6.67"/>
    <col collapsed="false" customWidth="true" hidden="false" outlineLevel="1" max="54" min="54" style="126" width="1"/>
    <col collapsed="false" customWidth="true" hidden="true" outlineLevel="1" max="55" min="55" style="126" width="11.33"/>
    <col collapsed="false" customWidth="true" hidden="true" outlineLevel="1" max="56" min="56" style="126" width="4.67"/>
    <col collapsed="false" customWidth="true" hidden="true" outlineLevel="1" max="57" min="57" style="126" width="7.33"/>
    <col collapsed="false" customWidth="true" hidden="false" outlineLevel="1" max="58" min="58" style="127" width="10"/>
    <col collapsed="false" customWidth="true" hidden="false" outlineLevel="1" max="59" min="59" style="38" width="6.67"/>
    <col collapsed="false" customWidth="true" hidden="true" outlineLevel="1" max="60" min="60" style="126" width="1"/>
    <col collapsed="false" customWidth="true" hidden="true" outlineLevel="1" max="61" min="61" style="126" width="10"/>
    <col collapsed="false" customWidth="true" hidden="true" outlineLevel="1" max="62" min="62" style="126" width="4.67"/>
    <col collapsed="false" customWidth="true" hidden="true" outlineLevel="1" max="63" min="63" style="126" width="7.33"/>
    <col collapsed="false" customWidth="true" hidden="false" outlineLevel="1" max="64" min="64" style="127" width="11.67"/>
    <col collapsed="false" customWidth="true" hidden="false" outlineLevel="1" max="65" min="65" style="38" width="6.67"/>
    <col collapsed="false" customWidth="true" hidden="false" outlineLevel="1" max="66" min="66" style="126" width="1"/>
    <col collapsed="false" customWidth="true" hidden="true" outlineLevel="1" max="67" min="67" style="126" width="11.67"/>
    <col collapsed="false" customWidth="true" hidden="true" outlineLevel="1" max="68" min="68" style="126" width="4.67"/>
    <col collapsed="false" customWidth="true" hidden="true" outlineLevel="1" max="69" min="69" style="126" width="7.33"/>
    <col collapsed="false" customWidth="true" hidden="false" outlineLevel="1" max="70" min="70" style="127" width="11.55"/>
    <col collapsed="false" customWidth="true" hidden="false" outlineLevel="1" max="71" min="71" style="38" width="6.67"/>
    <col collapsed="false" customWidth="true" hidden="false" outlineLevel="1" max="72" min="72" style="38" width="1.33"/>
    <col collapsed="false" customWidth="true" hidden="true" outlineLevel="1" max="73" min="73" style="38" width="11.55"/>
    <col collapsed="false" customWidth="true" hidden="true" outlineLevel="1" max="74" min="74" style="126" width="4.67"/>
    <col collapsed="false" customWidth="true" hidden="true" outlineLevel="1" max="75" min="75" style="126" width="7.33"/>
    <col collapsed="false" customWidth="true" hidden="false" outlineLevel="0" max="76" min="76" style="127" width="12.45"/>
    <col collapsed="false" customWidth="true" hidden="false" outlineLevel="0" max="77" min="77" style="38" width="6.67"/>
    <col collapsed="false" customWidth="true" hidden="false" outlineLevel="0" max="78" min="78" style="126" width="0.67"/>
    <col collapsed="false" customWidth="true" hidden="true" outlineLevel="0" max="79" min="79" style="126" width="12.45"/>
    <col collapsed="false" customWidth="true" hidden="true" outlineLevel="0" max="80" min="80" style="126" width="4.67"/>
    <col collapsed="false" customWidth="true" hidden="true" outlineLevel="0" max="81" min="81" style="126" width="7.33"/>
    <col collapsed="false" customWidth="true" hidden="false" outlineLevel="0" max="82" min="82" style="126" width="0.67"/>
    <col collapsed="false" customWidth="false" hidden="false" outlineLevel="0" max="83" min="83" style="127" width="9.11"/>
    <col collapsed="false" customWidth="true" hidden="false" outlineLevel="0" max="84" min="84" style="38" width="6.67"/>
    <col collapsed="false" customWidth="true" hidden="false" outlineLevel="0" max="85" min="85" style="126" width="0.11"/>
    <col collapsed="false" customWidth="true" hidden="true" outlineLevel="0" max="86" min="86" style="126" width="8.55"/>
    <col collapsed="false" customWidth="true" hidden="true" outlineLevel="0" max="87" min="87" style="126" width="4.67"/>
    <col collapsed="false" customWidth="false" hidden="false" outlineLevel="0" max="16384" min="88" style="126" width="9.11"/>
  </cols>
  <sheetData>
    <row r="1" s="131" customFormat="true" ht="15" hidden="false" customHeight="true" outlineLevel="0" collapsed="false">
      <c r="A1" s="129"/>
      <c r="B1" s="130"/>
      <c r="D1" s="132" t="n">
        <f aca="false">MONTH(D3)</f>
        <v>1</v>
      </c>
      <c r="E1" s="44"/>
      <c r="G1" s="132" t="n">
        <f aca="false">MONTH(G3)</f>
        <v>1</v>
      </c>
      <c r="I1" s="133"/>
      <c r="J1" s="132" t="n">
        <f aca="false">MONTH(J3)</f>
        <v>2</v>
      </c>
      <c r="K1" s="44"/>
      <c r="M1" s="132" t="n">
        <f aca="false">MONTH(M3)</f>
        <v>2</v>
      </c>
      <c r="N1" s="44"/>
      <c r="P1" s="132" t="n">
        <f aca="false">MONTH(P3)</f>
        <v>3</v>
      </c>
      <c r="Q1" s="44"/>
      <c r="S1" s="132" t="n">
        <f aca="false">MONTH(S3)</f>
        <v>3</v>
      </c>
      <c r="T1" s="44"/>
      <c r="V1" s="132" t="n">
        <f aca="false">MONTH(V3)</f>
        <v>4</v>
      </c>
      <c r="W1" s="44"/>
      <c r="Y1" s="132" t="n">
        <f aca="false">MONTH(Y3)</f>
        <v>4</v>
      </c>
      <c r="Z1" s="44"/>
      <c r="AB1" s="132" t="n">
        <f aca="false">MONTH(AB3)</f>
        <v>5</v>
      </c>
      <c r="AC1" s="44"/>
      <c r="AE1" s="132" t="n">
        <f aca="false">MONTH(AE3)</f>
        <v>5</v>
      </c>
      <c r="AF1" s="44"/>
      <c r="AH1" s="132" t="n">
        <f aca="false">MONTH(AH3)</f>
        <v>6</v>
      </c>
      <c r="AI1" s="44"/>
      <c r="AK1" s="132" t="n">
        <f aca="false">MONTH(AK3)</f>
        <v>6</v>
      </c>
      <c r="AL1" s="44"/>
      <c r="AN1" s="132" t="n">
        <f aca="false">MONTH(AN3)</f>
        <v>7</v>
      </c>
      <c r="AO1" s="44"/>
      <c r="AQ1" s="132" t="n">
        <f aca="false">MONTH(AQ3)</f>
        <v>7</v>
      </c>
      <c r="AR1" s="44"/>
      <c r="AT1" s="132" t="n">
        <f aca="false">MONTH(AT3)</f>
        <v>8</v>
      </c>
      <c r="AU1" s="44"/>
      <c r="AW1" s="132" t="n">
        <f aca="false">MONTH(AW3)</f>
        <v>8</v>
      </c>
      <c r="AX1" s="44"/>
      <c r="AZ1" s="132" t="n">
        <f aca="false">MONTH(AZ3)</f>
        <v>9</v>
      </c>
      <c r="BA1" s="44"/>
      <c r="BC1" s="132" t="n">
        <f aca="false">MONTH(BC3)</f>
        <v>9</v>
      </c>
      <c r="BD1" s="44"/>
      <c r="BF1" s="132" t="n">
        <f aca="false">MONTH(BF3)</f>
        <v>10</v>
      </c>
      <c r="BG1" s="44"/>
      <c r="BI1" s="132" t="n">
        <f aca="false">MONTH(BI3)</f>
        <v>10</v>
      </c>
      <c r="BJ1" s="44"/>
      <c r="BL1" s="132" t="n">
        <f aca="false">MONTH(BL3)</f>
        <v>11</v>
      </c>
      <c r="BM1" s="44"/>
      <c r="BO1" s="132" t="n">
        <f aca="false">MONTH(BO3)</f>
        <v>11</v>
      </c>
      <c r="BP1" s="44"/>
      <c r="BR1" s="132" t="n">
        <f aca="false">MONTH(BR3)</f>
        <v>12</v>
      </c>
      <c r="BS1" s="44"/>
      <c r="BT1" s="44"/>
      <c r="BU1" s="132" t="n">
        <f aca="false">MONTH(BU3)</f>
        <v>12</v>
      </c>
      <c r="BV1" s="44"/>
      <c r="BX1" s="132"/>
      <c r="BY1" s="44"/>
      <c r="CA1" s="132"/>
      <c r="CB1" s="44"/>
      <c r="CE1" s="132"/>
      <c r="CF1" s="45" t="n">
        <v>12</v>
      </c>
      <c r="CH1" s="132"/>
      <c r="CI1" s="45" t="n">
        <v>12</v>
      </c>
    </row>
    <row r="2" s="131" customFormat="true" ht="12.75" hidden="false" customHeight="true" outlineLevel="0" collapsed="false">
      <c r="A2" s="129"/>
      <c r="B2" s="134" t="s">
        <v>172</v>
      </c>
      <c r="D2" s="132" t="n">
        <f aca="false">YEAR(D3)</f>
        <v>2024</v>
      </c>
      <c r="E2" s="44"/>
      <c r="G2" s="132" t="n">
        <f aca="false">YEAR(G3)</f>
        <v>2024</v>
      </c>
      <c r="I2" s="133"/>
      <c r="J2" s="132" t="n">
        <f aca="false">YEAR(J3)</f>
        <v>2024</v>
      </c>
      <c r="K2" s="44"/>
      <c r="M2" s="132" t="n">
        <v>2024</v>
      </c>
      <c r="N2" s="44"/>
      <c r="P2" s="132" t="n">
        <f aca="false">YEAR(P3)</f>
        <v>2024</v>
      </c>
      <c r="Q2" s="44"/>
      <c r="S2" s="132" t="n">
        <v>2024</v>
      </c>
      <c r="T2" s="44"/>
      <c r="V2" s="132" t="n">
        <f aca="false">YEAR(V3)</f>
        <v>2024</v>
      </c>
      <c r="W2" s="44"/>
      <c r="Y2" s="132" t="n">
        <v>2024</v>
      </c>
      <c r="Z2" s="44"/>
      <c r="AB2" s="132" t="n">
        <f aca="false">YEAR(AB3)</f>
        <v>2024</v>
      </c>
      <c r="AC2" s="44"/>
      <c r="AE2" s="132" t="n">
        <v>2023</v>
      </c>
      <c r="AF2" s="44"/>
      <c r="AH2" s="132" t="n">
        <f aca="false">YEAR(AH3)</f>
        <v>2024</v>
      </c>
      <c r="AI2" s="44"/>
      <c r="AK2" s="132" t="n">
        <v>2023</v>
      </c>
      <c r="AL2" s="44"/>
      <c r="AN2" s="132" t="n">
        <f aca="false">YEAR(AN3)</f>
        <v>2024</v>
      </c>
      <c r="AO2" s="44"/>
      <c r="AQ2" s="132" t="n">
        <v>2023</v>
      </c>
      <c r="AR2" s="44"/>
      <c r="AT2" s="132" t="n">
        <f aca="false">YEAR(AT3)</f>
        <v>2024</v>
      </c>
      <c r="AU2" s="44"/>
      <c r="AW2" s="132" t="n">
        <v>2023</v>
      </c>
      <c r="AX2" s="44"/>
      <c r="AZ2" s="132" t="n">
        <f aca="false">YEAR(AZ3)</f>
        <v>2024</v>
      </c>
      <c r="BA2" s="44"/>
      <c r="BC2" s="132" t="n">
        <v>2023</v>
      </c>
      <c r="BD2" s="44"/>
      <c r="BF2" s="132" t="n">
        <f aca="false">YEAR(BF3)</f>
        <v>2024</v>
      </c>
      <c r="BG2" s="44"/>
      <c r="BI2" s="132" t="n">
        <v>2023</v>
      </c>
      <c r="BJ2" s="44"/>
      <c r="BL2" s="132" t="n">
        <f aca="false">YEAR(BL3)</f>
        <v>2024</v>
      </c>
      <c r="BM2" s="44"/>
      <c r="BO2" s="132" t="n">
        <v>2023</v>
      </c>
      <c r="BP2" s="44"/>
      <c r="BR2" s="132" t="n">
        <f aca="false">YEAR(BR3)</f>
        <v>2024</v>
      </c>
      <c r="BS2" s="44"/>
      <c r="BT2" s="44"/>
      <c r="BU2" s="132" t="n">
        <v>2023</v>
      </c>
      <c r="BV2" s="44"/>
      <c r="BX2" s="132"/>
      <c r="BY2" s="44"/>
      <c r="CA2" s="132"/>
      <c r="CB2" s="44"/>
      <c r="CE2" s="132"/>
      <c r="CF2" s="45"/>
      <c r="CH2" s="132"/>
      <c r="CI2" s="45"/>
    </row>
    <row r="3" customFormat="false" ht="15" hidden="false" customHeight="true" outlineLevel="0" collapsed="false">
      <c r="B3" s="135"/>
      <c r="C3" s="136"/>
      <c r="D3" s="137" t="n">
        <v>45292</v>
      </c>
      <c r="E3" s="51" t="s">
        <v>31</v>
      </c>
      <c r="F3" s="136"/>
      <c r="G3" s="137" t="n">
        <v>45292</v>
      </c>
      <c r="H3" s="51" t="s">
        <v>31</v>
      </c>
      <c r="I3" s="138" t="s">
        <v>173</v>
      </c>
      <c r="J3" s="137" t="n">
        <f aca="false">D3+31</f>
        <v>45323</v>
      </c>
      <c r="K3" s="51" t="s">
        <v>31</v>
      </c>
      <c r="L3" s="136"/>
      <c r="M3" s="137" t="n">
        <f aca="false">G3+31</f>
        <v>45323</v>
      </c>
      <c r="N3" s="51" t="s">
        <v>31</v>
      </c>
      <c r="O3" s="139" t="s">
        <v>173</v>
      </c>
      <c r="P3" s="137" t="n">
        <f aca="false">J3+31</f>
        <v>45354</v>
      </c>
      <c r="Q3" s="51" t="s">
        <v>31</v>
      </c>
      <c r="R3" s="136"/>
      <c r="S3" s="137" t="n">
        <f aca="false">M3+31</f>
        <v>45354</v>
      </c>
      <c r="T3" s="51" t="s">
        <v>31</v>
      </c>
      <c r="U3" s="139" t="s">
        <v>173</v>
      </c>
      <c r="V3" s="137" t="n">
        <f aca="false">P3+31</f>
        <v>45385</v>
      </c>
      <c r="W3" s="51" t="s">
        <v>31</v>
      </c>
      <c r="X3" s="136"/>
      <c r="Y3" s="137" t="n">
        <f aca="false">S3+31</f>
        <v>45385</v>
      </c>
      <c r="Z3" s="51" t="s">
        <v>31</v>
      </c>
      <c r="AA3" s="139" t="s">
        <v>173</v>
      </c>
      <c r="AB3" s="137" t="n">
        <f aca="false">V3+31</f>
        <v>45416</v>
      </c>
      <c r="AC3" s="51" t="s">
        <v>31</v>
      </c>
      <c r="AD3" s="136"/>
      <c r="AE3" s="137" t="n">
        <f aca="false">Y3+31</f>
        <v>45416</v>
      </c>
      <c r="AF3" s="51" t="s">
        <v>31</v>
      </c>
      <c r="AG3" s="139" t="s">
        <v>173</v>
      </c>
      <c r="AH3" s="137" t="n">
        <f aca="false">AB3+31</f>
        <v>45447</v>
      </c>
      <c r="AI3" s="51" t="s">
        <v>31</v>
      </c>
      <c r="AJ3" s="136"/>
      <c r="AK3" s="137" t="n">
        <f aca="false">AE3+31</f>
        <v>45447</v>
      </c>
      <c r="AL3" s="51" t="s">
        <v>31</v>
      </c>
      <c r="AM3" s="139" t="s">
        <v>173</v>
      </c>
      <c r="AN3" s="137" t="n">
        <f aca="false">AH3+31</f>
        <v>45478</v>
      </c>
      <c r="AO3" s="51" t="s">
        <v>31</v>
      </c>
      <c r="AP3" s="136"/>
      <c r="AQ3" s="137" t="n">
        <f aca="false">AK3+31</f>
        <v>45478</v>
      </c>
      <c r="AR3" s="51" t="s">
        <v>31</v>
      </c>
      <c r="AS3" s="139" t="s">
        <v>173</v>
      </c>
      <c r="AT3" s="137" t="n">
        <f aca="false">AN3+31</f>
        <v>45509</v>
      </c>
      <c r="AU3" s="51" t="s">
        <v>31</v>
      </c>
      <c r="AV3" s="136"/>
      <c r="AW3" s="137" t="n">
        <f aca="false">AQ3+31</f>
        <v>45509</v>
      </c>
      <c r="AX3" s="51" t="s">
        <v>31</v>
      </c>
      <c r="AY3" s="139" t="s">
        <v>173</v>
      </c>
      <c r="AZ3" s="137" t="n">
        <f aca="false">AT3+31</f>
        <v>45540</v>
      </c>
      <c r="BA3" s="51" t="s">
        <v>31</v>
      </c>
      <c r="BB3" s="136"/>
      <c r="BC3" s="137" t="n">
        <f aca="false">AW3+31</f>
        <v>45540</v>
      </c>
      <c r="BD3" s="51" t="s">
        <v>31</v>
      </c>
      <c r="BE3" s="139" t="s">
        <v>173</v>
      </c>
      <c r="BF3" s="137" t="n">
        <f aca="false">AZ3+31</f>
        <v>45571</v>
      </c>
      <c r="BG3" s="51" t="s">
        <v>31</v>
      </c>
      <c r="BH3" s="136"/>
      <c r="BI3" s="137" t="n">
        <f aca="false">BC3+31</f>
        <v>45571</v>
      </c>
      <c r="BJ3" s="51" t="s">
        <v>31</v>
      </c>
      <c r="BK3" s="139" t="s">
        <v>173</v>
      </c>
      <c r="BL3" s="137" t="n">
        <f aca="false">BF3+31</f>
        <v>45602</v>
      </c>
      <c r="BM3" s="51" t="s">
        <v>31</v>
      </c>
      <c r="BN3" s="136"/>
      <c r="BO3" s="137" t="n">
        <f aca="false">BI3+31</f>
        <v>45602</v>
      </c>
      <c r="BP3" s="51" t="s">
        <v>31</v>
      </c>
      <c r="BQ3" s="139" t="s">
        <v>173</v>
      </c>
      <c r="BR3" s="137" t="n">
        <f aca="false">BL3+31</f>
        <v>45633</v>
      </c>
      <c r="BS3" s="51" t="s">
        <v>31</v>
      </c>
      <c r="BT3" s="140"/>
      <c r="BU3" s="137" t="n">
        <f aca="false">BO3+31</f>
        <v>45633</v>
      </c>
      <c r="BV3" s="51" t="s">
        <v>31</v>
      </c>
      <c r="BW3" s="139" t="s">
        <v>173</v>
      </c>
      <c r="BX3" s="141" t="s">
        <v>174</v>
      </c>
      <c r="BY3" s="53" t="s">
        <v>31</v>
      </c>
      <c r="BZ3" s="136"/>
      <c r="CA3" s="142" t="s">
        <v>174</v>
      </c>
      <c r="CB3" s="143" t="s">
        <v>31</v>
      </c>
      <c r="CC3" s="139" t="s">
        <v>173</v>
      </c>
      <c r="CD3" s="136"/>
      <c r="CE3" s="144" t="s">
        <v>175</v>
      </c>
      <c r="CF3" s="55" t="s">
        <v>31</v>
      </c>
      <c r="CG3" s="136"/>
      <c r="CH3" s="142" t="s">
        <v>175</v>
      </c>
      <c r="CI3" s="143" t="s">
        <v>31</v>
      </c>
    </row>
    <row r="4" s="128" customFormat="true" ht="15" hidden="false" customHeight="true" outlineLevel="0" collapsed="false">
      <c r="B4" s="135"/>
      <c r="C4" s="145"/>
      <c r="D4" s="146" t="s">
        <v>176</v>
      </c>
      <c r="E4" s="146"/>
      <c r="F4" s="145"/>
      <c r="G4" s="147" t="s">
        <v>177</v>
      </c>
      <c r="H4" s="147"/>
      <c r="I4" s="147"/>
      <c r="J4" s="146" t="s">
        <v>176</v>
      </c>
      <c r="K4" s="146"/>
      <c r="L4" s="145"/>
      <c r="M4" s="147" t="s">
        <v>177</v>
      </c>
      <c r="N4" s="147"/>
      <c r="O4" s="148"/>
      <c r="P4" s="146" t="s">
        <v>176</v>
      </c>
      <c r="Q4" s="146"/>
      <c r="R4" s="145"/>
      <c r="S4" s="147" t="s">
        <v>177</v>
      </c>
      <c r="T4" s="147"/>
      <c r="U4" s="148"/>
      <c r="V4" s="146" t="s">
        <v>176</v>
      </c>
      <c r="W4" s="146"/>
      <c r="X4" s="145"/>
      <c r="Y4" s="147" t="s">
        <v>177</v>
      </c>
      <c r="Z4" s="147"/>
      <c r="AA4" s="148"/>
      <c r="AB4" s="146" t="s">
        <v>176</v>
      </c>
      <c r="AC4" s="146"/>
      <c r="AD4" s="145"/>
      <c r="AE4" s="147" t="s">
        <v>177</v>
      </c>
      <c r="AF4" s="147"/>
      <c r="AG4" s="148"/>
      <c r="AH4" s="146" t="s">
        <v>176</v>
      </c>
      <c r="AI4" s="146"/>
      <c r="AJ4" s="145"/>
      <c r="AK4" s="147" t="s">
        <v>177</v>
      </c>
      <c r="AL4" s="147"/>
      <c r="AM4" s="148"/>
      <c r="AN4" s="146" t="s">
        <v>176</v>
      </c>
      <c r="AO4" s="146"/>
      <c r="AP4" s="145"/>
      <c r="AQ4" s="147" t="s">
        <v>177</v>
      </c>
      <c r="AR4" s="147"/>
      <c r="AS4" s="148"/>
      <c r="AT4" s="146" t="s">
        <v>176</v>
      </c>
      <c r="AU4" s="146"/>
      <c r="AV4" s="145"/>
      <c r="AW4" s="147" t="s">
        <v>177</v>
      </c>
      <c r="AX4" s="147"/>
      <c r="AY4" s="148"/>
      <c r="AZ4" s="146" t="s">
        <v>176</v>
      </c>
      <c r="BA4" s="146"/>
      <c r="BB4" s="145"/>
      <c r="BC4" s="147" t="s">
        <v>177</v>
      </c>
      <c r="BD4" s="147"/>
      <c r="BE4" s="148"/>
      <c r="BF4" s="146" t="s">
        <v>176</v>
      </c>
      <c r="BG4" s="146"/>
      <c r="BH4" s="145"/>
      <c r="BI4" s="147" t="s">
        <v>177</v>
      </c>
      <c r="BJ4" s="147"/>
      <c r="BK4" s="148"/>
      <c r="BL4" s="146" t="s">
        <v>176</v>
      </c>
      <c r="BM4" s="146"/>
      <c r="BN4" s="145"/>
      <c r="BO4" s="147" t="s">
        <v>177</v>
      </c>
      <c r="BP4" s="147"/>
      <c r="BQ4" s="148"/>
      <c r="BR4" s="146" t="s">
        <v>176</v>
      </c>
      <c r="BS4" s="146"/>
      <c r="BT4" s="149"/>
      <c r="BU4" s="147" t="s">
        <v>177</v>
      </c>
      <c r="BV4" s="147"/>
      <c r="BW4" s="148"/>
      <c r="BX4" s="146" t="s">
        <v>176</v>
      </c>
      <c r="BY4" s="146"/>
      <c r="BZ4" s="145"/>
      <c r="CA4" s="147" t="s">
        <v>177</v>
      </c>
      <c r="CB4" s="147"/>
      <c r="CC4" s="148"/>
      <c r="CD4" s="145"/>
      <c r="CE4" s="146" t="s">
        <v>176</v>
      </c>
      <c r="CF4" s="146"/>
      <c r="CG4" s="145"/>
      <c r="CH4" s="147" t="s">
        <v>177</v>
      </c>
      <c r="CI4" s="147"/>
    </row>
    <row r="5" s="150" customFormat="true" ht="14.25" hidden="false" customHeight="false" outlineLevel="0" collapsed="false">
      <c r="B5" s="151" t="s">
        <v>35</v>
      </c>
      <c r="D5" s="152" t="n">
        <f aca="false">SUM(D6:D7)</f>
        <v>80000</v>
      </c>
      <c r="E5" s="67" t="n">
        <f aca="false">IFERROR(D5/D$5,0)</f>
        <v>1</v>
      </c>
      <c r="G5" s="152" t="n">
        <f aca="false">SUM(G6:G7)</f>
        <v>0</v>
      </c>
      <c r="H5" s="67" t="n">
        <f aca="false">IFERROR(G5/G$5,0)</f>
        <v>0</v>
      </c>
      <c r="I5" s="138" t="n">
        <f aca="false">IFERROR(G5/D5,0)</f>
        <v>0</v>
      </c>
      <c r="J5" s="152" t="n">
        <f aca="false">SUM(J6:J7)</f>
        <v>85000</v>
      </c>
      <c r="K5" s="67" t="n">
        <f aca="false">IFERROR(J5/J$5,0)</f>
        <v>1</v>
      </c>
      <c r="M5" s="152" t="n">
        <f aca="false">SUM(M6:M7)</f>
        <v>0</v>
      </c>
      <c r="N5" s="67" t="n">
        <f aca="false">IFERROR(M5/M$5,0)</f>
        <v>0</v>
      </c>
      <c r="O5" s="139" t="n">
        <f aca="false">IFERROR(M5/J5,0)</f>
        <v>0</v>
      </c>
      <c r="P5" s="152" t="n">
        <f aca="false">SUM(P6:P7)</f>
        <v>90000</v>
      </c>
      <c r="Q5" s="67" t="n">
        <f aca="false">IFERROR(P5/P$5,0)</f>
        <v>1</v>
      </c>
      <c r="S5" s="152" t="n">
        <f aca="false">SUM(S6:S7)</f>
        <v>0</v>
      </c>
      <c r="T5" s="67" t="n">
        <f aca="false">IFERROR(S5/S$5,0)</f>
        <v>0</v>
      </c>
      <c r="U5" s="139" t="n">
        <f aca="false">IFERROR(S5/P5,0)</f>
        <v>0</v>
      </c>
      <c r="V5" s="152" t="n">
        <f aca="false">SUM(V6:V7)</f>
        <v>100000</v>
      </c>
      <c r="W5" s="67" t="n">
        <f aca="false">IFERROR(V5/V$5,0)</f>
        <v>1</v>
      </c>
      <c r="Y5" s="152" t="n">
        <f aca="false">SUM(Y6:Y7)</f>
        <v>0</v>
      </c>
      <c r="Z5" s="67" t="n">
        <f aca="false">IFERROR(Y5/Y$5,0)</f>
        <v>0</v>
      </c>
      <c r="AA5" s="139" t="n">
        <f aca="false">IFERROR(Y5/V5,0)</f>
        <v>0</v>
      </c>
      <c r="AB5" s="152" t="n">
        <f aca="false">SUM(AB6:AB7)</f>
        <v>110000</v>
      </c>
      <c r="AC5" s="67" t="n">
        <f aca="false">IFERROR(AB5/AB$5,0)</f>
        <v>1</v>
      </c>
      <c r="AE5" s="152" t="n">
        <f aca="false">SUM(AE6:AE7)</f>
        <v>0</v>
      </c>
      <c r="AF5" s="67" t="n">
        <f aca="false">IFERROR(AE5/AE$5,0)</f>
        <v>0</v>
      </c>
      <c r="AG5" s="139" t="n">
        <f aca="false">IFERROR(AE5/AB5,0)</f>
        <v>0</v>
      </c>
      <c r="AH5" s="152" t="n">
        <f aca="false">SUM(AH6:AH7)</f>
        <v>120000</v>
      </c>
      <c r="AI5" s="67" t="n">
        <f aca="false">IFERROR(AH5/AH$5,0)</f>
        <v>1</v>
      </c>
      <c r="AK5" s="152" t="n">
        <f aca="false">SUM(AK6:AK7)</f>
        <v>0</v>
      </c>
      <c r="AL5" s="67" t="n">
        <f aca="false">IFERROR(AK5/AK$5,0)</f>
        <v>0</v>
      </c>
      <c r="AM5" s="139" t="n">
        <f aca="false">IFERROR(AK5/AH5,0)</f>
        <v>0</v>
      </c>
      <c r="AN5" s="152" t="n">
        <f aca="false">SUM(AN6:AN7)</f>
        <v>130000</v>
      </c>
      <c r="AO5" s="67" t="n">
        <f aca="false">IFERROR(AN5/AN$5,0)</f>
        <v>1</v>
      </c>
      <c r="AQ5" s="152" t="n">
        <f aca="false">SUM(AQ6:AQ7)</f>
        <v>0</v>
      </c>
      <c r="AR5" s="67" t="n">
        <f aca="false">IFERROR(AQ5/AQ$5,0)</f>
        <v>0</v>
      </c>
      <c r="AS5" s="139" t="n">
        <f aca="false">IFERROR(AQ5/AN5,0)</f>
        <v>0</v>
      </c>
      <c r="AT5" s="152" t="n">
        <f aca="false">SUM(AT6:AT7)</f>
        <v>140000</v>
      </c>
      <c r="AU5" s="67" t="n">
        <f aca="false">IFERROR(AT5/AT$5,0)</f>
        <v>1</v>
      </c>
      <c r="AW5" s="152" t="n">
        <f aca="false">SUM(AW6:AW7)</f>
        <v>0</v>
      </c>
      <c r="AX5" s="67" t="n">
        <f aca="false">IFERROR(AW5/AW$5,0)</f>
        <v>0</v>
      </c>
      <c r="AY5" s="139" t="n">
        <f aca="false">IFERROR(AW5/AT5,0)</f>
        <v>0</v>
      </c>
      <c r="AZ5" s="152" t="n">
        <f aca="false">SUM(AZ6:AZ7)</f>
        <v>150000</v>
      </c>
      <c r="BA5" s="67" t="n">
        <f aca="false">IFERROR(AZ5/AZ$5,0)</f>
        <v>1</v>
      </c>
      <c r="BC5" s="152" t="n">
        <f aca="false">SUM(BC6:BC7)</f>
        <v>0</v>
      </c>
      <c r="BD5" s="67" t="n">
        <f aca="false">IFERROR(BC5/BC$5,0)</f>
        <v>0</v>
      </c>
      <c r="BE5" s="139" t="n">
        <f aca="false">IFERROR(BC5/AZ5,0)</f>
        <v>0</v>
      </c>
      <c r="BF5" s="152" t="n">
        <f aca="false">SUM(BF6:BF7)</f>
        <v>150000</v>
      </c>
      <c r="BG5" s="67" t="n">
        <f aca="false">IFERROR(BF5/BF$5,0)</f>
        <v>1</v>
      </c>
      <c r="BI5" s="152" t="n">
        <f aca="false">SUM(BI6:BI7)</f>
        <v>0</v>
      </c>
      <c r="BJ5" s="67" t="n">
        <f aca="false">IFERROR(BI5/BI$5,0)</f>
        <v>0</v>
      </c>
      <c r="BK5" s="139" t="n">
        <f aca="false">IFERROR(BI5/BF5,0)</f>
        <v>0</v>
      </c>
      <c r="BL5" s="152" t="n">
        <f aca="false">SUM(BL6:BL7)</f>
        <v>150000</v>
      </c>
      <c r="BM5" s="67" t="n">
        <f aca="false">IFERROR(BL5/BL$5,0)</f>
        <v>1</v>
      </c>
      <c r="BO5" s="152" t="n">
        <f aca="false">SUM(BO6:BO7)</f>
        <v>0</v>
      </c>
      <c r="BP5" s="67" t="n">
        <f aca="false">IFERROR(BO5/BO$5,0)</f>
        <v>0</v>
      </c>
      <c r="BQ5" s="139" t="n">
        <f aca="false">IFERROR(BO5/BL5,0)</f>
        <v>0</v>
      </c>
      <c r="BR5" s="152" t="n">
        <f aca="false">SUM(BR6:BR7)</f>
        <v>150000</v>
      </c>
      <c r="BS5" s="67" t="n">
        <f aca="false">IFERROR(BR5/BR$5,0)</f>
        <v>1</v>
      </c>
      <c r="BT5" s="140"/>
      <c r="BU5" s="152" t="n">
        <f aca="false">SUM(BU6:BU7)</f>
        <v>0</v>
      </c>
      <c r="BV5" s="67" t="n">
        <f aca="false">IFERROR(BU5/BU$5,0)</f>
        <v>0</v>
      </c>
      <c r="BW5" s="139" t="n">
        <f aca="false">IFERROR(BU5/BR5,0)</f>
        <v>0</v>
      </c>
      <c r="BX5" s="153" t="n">
        <f aca="false">SUM(BX6:BX7)</f>
        <v>1455000</v>
      </c>
      <c r="BY5" s="69" t="n">
        <f aca="false">IFERROR(BX5/BX$5,0)</f>
        <v>1</v>
      </c>
      <c r="CA5" s="153" t="n">
        <f aca="false">SUM(CA6:CA7)</f>
        <v>0</v>
      </c>
      <c r="CB5" s="69" t="n">
        <f aca="false">IFERROR(CA5/CA$5,0)</f>
        <v>0</v>
      </c>
      <c r="CC5" s="139" t="n">
        <f aca="false">IFERROR(CA5/BX5,0)</f>
        <v>0</v>
      </c>
      <c r="CE5" s="154" t="n">
        <f aca="false">SUM(CE6:CE7)</f>
        <v>121250</v>
      </c>
      <c r="CF5" s="71" t="n">
        <f aca="false">IFERROR(CE5/CE$5,0)</f>
        <v>1</v>
      </c>
      <c r="CH5" s="154" t="n">
        <f aca="false">SUM(CH6:CH7)</f>
        <v>0</v>
      </c>
      <c r="CI5" s="71" t="n">
        <f aca="false">IFERROR(CH5/CH$5,0)</f>
        <v>0</v>
      </c>
    </row>
    <row r="6" s="150" customFormat="true" ht="14.25" hidden="false" customHeight="false" outlineLevel="0" collapsed="false">
      <c r="B6" s="155" t="s">
        <v>167</v>
      </c>
      <c r="C6" s="156"/>
      <c r="D6" s="157" t="n">
        <f aca="false">Metricas!C6</f>
        <v>80000</v>
      </c>
      <c r="E6" s="76" t="n">
        <f aca="false">IFERROR(D6/D$5,0)</f>
        <v>1</v>
      </c>
      <c r="F6" s="156"/>
      <c r="G6" s="157" t="n">
        <f aca="false">SUMIFS('Dados Mov Financeira'!$N:$N,'Dados Mov Financeira'!$O:$O,'DRE 2024'!$B6,'Dados Mov Financeira'!$A:$A,'DRE 2024'!G$1,'Dados Mov Financeira'!$B:$B,'DRE 2024'!G$2)</f>
        <v>0</v>
      </c>
      <c r="H6" s="76" t="n">
        <f aca="false">IFERROR(G6/G$5,0)</f>
        <v>0</v>
      </c>
      <c r="I6" s="138" t="n">
        <f aca="false">IFERROR(G6/D6,0)</f>
        <v>0</v>
      </c>
      <c r="J6" s="157" t="n">
        <f aca="false">Metricas!C7</f>
        <v>85000</v>
      </c>
      <c r="K6" s="76" t="n">
        <f aca="false">IFERROR(J6/J$5,0)</f>
        <v>1</v>
      </c>
      <c r="L6" s="156"/>
      <c r="M6" s="157" t="n">
        <f aca="false">SUMIFS('Dados Mov Financeira'!$N:$N,'Dados Mov Financeira'!$O:$O,'DRE 2024'!$B6,'Dados Mov Financeira'!$A:$A,'DRE 2024'!M$1,'Dados Mov Financeira'!$B:$B,'DRE 2024'!M$2)</f>
        <v>0</v>
      </c>
      <c r="N6" s="76" t="n">
        <f aca="false">IFERROR(M6/M$5,0)</f>
        <v>0</v>
      </c>
      <c r="O6" s="139" t="n">
        <f aca="false">IFERROR(M6/J6,0)</f>
        <v>0</v>
      </c>
      <c r="P6" s="157" t="n">
        <f aca="false">Metricas!C8</f>
        <v>90000</v>
      </c>
      <c r="Q6" s="76" t="n">
        <f aca="false">IFERROR(P6/P$5,0)</f>
        <v>1</v>
      </c>
      <c r="R6" s="156"/>
      <c r="S6" s="157" t="n">
        <f aca="false">SUMIFS('Dados Mov Financeira'!$N:$N,'Dados Mov Financeira'!$O:$O,'DRE 2024'!$B6,'Dados Mov Financeira'!$A:$A,'DRE 2024'!S$1,'Dados Mov Financeira'!$B:$B,'DRE 2024'!S$2)</f>
        <v>0</v>
      </c>
      <c r="T6" s="76" t="n">
        <f aca="false">IFERROR(S6/S$5,0)</f>
        <v>0</v>
      </c>
      <c r="U6" s="139" t="n">
        <f aca="false">IFERROR(S6/P6,0)</f>
        <v>0</v>
      </c>
      <c r="V6" s="157" t="n">
        <f aca="false">Metricas!C9</f>
        <v>100000</v>
      </c>
      <c r="W6" s="76" t="n">
        <f aca="false">IFERROR(V6/V$5,0)</f>
        <v>1</v>
      </c>
      <c r="X6" s="156"/>
      <c r="Y6" s="157" t="n">
        <f aca="false">SUMIFS('Dados Mov Financeira'!$N:$N,'Dados Mov Financeira'!$O:$O,'DRE 2024'!$B6,'Dados Mov Financeira'!$A:$A,'DRE 2024'!Y$1,'Dados Mov Financeira'!$B:$B,'DRE 2024'!Y$2)</f>
        <v>0</v>
      </c>
      <c r="Z6" s="76" t="n">
        <f aca="false">IFERROR(Y6/Y$5,0)</f>
        <v>0</v>
      </c>
      <c r="AA6" s="139" t="n">
        <f aca="false">IFERROR(Y6/V6,0)</f>
        <v>0</v>
      </c>
      <c r="AB6" s="157" t="n">
        <f aca="false">Metricas!C10</f>
        <v>110000</v>
      </c>
      <c r="AC6" s="76" t="n">
        <f aca="false">IFERROR(AB6/AB$5,0)</f>
        <v>1</v>
      </c>
      <c r="AD6" s="156"/>
      <c r="AE6" s="157" t="n">
        <f aca="false">SUMIFS('Dados Mov Financeira'!$N:$N,'Dados Mov Financeira'!$O:$O,'DRE 2024'!$B6,'Dados Mov Financeira'!$A:$A,'DRE 2024'!AE$1,'Dados Mov Financeira'!$B:$B,'DRE 2024'!AE$2)</f>
        <v>0</v>
      </c>
      <c r="AF6" s="76" t="n">
        <f aca="false">IFERROR(AE6/AE$5,0)</f>
        <v>0</v>
      </c>
      <c r="AG6" s="139" t="n">
        <f aca="false">IFERROR(AE6/AB6,0)</f>
        <v>0</v>
      </c>
      <c r="AH6" s="157" t="n">
        <f aca="false">Metricas!C11</f>
        <v>120000</v>
      </c>
      <c r="AI6" s="76" t="n">
        <f aca="false">IFERROR(AH6/AH$5,0)</f>
        <v>1</v>
      </c>
      <c r="AJ6" s="156"/>
      <c r="AK6" s="157" t="n">
        <f aca="false">SUMIFS('Dados Mov Financeira'!$N:$N,'Dados Mov Financeira'!$O:$O,'DRE 2024'!$B6,'Dados Mov Financeira'!$A:$A,'DRE 2024'!AK$1,'Dados Mov Financeira'!$B:$B,'DRE 2024'!AK$2)</f>
        <v>0</v>
      </c>
      <c r="AL6" s="76" t="n">
        <f aca="false">IFERROR(AK6/AK$5,0)</f>
        <v>0</v>
      </c>
      <c r="AM6" s="139" t="n">
        <f aca="false">IFERROR(AK6/AH6,0)</f>
        <v>0</v>
      </c>
      <c r="AN6" s="157" t="n">
        <f aca="false">Metricas!C12</f>
        <v>130000</v>
      </c>
      <c r="AO6" s="76" t="n">
        <f aca="false">IFERROR(AN6/AN$5,0)</f>
        <v>1</v>
      </c>
      <c r="AP6" s="156"/>
      <c r="AQ6" s="157" t="n">
        <f aca="false">SUMIFS('Dados Mov Financeira'!$N:$N,'Dados Mov Financeira'!$O:$O,'DRE 2024'!$B6,'Dados Mov Financeira'!$A:$A,'DRE 2024'!AQ$1,'Dados Mov Financeira'!$B:$B,'DRE 2024'!AQ$2)</f>
        <v>0</v>
      </c>
      <c r="AR6" s="76" t="n">
        <f aca="false">IFERROR(AQ6/AQ$5,0)</f>
        <v>0</v>
      </c>
      <c r="AS6" s="139" t="n">
        <f aca="false">IFERROR(AQ6/AN6,0)</f>
        <v>0</v>
      </c>
      <c r="AT6" s="157" t="n">
        <f aca="false">Metricas!C13</f>
        <v>140000</v>
      </c>
      <c r="AU6" s="76" t="n">
        <f aca="false">IFERROR(AT6/AT$5,0)</f>
        <v>1</v>
      </c>
      <c r="AV6" s="156"/>
      <c r="AW6" s="157" t="n">
        <f aca="false">SUMIFS('Dados Mov Financeira'!$N:$N,'Dados Mov Financeira'!$O:$O,'DRE 2024'!$B6,'Dados Mov Financeira'!$A:$A,'DRE 2024'!AW$1,'Dados Mov Financeira'!$B:$B,'DRE 2024'!AW$2)</f>
        <v>0</v>
      </c>
      <c r="AX6" s="76" t="n">
        <f aca="false">IFERROR(AW6/AW$5,0)</f>
        <v>0</v>
      </c>
      <c r="AY6" s="139" t="n">
        <f aca="false">IFERROR(AW6/AT6,0)</f>
        <v>0</v>
      </c>
      <c r="AZ6" s="157" t="n">
        <f aca="false">Metricas!C14</f>
        <v>150000</v>
      </c>
      <c r="BA6" s="76" t="n">
        <f aca="false">IFERROR(AZ6/AZ$5,0)</f>
        <v>1</v>
      </c>
      <c r="BB6" s="156"/>
      <c r="BC6" s="157" t="n">
        <f aca="false">SUMIFS('Dados Mov Financeira'!$N:$N,'Dados Mov Financeira'!$O:$O,'DRE 2024'!$B6,'Dados Mov Financeira'!$A:$A,'DRE 2024'!BC$1,'Dados Mov Financeira'!$B:$B,'DRE 2024'!BC$2)</f>
        <v>0</v>
      </c>
      <c r="BD6" s="76" t="n">
        <f aca="false">IFERROR(BC6/BC$5,0)</f>
        <v>0</v>
      </c>
      <c r="BE6" s="139" t="n">
        <f aca="false">IFERROR(BC6/AZ6,0)</f>
        <v>0</v>
      </c>
      <c r="BF6" s="157" t="n">
        <f aca="false">Metricas!C15</f>
        <v>150000</v>
      </c>
      <c r="BG6" s="76" t="n">
        <f aca="false">IFERROR(BF6/BF$5,0)</f>
        <v>1</v>
      </c>
      <c r="BH6" s="156"/>
      <c r="BI6" s="157" t="n">
        <f aca="false">SUMIFS('Dados Mov Financeira'!$N:$N,'Dados Mov Financeira'!$O:$O,'DRE 2024'!$B6,'Dados Mov Financeira'!$A:$A,'DRE 2024'!BI$1,'Dados Mov Financeira'!$B:$B,'DRE 2024'!BI$2)</f>
        <v>0</v>
      </c>
      <c r="BJ6" s="76" t="n">
        <f aca="false">IFERROR(BI6/BI$5,0)</f>
        <v>0</v>
      </c>
      <c r="BK6" s="139" t="n">
        <f aca="false">IFERROR(BI6/BF6,0)</f>
        <v>0</v>
      </c>
      <c r="BL6" s="157" t="n">
        <f aca="false">Metricas!C16</f>
        <v>150000</v>
      </c>
      <c r="BM6" s="76" t="n">
        <f aca="false">IFERROR(BL6/BL$5,0)</f>
        <v>1</v>
      </c>
      <c r="BN6" s="156"/>
      <c r="BO6" s="157" t="n">
        <f aca="false">SUMIFS('Dados Mov Financeira'!$N:$N,'Dados Mov Financeira'!$O:$O,'DRE 2024'!$B6,'Dados Mov Financeira'!$A:$A,'DRE 2024'!BO$1,'Dados Mov Financeira'!$B:$B,'DRE 2024'!BO$2)</f>
        <v>0</v>
      </c>
      <c r="BP6" s="76" t="n">
        <f aca="false">IFERROR(BO6/BO$5,0)</f>
        <v>0</v>
      </c>
      <c r="BQ6" s="139" t="n">
        <f aca="false">IFERROR(BO6/BL6,0)</f>
        <v>0</v>
      </c>
      <c r="BR6" s="157" t="n">
        <f aca="false">Metricas!C17</f>
        <v>150000</v>
      </c>
      <c r="BS6" s="76" t="n">
        <f aca="false">IFERROR(BR6/BR$5,0)</f>
        <v>1</v>
      </c>
      <c r="BT6" s="158"/>
      <c r="BU6" s="157" t="n">
        <f aca="false">SUMIFS('Dados Mov Financeira'!$N:$N,'Dados Mov Financeira'!$O:$O,'DRE 2024'!$B6,'Dados Mov Financeira'!$A:$A,'DRE 2024'!BU$1,'Dados Mov Financeira'!$B:$B,'DRE 2024'!BU$2)</f>
        <v>0</v>
      </c>
      <c r="BV6" s="76" t="n">
        <f aca="false">IFERROR(BU6/BU$5,0)</f>
        <v>0</v>
      </c>
      <c r="BW6" s="139" t="n">
        <f aca="false">IFERROR(BU6/BR6,0)</f>
        <v>0</v>
      </c>
      <c r="BX6" s="157" t="n">
        <f aca="false">SUM(D6,J6,P6,V6,AB6,AH6,AN6,AT6,AZ6,BF6,BL6,BR6)</f>
        <v>1455000</v>
      </c>
      <c r="BY6" s="76" t="n">
        <f aca="false">IFERROR(BX6/BX$5,0)</f>
        <v>1</v>
      </c>
      <c r="BZ6" s="156"/>
      <c r="CA6" s="157" t="n">
        <f aca="false">SUM(G6,M6,S6,Y6,AE6,AK6,AQ6,AW6,BC6,BI6,BO6,BU6)</f>
        <v>0</v>
      </c>
      <c r="CB6" s="76" t="n">
        <f aca="false">IFERROR(CA6/CA$5,0)</f>
        <v>0</v>
      </c>
      <c r="CC6" s="139" t="n">
        <f aca="false">IFERROR(CA6/BX6,0)</f>
        <v>0</v>
      </c>
      <c r="CD6" s="156"/>
      <c r="CE6" s="159" t="n">
        <f aca="false">BX6/$CF$1</f>
        <v>121250</v>
      </c>
      <c r="CF6" s="76" t="n">
        <f aca="false">IFERROR(CE6/CE$5,0)</f>
        <v>1</v>
      </c>
      <c r="CG6" s="156"/>
      <c r="CH6" s="159" t="n">
        <f aca="false">CA6/$CI$1</f>
        <v>0</v>
      </c>
      <c r="CI6" s="76" t="n">
        <f aca="false">IFERROR(CH6/CH$5,0)</f>
        <v>0</v>
      </c>
    </row>
    <row r="7" s="150" customFormat="true" ht="14.25" hidden="false" customHeight="false" outlineLevel="0" collapsed="false">
      <c r="B7" s="160" t="s">
        <v>168</v>
      </c>
      <c r="C7" s="156"/>
      <c r="D7" s="157" t="n">
        <v>0</v>
      </c>
      <c r="E7" s="76" t="n">
        <f aca="false">IFERROR(D7/D$5,0)</f>
        <v>0</v>
      </c>
      <c r="F7" s="156"/>
      <c r="G7" s="157" t="n">
        <f aca="false">SUMIFS('Dados Mov Financeira'!$N:$N,'Dados Mov Financeira'!$O:$O,'DRE 2024'!$B7,'Dados Mov Financeira'!$A:$A,'DRE 2024'!G$1,'Dados Mov Financeira'!$B:$B,'DRE 2024'!G$2)</f>
        <v>0</v>
      </c>
      <c r="H7" s="76" t="n">
        <f aca="false">IFERROR(G7/G$5,0)</f>
        <v>0</v>
      </c>
      <c r="I7" s="138" t="n">
        <f aca="false">IFERROR(G7/D7,0)</f>
        <v>0</v>
      </c>
      <c r="J7" s="157" t="n">
        <f aca="false">$D$7</f>
        <v>0</v>
      </c>
      <c r="K7" s="76" t="n">
        <f aca="false">IFERROR(J7/J$5,0)</f>
        <v>0</v>
      </c>
      <c r="L7" s="156"/>
      <c r="M7" s="157" t="n">
        <f aca="false">SUMIFS('Dados Mov Financeira'!$N:$N,'Dados Mov Financeira'!$O:$O,'DRE 2024'!$B7,'Dados Mov Financeira'!$A:$A,'DRE 2024'!M$1,'Dados Mov Financeira'!$B:$B,'DRE 2024'!M$2)</f>
        <v>0</v>
      </c>
      <c r="N7" s="76" t="n">
        <f aca="false">IFERROR(M7/M$5,0)</f>
        <v>0</v>
      </c>
      <c r="O7" s="139" t="n">
        <f aca="false">IFERROR(M7/J7,0)</f>
        <v>0</v>
      </c>
      <c r="P7" s="157" t="n">
        <f aca="false">$D$7</f>
        <v>0</v>
      </c>
      <c r="Q7" s="76" t="n">
        <f aca="false">IFERROR(P7/P$5,0)</f>
        <v>0</v>
      </c>
      <c r="R7" s="156"/>
      <c r="S7" s="157" t="n">
        <f aca="false">SUMIFS('Dados Mov Financeira'!$N:$N,'Dados Mov Financeira'!$O:$O,'DRE 2024'!$B7,'Dados Mov Financeira'!$A:$A,'DRE 2024'!S$1,'Dados Mov Financeira'!$B:$B,'DRE 2024'!S$2)</f>
        <v>0</v>
      </c>
      <c r="T7" s="76" t="n">
        <f aca="false">IFERROR(S7/S$5,0)</f>
        <v>0</v>
      </c>
      <c r="U7" s="139" t="n">
        <f aca="false">IFERROR(S7/P7,0)</f>
        <v>0</v>
      </c>
      <c r="V7" s="157" t="n">
        <f aca="false">$D$7</f>
        <v>0</v>
      </c>
      <c r="W7" s="76" t="n">
        <f aca="false">IFERROR(V7/V$5,0)</f>
        <v>0</v>
      </c>
      <c r="X7" s="156"/>
      <c r="Y7" s="157" t="n">
        <f aca="false">SUMIFS('Dados Mov Financeira'!$N:$N,'Dados Mov Financeira'!$O:$O,'DRE 2024'!$B7,'Dados Mov Financeira'!$A:$A,'DRE 2024'!Y$1,'Dados Mov Financeira'!$B:$B,'DRE 2024'!Y$2)</f>
        <v>0</v>
      </c>
      <c r="Z7" s="76" t="n">
        <f aca="false">IFERROR(Y7/Y$5,0)</f>
        <v>0</v>
      </c>
      <c r="AA7" s="139" t="n">
        <f aca="false">IFERROR(Y7/V7,0)</f>
        <v>0</v>
      </c>
      <c r="AB7" s="157" t="n">
        <f aca="false">$D$7</f>
        <v>0</v>
      </c>
      <c r="AC7" s="76" t="n">
        <f aca="false">IFERROR(AB7/AB$5,0)</f>
        <v>0</v>
      </c>
      <c r="AD7" s="156"/>
      <c r="AE7" s="157" t="n">
        <f aca="false">SUMIFS('Dados Mov Financeira'!$N:$N,'Dados Mov Financeira'!$O:$O,'DRE 2024'!$B7,'Dados Mov Financeira'!$A:$A,'DRE 2024'!AE$1,'Dados Mov Financeira'!$B:$B,'DRE 2024'!AE$2)</f>
        <v>0</v>
      </c>
      <c r="AF7" s="76" t="n">
        <f aca="false">IFERROR(AE7/AE$5,0)</f>
        <v>0</v>
      </c>
      <c r="AG7" s="139" t="n">
        <f aca="false">IFERROR(AE7/AB7,0)</f>
        <v>0</v>
      </c>
      <c r="AH7" s="157" t="n">
        <f aca="false">$D$7</f>
        <v>0</v>
      </c>
      <c r="AI7" s="76" t="n">
        <f aca="false">IFERROR(AH7/AH$5,0)</f>
        <v>0</v>
      </c>
      <c r="AJ7" s="156"/>
      <c r="AK7" s="157" t="n">
        <f aca="false">SUMIFS('Dados Mov Financeira'!$N:$N,'Dados Mov Financeira'!$O:$O,'DRE 2024'!$B7,'Dados Mov Financeira'!$A:$A,'DRE 2024'!AK$1,'Dados Mov Financeira'!$B:$B,'DRE 2024'!AK$2)</f>
        <v>0</v>
      </c>
      <c r="AL7" s="76" t="n">
        <f aca="false">IFERROR(AK7/AK$5,0)</f>
        <v>0</v>
      </c>
      <c r="AM7" s="139" t="n">
        <f aca="false">IFERROR(AK7/AH7,0)</f>
        <v>0</v>
      </c>
      <c r="AN7" s="157" t="n">
        <f aca="false">$D$7</f>
        <v>0</v>
      </c>
      <c r="AO7" s="76" t="n">
        <f aca="false">IFERROR(AN7/AN$5,0)</f>
        <v>0</v>
      </c>
      <c r="AP7" s="156"/>
      <c r="AQ7" s="157" t="n">
        <f aca="false">SUMIFS('Dados Mov Financeira'!$N:$N,'Dados Mov Financeira'!$O:$O,'DRE 2024'!$B7,'Dados Mov Financeira'!$A:$A,'DRE 2024'!AQ$1,'Dados Mov Financeira'!$B:$B,'DRE 2024'!AQ$2)</f>
        <v>0</v>
      </c>
      <c r="AR7" s="76" t="n">
        <f aca="false">IFERROR(AQ7/AQ$5,0)</f>
        <v>0</v>
      </c>
      <c r="AS7" s="139" t="n">
        <f aca="false">IFERROR(AQ7/AN7,0)</f>
        <v>0</v>
      </c>
      <c r="AT7" s="157" t="n">
        <f aca="false">$D$7</f>
        <v>0</v>
      </c>
      <c r="AU7" s="76" t="n">
        <f aca="false">IFERROR(AT7/AT$5,0)</f>
        <v>0</v>
      </c>
      <c r="AV7" s="156"/>
      <c r="AW7" s="157" t="n">
        <f aca="false">SUMIFS('Dados Mov Financeira'!$N:$N,'Dados Mov Financeira'!$O:$O,'DRE 2024'!$B7,'Dados Mov Financeira'!$A:$A,'DRE 2024'!AW$1,'Dados Mov Financeira'!$B:$B,'DRE 2024'!AW$2)</f>
        <v>0</v>
      </c>
      <c r="AX7" s="76" t="n">
        <f aca="false">IFERROR(AW7/AW$5,0)</f>
        <v>0</v>
      </c>
      <c r="AY7" s="139" t="n">
        <f aca="false">IFERROR(AW7/AT7,0)</f>
        <v>0</v>
      </c>
      <c r="AZ7" s="157" t="n">
        <f aca="false">$D$7</f>
        <v>0</v>
      </c>
      <c r="BA7" s="76" t="n">
        <f aca="false">IFERROR(AZ7/AZ$5,0)</f>
        <v>0</v>
      </c>
      <c r="BB7" s="156"/>
      <c r="BC7" s="157" t="n">
        <f aca="false">SUMIFS('Dados Mov Financeira'!$N:$N,'Dados Mov Financeira'!$O:$O,'DRE 2024'!$B7,'Dados Mov Financeira'!$A:$A,'DRE 2024'!BC$1,'Dados Mov Financeira'!$B:$B,'DRE 2024'!BC$2)</f>
        <v>0</v>
      </c>
      <c r="BD7" s="76" t="n">
        <f aca="false">IFERROR(BC7/BC$5,0)</f>
        <v>0</v>
      </c>
      <c r="BE7" s="139" t="n">
        <f aca="false">IFERROR(BC7/AZ7,0)</f>
        <v>0</v>
      </c>
      <c r="BF7" s="157" t="n">
        <f aca="false">$D$7</f>
        <v>0</v>
      </c>
      <c r="BG7" s="76" t="n">
        <f aca="false">IFERROR(BF7/BF$5,0)</f>
        <v>0</v>
      </c>
      <c r="BH7" s="156"/>
      <c r="BI7" s="157" t="n">
        <f aca="false">SUMIFS('Dados Mov Financeira'!$N:$N,'Dados Mov Financeira'!$O:$O,'DRE 2024'!$B7,'Dados Mov Financeira'!$A:$A,'DRE 2024'!BI$1,'Dados Mov Financeira'!$B:$B,'DRE 2024'!BI$2)</f>
        <v>0</v>
      </c>
      <c r="BJ7" s="76" t="n">
        <f aca="false">IFERROR(BI7/BI$5,0)</f>
        <v>0</v>
      </c>
      <c r="BK7" s="139" t="n">
        <f aca="false">IFERROR(BI7/BF7,0)</f>
        <v>0</v>
      </c>
      <c r="BL7" s="157" t="n">
        <f aca="false">$D$7</f>
        <v>0</v>
      </c>
      <c r="BM7" s="76" t="n">
        <f aca="false">IFERROR(BL7/BL$5,0)</f>
        <v>0</v>
      </c>
      <c r="BN7" s="156"/>
      <c r="BO7" s="157" t="n">
        <f aca="false">SUMIFS('Dados Mov Financeira'!$N:$N,'Dados Mov Financeira'!$O:$O,'DRE 2024'!$B7,'Dados Mov Financeira'!$A:$A,'DRE 2024'!BO$1,'Dados Mov Financeira'!$B:$B,'DRE 2024'!BO$2)</f>
        <v>0</v>
      </c>
      <c r="BP7" s="76" t="n">
        <f aca="false">IFERROR(BO7/BO$5,0)</f>
        <v>0</v>
      </c>
      <c r="BQ7" s="139" t="n">
        <f aca="false">IFERROR(BO7/BL7,0)</f>
        <v>0</v>
      </c>
      <c r="BR7" s="157" t="n">
        <f aca="false">$D$7</f>
        <v>0</v>
      </c>
      <c r="BS7" s="76" t="n">
        <f aca="false">IFERROR(BR7/BR$5,0)</f>
        <v>0</v>
      </c>
      <c r="BT7" s="158"/>
      <c r="BU7" s="157" t="n">
        <f aca="false">SUMIFS('Dados Mov Financeira'!$N:$N,'Dados Mov Financeira'!$O:$O,'DRE 2024'!$B7,'Dados Mov Financeira'!$A:$A,'DRE 2024'!BU$1,'Dados Mov Financeira'!$B:$B,'DRE 2024'!BU$2)</f>
        <v>0</v>
      </c>
      <c r="BV7" s="76" t="n">
        <f aca="false">IFERROR(BU7/BU$5,0)</f>
        <v>0</v>
      </c>
      <c r="BW7" s="139" t="n">
        <f aca="false">IFERROR(BU7/BR7,0)</f>
        <v>0</v>
      </c>
      <c r="BX7" s="157" t="n">
        <f aca="false">SUM(D7,J7,P7,V7,AB7,AH7,AN7,AT7,AZ7,BF7,BL7,BR7)</f>
        <v>0</v>
      </c>
      <c r="BY7" s="76" t="n">
        <f aca="false">IFERROR(BX7/BX$5,0)</f>
        <v>0</v>
      </c>
      <c r="BZ7" s="156"/>
      <c r="CA7" s="157" t="n">
        <f aca="false">SUM(G7,M7,S7,Y7,AE7,AK7,AQ7,AW7,BC7,BI7,BO7,BU7)</f>
        <v>0</v>
      </c>
      <c r="CB7" s="76" t="n">
        <f aca="false">IFERROR(CA7/CA$5,0)</f>
        <v>0</v>
      </c>
      <c r="CC7" s="139" t="n">
        <f aca="false">IFERROR(CA7/BX7,0)</f>
        <v>0</v>
      </c>
      <c r="CD7" s="156"/>
      <c r="CE7" s="159" t="n">
        <f aca="false">BX7/$CF$1</f>
        <v>0</v>
      </c>
      <c r="CF7" s="76" t="n">
        <f aca="false">IFERROR(CE7/CE$5,0)</f>
        <v>0</v>
      </c>
      <c r="CG7" s="156"/>
      <c r="CH7" s="159" t="n">
        <f aca="false">CA7/$CI$1</f>
        <v>0</v>
      </c>
      <c r="CI7" s="76" t="n">
        <f aca="false">IFERROR(CH7/CH$5,0)</f>
        <v>0</v>
      </c>
    </row>
    <row r="8" s="128" customFormat="true" ht="5.25" hidden="false" customHeight="true" outlineLevel="0" collapsed="false">
      <c r="B8" s="135"/>
      <c r="C8" s="145"/>
      <c r="D8" s="161"/>
      <c r="E8" s="60"/>
      <c r="F8" s="145"/>
      <c r="G8" s="161"/>
      <c r="H8" s="60"/>
      <c r="I8" s="60"/>
      <c r="J8" s="161"/>
      <c r="K8" s="60"/>
      <c r="L8" s="145"/>
      <c r="M8" s="161"/>
      <c r="N8" s="60"/>
      <c r="O8" s="149"/>
      <c r="P8" s="161"/>
      <c r="Q8" s="60"/>
      <c r="R8" s="145"/>
      <c r="S8" s="161"/>
      <c r="T8" s="60"/>
      <c r="U8" s="149"/>
      <c r="V8" s="161"/>
      <c r="W8" s="60"/>
      <c r="X8" s="145"/>
      <c r="Y8" s="161"/>
      <c r="Z8" s="60"/>
      <c r="AA8" s="149"/>
      <c r="AB8" s="161"/>
      <c r="AC8" s="60"/>
      <c r="AD8" s="145"/>
      <c r="AE8" s="161"/>
      <c r="AF8" s="60"/>
      <c r="AG8" s="149"/>
      <c r="AH8" s="161"/>
      <c r="AI8" s="60"/>
      <c r="AJ8" s="145"/>
      <c r="AK8" s="161"/>
      <c r="AL8" s="60"/>
      <c r="AM8" s="149"/>
      <c r="AN8" s="161"/>
      <c r="AO8" s="60"/>
      <c r="AP8" s="145"/>
      <c r="AQ8" s="161"/>
      <c r="AR8" s="60"/>
      <c r="AS8" s="149"/>
      <c r="AT8" s="161"/>
      <c r="AU8" s="60"/>
      <c r="AV8" s="145"/>
      <c r="AW8" s="161"/>
      <c r="AX8" s="60"/>
      <c r="AY8" s="149"/>
      <c r="AZ8" s="161"/>
      <c r="BA8" s="60"/>
      <c r="BB8" s="145"/>
      <c r="BC8" s="161"/>
      <c r="BD8" s="60"/>
      <c r="BE8" s="149"/>
      <c r="BF8" s="161"/>
      <c r="BG8" s="60"/>
      <c r="BH8" s="145"/>
      <c r="BI8" s="161"/>
      <c r="BJ8" s="60"/>
      <c r="BK8" s="149"/>
      <c r="BL8" s="161"/>
      <c r="BM8" s="60"/>
      <c r="BN8" s="145"/>
      <c r="BO8" s="161"/>
      <c r="BP8" s="60"/>
      <c r="BQ8" s="149"/>
      <c r="BR8" s="161"/>
      <c r="BS8" s="60"/>
      <c r="BT8" s="149"/>
      <c r="BU8" s="161"/>
      <c r="BV8" s="60"/>
      <c r="BW8" s="149"/>
      <c r="BX8" s="161"/>
      <c r="BY8" s="60"/>
      <c r="BZ8" s="145"/>
      <c r="CA8" s="161"/>
      <c r="CB8" s="60"/>
      <c r="CC8" s="149"/>
      <c r="CD8" s="145"/>
      <c r="CE8" s="162"/>
      <c r="CF8" s="60"/>
      <c r="CG8" s="145"/>
      <c r="CH8" s="162"/>
      <c r="CI8" s="60"/>
    </row>
    <row r="9" s="150" customFormat="true" ht="14.25" hidden="false" customHeight="false" outlineLevel="0" collapsed="false">
      <c r="A9" s="126"/>
      <c r="B9" s="163" t="s">
        <v>38</v>
      </c>
      <c r="D9" s="164" t="n">
        <f aca="false">D10+D15</f>
        <v>-5500</v>
      </c>
      <c r="E9" s="81" t="n">
        <f aca="false">IFERROR(D9/D$5,0)</f>
        <v>-0.06875</v>
      </c>
      <c r="G9" s="164" t="n">
        <f aca="false">G10+G15</f>
        <v>0</v>
      </c>
      <c r="H9" s="81" t="n">
        <f aca="false">IFERROR(G9/G$5,0)</f>
        <v>0</v>
      </c>
      <c r="I9" s="138" t="n">
        <f aca="false">IFERROR((G9/D9)-1,0)</f>
        <v>-1</v>
      </c>
      <c r="J9" s="164" t="n">
        <f aca="false">J10+J15</f>
        <v>-5800</v>
      </c>
      <c r="K9" s="81" t="n">
        <f aca="false">IFERROR(J9/J$5,0)</f>
        <v>-0.0682352941176471</v>
      </c>
      <c r="M9" s="164" t="n">
        <f aca="false">M10+M15</f>
        <v>0</v>
      </c>
      <c r="N9" s="81" t="n">
        <f aca="false">IFERROR(M9/M$5,0)</f>
        <v>0</v>
      </c>
      <c r="O9" s="139" t="n">
        <f aca="false">IFERROR((M9/J9)-1,0)</f>
        <v>-1</v>
      </c>
      <c r="P9" s="164" t="n">
        <f aca="false">P10+P15</f>
        <v>-6100</v>
      </c>
      <c r="Q9" s="81" t="n">
        <f aca="false">IFERROR(P9/P$5,0)</f>
        <v>-0.0677777777777778</v>
      </c>
      <c r="S9" s="164" t="n">
        <f aca="false">S10+S15</f>
        <v>0</v>
      </c>
      <c r="T9" s="81" t="n">
        <f aca="false">IFERROR(S9/S$5,0)</f>
        <v>0</v>
      </c>
      <c r="U9" s="139" t="n">
        <f aca="false">IFERROR((S9/P9)-1,0)</f>
        <v>-1</v>
      </c>
      <c r="V9" s="164" t="n">
        <f aca="false">V10+V15</f>
        <v>-6700</v>
      </c>
      <c r="W9" s="81" t="n">
        <f aca="false">IFERROR(V9/V$5,0)</f>
        <v>-0.067</v>
      </c>
      <c r="Y9" s="164" t="n">
        <f aca="false">Y10+Y15</f>
        <v>0</v>
      </c>
      <c r="Z9" s="81" t="n">
        <f aca="false">IFERROR(Y9/Y$5,0)</f>
        <v>0</v>
      </c>
      <c r="AA9" s="139" t="n">
        <f aca="false">IFERROR((Y9/V9)-1,0)</f>
        <v>-1</v>
      </c>
      <c r="AB9" s="164" t="n">
        <f aca="false">AB10+AB15</f>
        <v>-7300</v>
      </c>
      <c r="AC9" s="81" t="n">
        <f aca="false">IFERROR(AB9/AB$5,0)</f>
        <v>-0.0663636363636364</v>
      </c>
      <c r="AE9" s="164" t="n">
        <f aca="false">AE10+AE15</f>
        <v>0</v>
      </c>
      <c r="AF9" s="81" t="n">
        <f aca="false">IFERROR(AE9/AE$5,0)</f>
        <v>0</v>
      </c>
      <c r="AG9" s="139" t="n">
        <f aca="false">IFERROR((AE9/AB9)-1,0)</f>
        <v>-1</v>
      </c>
      <c r="AH9" s="164" t="n">
        <f aca="false">AH10+AH15</f>
        <v>-7900</v>
      </c>
      <c r="AI9" s="81" t="n">
        <f aca="false">IFERROR(AH9/AH$5,0)</f>
        <v>-0.0658333333333333</v>
      </c>
      <c r="AK9" s="164" t="n">
        <f aca="false">AK10+AK15</f>
        <v>0</v>
      </c>
      <c r="AL9" s="81" t="n">
        <f aca="false">IFERROR(AK9/AK$5,0)</f>
        <v>0</v>
      </c>
      <c r="AM9" s="139" t="n">
        <f aca="false">IFERROR((AK9/AH9)-1,0)</f>
        <v>-1</v>
      </c>
      <c r="AN9" s="164" t="n">
        <f aca="false">AN10+AN15</f>
        <v>-8500</v>
      </c>
      <c r="AO9" s="81" t="n">
        <f aca="false">IFERROR(AN9/AN$5,0)</f>
        <v>-0.0653846153846154</v>
      </c>
      <c r="AQ9" s="164" t="n">
        <f aca="false">AQ10+AQ15</f>
        <v>0</v>
      </c>
      <c r="AR9" s="81" t="n">
        <f aca="false">IFERROR(AQ9/AQ$5,0)</f>
        <v>0</v>
      </c>
      <c r="AS9" s="139" t="n">
        <f aca="false">IFERROR((AQ9/AN9)-1,0)</f>
        <v>-1</v>
      </c>
      <c r="AT9" s="164" t="n">
        <f aca="false">AT10+AT15</f>
        <v>-9100</v>
      </c>
      <c r="AU9" s="81" t="n">
        <f aca="false">IFERROR(AT9/AT$5,0)</f>
        <v>-0.065</v>
      </c>
      <c r="AW9" s="164" t="n">
        <f aca="false">AW10+AW15</f>
        <v>0</v>
      </c>
      <c r="AX9" s="81" t="n">
        <f aca="false">IFERROR(AW9/AW$5,0)</f>
        <v>0</v>
      </c>
      <c r="AY9" s="139" t="n">
        <f aca="false">IFERROR((AW9/AT9)-1,0)</f>
        <v>-1</v>
      </c>
      <c r="AZ9" s="164" t="n">
        <f aca="false">AZ10+AZ15</f>
        <v>-9700</v>
      </c>
      <c r="BA9" s="81" t="n">
        <f aca="false">IFERROR(AZ9/AZ$5,0)</f>
        <v>-0.0646666666666667</v>
      </c>
      <c r="BC9" s="164" t="n">
        <f aca="false">BC10+BC15</f>
        <v>0</v>
      </c>
      <c r="BD9" s="81" t="n">
        <f aca="false">IFERROR(BC9/BC$5,0)</f>
        <v>0</v>
      </c>
      <c r="BE9" s="139" t="n">
        <f aca="false">IFERROR((BC9/AZ9)-1,0)</f>
        <v>-1</v>
      </c>
      <c r="BF9" s="164" t="n">
        <f aca="false">BF10+BF15</f>
        <v>-9700</v>
      </c>
      <c r="BG9" s="81" t="n">
        <f aca="false">IFERROR(BF9/BF$5,0)</f>
        <v>-0.0646666666666667</v>
      </c>
      <c r="BI9" s="164" t="n">
        <f aca="false">BI10+BI15</f>
        <v>0</v>
      </c>
      <c r="BJ9" s="81" t="n">
        <f aca="false">IFERROR(BI9/BI$5,0)</f>
        <v>0</v>
      </c>
      <c r="BK9" s="139" t="n">
        <f aca="false">IFERROR((BI9/BF9)-1,0)</f>
        <v>-1</v>
      </c>
      <c r="BL9" s="164" t="n">
        <f aca="false">BL10+BL15</f>
        <v>-9700</v>
      </c>
      <c r="BM9" s="81" t="n">
        <f aca="false">IFERROR(BL9/BL$5,0)</f>
        <v>-0.0646666666666667</v>
      </c>
      <c r="BO9" s="164" t="n">
        <f aca="false">BO10+BO15</f>
        <v>0</v>
      </c>
      <c r="BP9" s="81" t="n">
        <f aca="false">IFERROR(BO9/BO$5,0)</f>
        <v>0</v>
      </c>
      <c r="BQ9" s="139" t="n">
        <f aca="false">IFERROR((BO9/BL9)-1,0)</f>
        <v>-1</v>
      </c>
      <c r="BR9" s="164" t="n">
        <f aca="false">BR10+BR15</f>
        <v>-9700</v>
      </c>
      <c r="BS9" s="81" t="n">
        <f aca="false">IFERROR(BR9/BR$5,0)</f>
        <v>-0.0646666666666667</v>
      </c>
      <c r="BT9" s="140"/>
      <c r="BU9" s="164" t="n">
        <f aca="false">BU10+BU15</f>
        <v>0</v>
      </c>
      <c r="BV9" s="81" t="n">
        <f aca="false">IFERROR(BU9/BU$5,0)</f>
        <v>0</v>
      </c>
      <c r="BW9" s="139" t="n">
        <f aca="false">IFERROR((BU9/BR9)-1,0)</f>
        <v>-1</v>
      </c>
      <c r="BX9" s="164" t="n">
        <f aca="false">BX10+BX15</f>
        <v>-95700</v>
      </c>
      <c r="BY9" s="81" t="n">
        <f aca="false">IFERROR(BX9/BX$5,0)</f>
        <v>-0.0657731958762887</v>
      </c>
      <c r="CA9" s="164" t="n">
        <f aca="false">CA10+CA15</f>
        <v>0</v>
      </c>
      <c r="CB9" s="81" t="n">
        <f aca="false">IFERROR(CA9/CA$5,0)</f>
        <v>0</v>
      </c>
      <c r="CC9" s="139" t="n">
        <f aca="false">IFERROR((CA9/BX9)-1,0)</f>
        <v>-1</v>
      </c>
      <c r="CE9" s="165" t="n">
        <f aca="false">CE10+CE15</f>
        <v>-7975</v>
      </c>
      <c r="CF9" s="83" t="n">
        <f aca="false">IFERROR(CE9/CE$5,0)</f>
        <v>-0.0657731958762887</v>
      </c>
      <c r="CH9" s="165" t="n">
        <f aca="false">CH10+CH15</f>
        <v>0</v>
      </c>
      <c r="CI9" s="83" t="n">
        <f aca="false">IFERROR(CH9/CH$5,0)</f>
        <v>0</v>
      </c>
    </row>
    <row r="10" s="150" customFormat="true" ht="14.25" hidden="false" customHeight="false" outlineLevel="0" collapsed="false">
      <c r="B10" s="166" t="s">
        <v>39</v>
      </c>
      <c r="C10" s="167"/>
      <c r="D10" s="168" t="n">
        <f aca="false">SUM(D11:D14)</f>
        <v>0</v>
      </c>
      <c r="E10" s="88" t="n">
        <f aca="false">IFERROR(D10/D$5,0)</f>
        <v>0</v>
      </c>
      <c r="F10" s="167"/>
      <c r="G10" s="168" t="n">
        <f aca="false">SUM(G11:G14)</f>
        <v>0</v>
      </c>
      <c r="H10" s="88" t="n">
        <f aca="false">IFERROR(G10/G$5,0)</f>
        <v>0</v>
      </c>
      <c r="I10" s="138" t="n">
        <f aca="false">IFERROR((G10/D10)-1,0)</f>
        <v>0</v>
      </c>
      <c r="J10" s="168" t="n">
        <f aca="false">SUM(J11:J14)</f>
        <v>0</v>
      </c>
      <c r="K10" s="88" t="n">
        <f aca="false">IFERROR(J10/J$5,0)</f>
        <v>0</v>
      </c>
      <c r="L10" s="167"/>
      <c r="M10" s="168" t="n">
        <f aca="false">SUM(M11:M14)</f>
        <v>0</v>
      </c>
      <c r="N10" s="88" t="n">
        <f aca="false">IFERROR(M10/M$5,0)</f>
        <v>0</v>
      </c>
      <c r="O10" s="139" t="n">
        <f aca="false">IFERROR((M10/J10)-1,0)</f>
        <v>0</v>
      </c>
      <c r="P10" s="168" t="n">
        <f aca="false">SUM(P11:P14)</f>
        <v>0</v>
      </c>
      <c r="Q10" s="88" t="n">
        <f aca="false">IFERROR(P10/P$5,0)</f>
        <v>0</v>
      </c>
      <c r="R10" s="167"/>
      <c r="S10" s="168" t="n">
        <f aca="false">SUM(S11:S14)</f>
        <v>0</v>
      </c>
      <c r="T10" s="88" t="n">
        <f aca="false">IFERROR(S10/S$5,0)</f>
        <v>0</v>
      </c>
      <c r="U10" s="139" t="n">
        <f aca="false">IFERROR((S10/P10)-1,0)</f>
        <v>0</v>
      </c>
      <c r="V10" s="168" t="n">
        <f aca="false">SUM(V11:V14)</f>
        <v>0</v>
      </c>
      <c r="W10" s="88" t="n">
        <f aca="false">IFERROR(V10/V$5,0)</f>
        <v>0</v>
      </c>
      <c r="X10" s="167"/>
      <c r="Y10" s="168" t="n">
        <f aca="false">SUM(Y11:Y14)</f>
        <v>0</v>
      </c>
      <c r="Z10" s="88" t="n">
        <f aca="false">IFERROR(Y10/Y$5,0)</f>
        <v>0</v>
      </c>
      <c r="AA10" s="139" t="n">
        <f aca="false">IFERROR((Y10/V10)-1,0)</f>
        <v>0</v>
      </c>
      <c r="AB10" s="168" t="n">
        <f aca="false">SUM(AB11:AB14)</f>
        <v>0</v>
      </c>
      <c r="AC10" s="88" t="n">
        <f aca="false">IFERROR(AB10/AB$5,0)</f>
        <v>0</v>
      </c>
      <c r="AD10" s="167"/>
      <c r="AE10" s="168" t="n">
        <f aca="false">SUM(AE11:AE14)</f>
        <v>0</v>
      </c>
      <c r="AF10" s="88" t="n">
        <f aca="false">IFERROR(AE10/AE$5,0)</f>
        <v>0</v>
      </c>
      <c r="AG10" s="139" t="n">
        <f aca="false">IFERROR((AE10/AB10)-1,0)</f>
        <v>0</v>
      </c>
      <c r="AH10" s="168" t="n">
        <f aca="false">SUM(AH11:AH14)</f>
        <v>0</v>
      </c>
      <c r="AI10" s="88" t="n">
        <f aca="false">IFERROR(AH10/AH$5,0)</f>
        <v>0</v>
      </c>
      <c r="AJ10" s="167"/>
      <c r="AK10" s="168" t="n">
        <f aca="false">SUM(AK11:AK14)</f>
        <v>0</v>
      </c>
      <c r="AL10" s="88" t="n">
        <f aca="false">IFERROR(AK10/AK$5,0)</f>
        <v>0</v>
      </c>
      <c r="AM10" s="139" t="n">
        <f aca="false">IFERROR((AK10/AH10)-1,0)</f>
        <v>0</v>
      </c>
      <c r="AN10" s="168" t="n">
        <f aca="false">SUM(AN11:AN14)</f>
        <v>0</v>
      </c>
      <c r="AO10" s="88" t="n">
        <f aca="false">IFERROR(AN10/AN$5,0)</f>
        <v>0</v>
      </c>
      <c r="AP10" s="167"/>
      <c r="AQ10" s="168" t="n">
        <f aca="false">SUM(AQ11:AQ14)</f>
        <v>0</v>
      </c>
      <c r="AR10" s="88" t="n">
        <f aca="false">IFERROR(AQ10/AQ$5,0)</f>
        <v>0</v>
      </c>
      <c r="AS10" s="139" t="n">
        <f aca="false">IFERROR((AQ10/AN10)-1,0)</f>
        <v>0</v>
      </c>
      <c r="AT10" s="168" t="n">
        <f aca="false">SUM(AT11:AT14)</f>
        <v>0</v>
      </c>
      <c r="AU10" s="88" t="n">
        <f aca="false">IFERROR(AT10/AT$5,0)</f>
        <v>0</v>
      </c>
      <c r="AV10" s="167"/>
      <c r="AW10" s="168" t="n">
        <f aca="false">SUM(AW11:AW14)</f>
        <v>0</v>
      </c>
      <c r="AX10" s="88" t="n">
        <f aca="false">IFERROR(AW10/AW$5,0)</f>
        <v>0</v>
      </c>
      <c r="AY10" s="139" t="n">
        <f aca="false">IFERROR((AW10/AT10)-1,0)</f>
        <v>0</v>
      </c>
      <c r="AZ10" s="168" t="n">
        <f aca="false">SUM(AZ11:AZ14)</f>
        <v>0</v>
      </c>
      <c r="BA10" s="88" t="n">
        <f aca="false">IFERROR(AZ10/AZ$5,0)</f>
        <v>0</v>
      </c>
      <c r="BB10" s="167"/>
      <c r="BC10" s="168" t="n">
        <f aca="false">SUM(BC11:BC14)</f>
        <v>0</v>
      </c>
      <c r="BD10" s="88" t="n">
        <f aca="false">IFERROR(BC10/BC$5,0)</f>
        <v>0</v>
      </c>
      <c r="BE10" s="139" t="n">
        <f aca="false">IFERROR((BC10/AZ10)-1,0)</f>
        <v>0</v>
      </c>
      <c r="BF10" s="168" t="n">
        <f aca="false">SUM(BF11:BF14)</f>
        <v>0</v>
      </c>
      <c r="BG10" s="88" t="n">
        <f aca="false">IFERROR(BF10/BF$5,0)</f>
        <v>0</v>
      </c>
      <c r="BH10" s="167"/>
      <c r="BI10" s="168" t="n">
        <f aca="false">SUM(BI11:BI14)</f>
        <v>0</v>
      </c>
      <c r="BJ10" s="88" t="n">
        <f aca="false">IFERROR(BI10/BI$5,0)</f>
        <v>0</v>
      </c>
      <c r="BK10" s="139" t="n">
        <f aca="false">IFERROR((BI10/BF10)-1,0)</f>
        <v>0</v>
      </c>
      <c r="BL10" s="168" t="n">
        <f aca="false">SUM(BL11:BL14)</f>
        <v>0</v>
      </c>
      <c r="BM10" s="88" t="n">
        <f aca="false">IFERROR(BL10/BL$5,0)</f>
        <v>0</v>
      </c>
      <c r="BN10" s="167"/>
      <c r="BO10" s="168" t="n">
        <f aca="false">SUM(BO11:BO14)</f>
        <v>0</v>
      </c>
      <c r="BP10" s="88" t="n">
        <f aca="false">IFERROR(BO10/BO$5,0)</f>
        <v>0</v>
      </c>
      <c r="BQ10" s="139" t="n">
        <f aca="false">IFERROR((BO10/BL10)-1,0)</f>
        <v>0</v>
      </c>
      <c r="BR10" s="168" t="n">
        <f aca="false">SUM(BR11:BR14)</f>
        <v>0</v>
      </c>
      <c r="BS10" s="88" t="n">
        <f aca="false">IFERROR(BR10/BR$5,0)</f>
        <v>0</v>
      </c>
      <c r="BT10" s="158"/>
      <c r="BU10" s="168" t="n">
        <f aca="false">SUM(BU11:BU14)</f>
        <v>0</v>
      </c>
      <c r="BV10" s="88" t="n">
        <f aca="false">IFERROR(BU10/BU$5,0)</f>
        <v>0</v>
      </c>
      <c r="BW10" s="139" t="n">
        <f aca="false">IFERROR((BU10/BR10)-1,0)</f>
        <v>0</v>
      </c>
      <c r="BX10" s="157" t="n">
        <f aca="false">SUM(D10,J10,P10,V10,AB10,AH10,AN10,AT10,AZ10,BF10,BL10,BR10)</f>
        <v>0</v>
      </c>
      <c r="BY10" s="88" t="n">
        <f aca="false">IFERROR(BX10/BX$5,0)</f>
        <v>0</v>
      </c>
      <c r="BZ10" s="167"/>
      <c r="CA10" s="157" t="n">
        <f aca="false">SUM(G10,M10,S10,Y10,AE10,AK10,AQ10,AW10,BC10,BI10,BO10,BU10)</f>
        <v>0</v>
      </c>
      <c r="CB10" s="88" t="n">
        <f aca="false">IFERROR(CA10/CA$5,0)</f>
        <v>0</v>
      </c>
      <c r="CC10" s="139" t="n">
        <f aca="false">IFERROR((CA10/BX10)-1,0)</f>
        <v>0</v>
      </c>
      <c r="CD10" s="167"/>
      <c r="CE10" s="157" t="n">
        <f aca="false">BX10/$CF$1</f>
        <v>0</v>
      </c>
      <c r="CF10" s="76" t="n">
        <f aca="false">IFERROR(CE10/CE$5,0)</f>
        <v>0</v>
      </c>
      <c r="CG10" s="167"/>
      <c r="CH10" s="157" t="n">
        <f aca="false">CA10/$CI$1</f>
        <v>0</v>
      </c>
      <c r="CI10" s="76" t="n">
        <f aca="false">IFERROR(CH10/CH$5,0)</f>
        <v>0</v>
      </c>
    </row>
    <row r="11" customFormat="false" ht="14.25" hidden="false" customHeight="false" outlineLevel="1" collapsed="false">
      <c r="B11" s="169" t="s">
        <v>40</v>
      </c>
      <c r="C11" s="170"/>
      <c r="D11" s="157" t="n">
        <v>0</v>
      </c>
      <c r="E11" s="91" t="n">
        <f aca="false">IFERROR(D11/D$5,0)</f>
        <v>0</v>
      </c>
      <c r="F11" s="170"/>
      <c r="G11" s="157" t="n">
        <f aca="false">SUMIFS('Dados Mov Financeira'!$N:$N,'Dados Mov Financeira'!$O:$O,'DRE 2024'!$B11,'Dados Mov Financeira'!$A:$A,'DRE 2024'!G$1,'Dados Mov Financeira'!$B:$B,'DRE 2024'!G$2)</f>
        <v>0</v>
      </c>
      <c r="H11" s="91" t="n">
        <f aca="false">IFERROR(G11/G$5,0)</f>
        <v>0</v>
      </c>
      <c r="I11" s="138" t="n">
        <f aca="false">IFERROR((G11/D11)-1,0)</f>
        <v>0</v>
      </c>
      <c r="J11" s="157" t="n">
        <f aca="false">$D11</f>
        <v>0</v>
      </c>
      <c r="K11" s="91" t="n">
        <f aca="false">IFERROR(J11/J$5,0)</f>
        <v>0</v>
      </c>
      <c r="L11" s="170"/>
      <c r="M11" s="157" t="n">
        <f aca="false">SUMIFS('Dados Mov Financeira'!$N:$N,'Dados Mov Financeira'!$O:$O,'DRE 2024'!$B11,'Dados Mov Financeira'!$A:$A,'DRE 2024'!M$1,'Dados Mov Financeira'!$B:$B,'DRE 2024'!M$2)</f>
        <v>0</v>
      </c>
      <c r="N11" s="91" t="n">
        <f aca="false">IFERROR(M11/M$5,0)</f>
        <v>0</v>
      </c>
      <c r="O11" s="139" t="n">
        <f aca="false">IFERROR((M11/J11)-1,0)</f>
        <v>0</v>
      </c>
      <c r="P11" s="157" t="n">
        <f aca="false">$D11</f>
        <v>0</v>
      </c>
      <c r="Q11" s="91" t="n">
        <f aca="false">IFERROR(P11/P$5,0)</f>
        <v>0</v>
      </c>
      <c r="R11" s="170"/>
      <c r="S11" s="157" t="n">
        <f aca="false">SUMIFS('Dados Mov Financeira'!$N:$N,'Dados Mov Financeira'!$O:$O,'DRE 2024'!$B11,'Dados Mov Financeira'!$A:$A,'DRE 2024'!S$1,'Dados Mov Financeira'!$B:$B,'DRE 2024'!S$2)</f>
        <v>0</v>
      </c>
      <c r="T11" s="91" t="n">
        <f aca="false">IFERROR(S11/S$5,0)</f>
        <v>0</v>
      </c>
      <c r="U11" s="139" t="n">
        <f aca="false">IFERROR((S11/P11)-1,0)</f>
        <v>0</v>
      </c>
      <c r="V11" s="157" t="n">
        <f aca="false">$D11</f>
        <v>0</v>
      </c>
      <c r="W11" s="91" t="n">
        <f aca="false">IFERROR(V11/V$5,0)</f>
        <v>0</v>
      </c>
      <c r="X11" s="170"/>
      <c r="Y11" s="157" t="n">
        <f aca="false">SUMIFS('Dados Mov Financeira'!$N:$N,'Dados Mov Financeira'!$O:$O,'DRE 2024'!$B11,'Dados Mov Financeira'!$A:$A,'DRE 2024'!Y$1,'Dados Mov Financeira'!$B:$B,'DRE 2024'!Y$2)</f>
        <v>0</v>
      </c>
      <c r="Z11" s="91" t="n">
        <f aca="false">IFERROR(Y11/Y$5,0)</f>
        <v>0</v>
      </c>
      <c r="AA11" s="139" t="n">
        <f aca="false">IFERROR((Y11/V11)-1,0)</f>
        <v>0</v>
      </c>
      <c r="AB11" s="157" t="n">
        <f aca="false">$D11</f>
        <v>0</v>
      </c>
      <c r="AC11" s="91" t="n">
        <f aca="false">IFERROR(AB11/AB$5,0)</f>
        <v>0</v>
      </c>
      <c r="AD11" s="170"/>
      <c r="AE11" s="157" t="n">
        <f aca="false">SUMIFS('Dados Mov Financeira'!$N:$N,'Dados Mov Financeira'!$O:$O,'DRE 2024'!$B11,'Dados Mov Financeira'!$A:$A,'DRE 2024'!AE$1,'Dados Mov Financeira'!$B:$B,'DRE 2024'!AE$2)</f>
        <v>0</v>
      </c>
      <c r="AF11" s="91" t="n">
        <f aca="false">IFERROR(AE11/AE$5,0)</f>
        <v>0</v>
      </c>
      <c r="AG11" s="139" t="n">
        <f aca="false">IFERROR((AE11/AB11)-1,0)</f>
        <v>0</v>
      </c>
      <c r="AH11" s="157" t="n">
        <f aca="false">$D11</f>
        <v>0</v>
      </c>
      <c r="AI11" s="91" t="n">
        <f aca="false">IFERROR(AH11/AH$5,0)</f>
        <v>0</v>
      </c>
      <c r="AJ11" s="170"/>
      <c r="AK11" s="157" t="n">
        <f aca="false">SUMIFS('Dados Mov Financeira'!$N:$N,'Dados Mov Financeira'!$O:$O,'DRE 2024'!$B11,'Dados Mov Financeira'!$A:$A,'DRE 2024'!AK$1,'Dados Mov Financeira'!$B:$B,'DRE 2024'!AK$2)</f>
        <v>0</v>
      </c>
      <c r="AL11" s="91" t="n">
        <f aca="false">IFERROR(AK11/AK$5,0)</f>
        <v>0</v>
      </c>
      <c r="AM11" s="139" t="n">
        <f aca="false">IFERROR((AK11/AH11)-1,0)</f>
        <v>0</v>
      </c>
      <c r="AN11" s="157" t="n">
        <f aca="false">$D11</f>
        <v>0</v>
      </c>
      <c r="AO11" s="91" t="n">
        <f aca="false">IFERROR(AN11/AN$5,0)</f>
        <v>0</v>
      </c>
      <c r="AP11" s="170"/>
      <c r="AQ11" s="157" t="n">
        <f aca="false">SUMIFS('Dados Mov Financeira'!$N:$N,'Dados Mov Financeira'!$O:$O,'DRE 2024'!$B11,'Dados Mov Financeira'!$A:$A,'DRE 2024'!AQ$1,'Dados Mov Financeira'!$B:$B,'DRE 2024'!AQ$2)</f>
        <v>0</v>
      </c>
      <c r="AR11" s="91" t="n">
        <f aca="false">IFERROR(AQ11/AQ$5,0)</f>
        <v>0</v>
      </c>
      <c r="AS11" s="139" t="n">
        <f aca="false">IFERROR((AQ11/AN11)-1,0)</f>
        <v>0</v>
      </c>
      <c r="AT11" s="157" t="n">
        <f aca="false">$D11</f>
        <v>0</v>
      </c>
      <c r="AU11" s="91" t="n">
        <f aca="false">IFERROR(AT11/AT$5,0)</f>
        <v>0</v>
      </c>
      <c r="AV11" s="170"/>
      <c r="AW11" s="157" t="n">
        <f aca="false">SUMIFS('Dados Mov Financeira'!$N:$N,'Dados Mov Financeira'!$O:$O,'DRE 2024'!$B11,'Dados Mov Financeira'!$A:$A,'DRE 2024'!AW$1,'Dados Mov Financeira'!$B:$B,'DRE 2024'!AW$2)</f>
        <v>0</v>
      </c>
      <c r="AX11" s="91" t="n">
        <f aca="false">IFERROR(AW11/AW$5,0)</f>
        <v>0</v>
      </c>
      <c r="AY11" s="139" t="n">
        <f aca="false">IFERROR((AW11/AT11)-1,0)</f>
        <v>0</v>
      </c>
      <c r="AZ11" s="157" t="n">
        <f aca="false">$D11</f>
        <v>0</v>
      </c>
      <c r="BA11" s="91" t="n">
        <f aca="false">IFERROR(AZ11/AZ$5,0)</f>
        <v>0</v>
      </c>
      <c r="BB11" s="170"/>
      <c r="BC11" s="157" t="n">
        <f aca="false">SUMIFS('Dados Mov Financeira'!$N:$N,'Dados Mov Financeira'!$O:$O,'DRE 2024'!$B11,'Dados Mov Financeira'!$A:$A,'DRE 2024'!BC$1,'Dados Mov Financeira'!$B:$B,'DRE 2024'!BC$2)</f>
        <v>0</v>
      </c>
      <c r="BD11" s="91" t="n">
        <f aca="false">IFERROR(BC11/BC$5,0)</f>
        <v>0</v>
      </c>
      <c r="BE11" s="139" t="n">
        <f aca="false">IFERROR((BC11/AZ11)-1,0)</f>
        <v>0</v>
      </c>
      <c r="BF11" s="157" t="n">
        <f aca="false">$D11</f>
        <v>0</v>
      </c>
      <c r="BG11" s="91" t="n">
        <f aca="false">IFERROR(BF11/BF$5,0)</f>
        <v>0</v>
      </c>
      <c r="BH11" s="170"/>
      <c r="BI11" s="157" t="n">
        <f aca="false">SUMIFS('Dados Mov Financeira'!$N:$N,'Dados Mov Financeira'!$O:$O,'DRE 2024'!$B11,'Dados Mov Financeira'!$A:$A,'DRE 2024'!BI$1,'Dados Mov Financeira'!$B:$B,'DRE 2024'!BI$2)</f>
        <v>0</v>
      </c>
      <c r="BJ11" s="91" t="n">
        <f aca="false">IFERROR(BI11/BI$5,0)</f>
        <v>0</v>
      </c>
      <c r="BK11" s="139" t="n">
        <f aca="false">IFERROR((BI11/BF11)-1,0)</f>
        <v>0</v>
      </c>
      <c r="BL11" s="157" t="n">
        <f aca="false">$D11</f>
        <v>0</v>
      </c>
      <c r="BM11" s="91" t="n">
        <f aca="false">IFERROR(BL11/BL$5,0)</f>
        <v>0</v>
      </c>
      <c r="BN11" s="170"/>
      <c r="BO11" s="157" t="n">
        <f aca="false">SUMIFS('Dados Mov Financeira'!$N:$N,'Dados Mov Financeira'!$O:$O,'DRE 2024'!$B11,'Dados Mov Financeira'!$A:$A,'DRE 2024'!BO$1,'Dados Mov Financeira'!$B:$B,'DRE 2024'!BO$2)</f>
        <v>0</v>
      </c>
      <c r="BP11" s="91" t="n">
        <f aca="false">IFERROR(BO11/BO$5,0)</f>
        <v>0</v>
      </c>
      <c r="BQ11" s="139" t="n">
        <f aca="false">IFERROR((BO11/BL11)-1,0)</f>
        <v>0</v>
      </c>
      <c r="BR11" s="157" t="n">
        <f aca="false">$D11</f>
        <v>0</v>
      </c>
      <c r="BS11" s="91" t="n">
        <f aca="false">IFERROR(BR11/BR$5,0)</f>
        <v>0</v>
      </c>
      <c r="BT11" s="171"/>
      <c r="BU11" s="157" t="n">
        <f aca="false">SUMIFS('Dados Mov Financeira'!$N:$N,'Dados Mov Financeira'!$O:$O,'DRE 2024'!$B11,'Dados Mov Financeira'!$A:$A,'DRE 2024'!BU$1,'Dados Mov Financeira'!$B:$B,'DRE 2024'!BU$2)</f>
        <v>0</v>
      </c>
      <c r="BV11" s="91" t="n">
        <f aca="false">IFERROR(BU11/BU$5,0)</f>
        <v>0</v>
      </c>
      <c r="BW11" s="139" t="n">
        <f aca="false">IFERROR((BU11/BR11)-1,0)</f>
        <v>0</v>
      </c>
      <c r="BX11" s="172" t="n">
        <f aca="false">SUM(D11,J11,P11,V11,AB11,AH11,AN11,AT11,AZ11,BF11,BL11,BR11)</f>
        <v>0</v>
      </c>
      <c r="BY11" s="91" t="n">
        <f aca="false">IFERROR(BX11/BX$5,0)</f>
        <v>0</v>
      </c>
      <c r="BZ11" s="170"/>
      <c r="CA11" s="172" t="n">
        <f aca="false">SUM(G11,M11,S11,Y11,AE11,AK11,AQ11,AW11,BC11,BI11,BO11,BU11)</f>
        <v>0</v>
      </c>
      <c r="CB11" s="91" t="n">
        <f aca="false">IFERROR(CA11/CA$5,0)</f>
        <v>0</v>
      </c>
      <c r="CC11" s="139" t="n">
        <f aca="false">IFERROR((CA11/BX11)-1,0)</f>
        <v>0</v>
      </c>
      <c r="CD11" s="170"/>
      <c r="CE11" s="157" t="n">
        <f aca="false">BX11/$CF$1</f>
        <v>0</v>
      </c>
      <c r="CF11" s="94" t="n">
        <f aca="false">IFERROR(CE11/CE$5,0)</f>
        <v>0</v>
      </c>
      <c r="CG11" s="170"/>
      <c r="CH11" s="157" t="n">
        <f aca="false">CA11/$CI$1</f>
        <v>0</v>
      </c>
      <c r="CI11" s="94" t="n">
        <f aca="false">IFERROR(CH11/CH$5,0)</f>
        <v>0</v>
      </c>
    </row>
    <row r="12" customFormat="false" ht="14.25" hidden="false" customHeight="false" outlineLevel="1" collapsed="false">
      <c r="B12" s="169" t="s">
        <v>41</v>
      </c>
      <c r="C12" s="170"/>
      <c r="D12" s="157" t="n">
        <v>0</v>
      </c>
      <c r="E12" s="91" t="n">
        <f aca="false">IFERROR(D12/D$5,0)</f>
        <v>0</v>
      </c>
      <c r="F12" s="170"/>
      <c r="G12" s="157" t="n">
        <f aca="false">SUMIFS('Dados Mov Financeira'!$N:$N,'Dados Mov Financeira'!$O:$O,'DRE 2024'!$B12,'Dados Mov Financeira'!$A:$A,'DRE 2024'!G$1,'Dados Mov Financeira'!$B:$B,'DRE 2024'!G$2)</f>
        <v>0</v>
      </c>
      <c r="H12" s="91" t="n">
        <f aca="false">IFERROR(G12/G$5,0)</f>
        <v>0</v>
      </c>
      <c r="I12" s="138" t="n">
        <f aca="false">IFERROR((G12/D12)-1,0)</f>
        <v>0</v>
      </c>
      <c r="J12" s="157" t="n">
        <f aca="false">$D12</f>
        <v>0</v>
      </c>
      <c r="K12" s="91" t="n">
        <f aca="false">IFERROR(J12/J$5,0)</f>
        <v>0</v>
      </c>
      <c r="L12" s="170"/>
      <c r="M12" s="157" t="n">
        <f aca="false">SUMIFS('Dados Mov Financeira'!$N:$N,'Dados Mov Financeira'!$O:$O,'DRE 2024'!$B12,'Dados Mov Financeira'!$A:$A,'DRE 2024'!M$1,'Dados Mov Financeira'!$B:$B,'DRE 2024'!M$2)</f>
        <v>0</v>
      </c>
      <c r="N12" s="91" t="n">
        <f aca="false">IFERROR(M12/M$5,0)</f>
        <v>0</v>
      </c>
      <c r="O12" s="139" t="n">
        <f aca="false">IFERROR((M12/J12)-1,0)</f>
        <v>0</v>
      </c>
      <c r="P12" s="157" t="n">
        <f aca="false">$D12</f>
        <v>0</v>
      </c>
      <c r="Q12" s="91" t="n">
        <f aca="false">IFERROR(P12/P$5,0)</f>
        <v>0</v>
      </c>
      <c r="R12" s="170"/>
      <c r="S12" s="157" t="n">
        <f aca="false">SUMIFS('Dados Mov Financeira'!$N:$N,'Dados Mov Financeira'!$O:$O,'DRE 2024'!$B12,'Dados Mov Financeira'!$A:$A,'DRE 2024'!S$1,'Dados Mov Financeira'!$B:$B,'DRE 2024'!S$2)</f>
        <v>0</v>
      </c>
      <c r="T12" s="91" t="n">
        <f aca="false">IFERROR(S12/S$5,0)</f>
        <v>0</v>
      </c>
      <c r="U12" s="139" t="n">
        <f aca="false">IFERROR((S12/P12)-1,0)</f>
        <v>0</v>
      </c>
      <c r="V12" s="157" t="n">
        <f aca="false">$D12</f>
        <v>0</v>
      </c>
      <c r="W12" s="91" t="n">
        <f aca="false">IFERROR(V12/V$5,0)</f>
        <v>0</v>
      </c>
      <c r="X12" s="170"/>
      <c r="Y12" s="157" t="n">
        <f aca="false">SUMIFS('Dados Mov Financeira'!$N:$N,'Dados Mov Financeira'!$O:$O,'DRE 2024'!$B12,'Dados Mov Financeira'!$A:$A,'DRE 2024'!Y$1,'Dados Mov Financeira'!$B:$B,'DRE 2024'!Y$2)</f>
        <v>0</v>
      </c>
      <c r="Z12" s="91" t="n">
        <f aca="false">IFERROR(Y12/Y$5,0)</f>
        <v>0</v>
      </c>
      <c r="AA12" s="139" t="n">
        <f aca="false">IFERROR((Y12/V12)-1,0)</f>
        <v>0</v>
      </c>
      <c r="AB12" s="157" t="n">
        <f aca="false">$D12</f>
        <v>0</v>
      </c>
      <c r="AC12" s="91" t="n">
        <f aca="false">IFERROR(AB12/AB$5,0)</f>
        <v>0</v>
      </c>
      <c r="AD12" s="170"/>
      <c r="AE12" s="157" t="n">
        <f aca="false">SUMIFS('Dados Mov Financeira'!$N:$N,'Dados Mov Financeira'!$O:$O,'DRE 2024'!$B12,'Dados Mov Financeira'!$A:$A,'DRE 2024'!AE$1,'Dados Mov Financeira'!$B:$B,'DRE 2024'!AE$2)</f>
        <v>0</v>
      </c>
      <c r="AF12" s="91" t="n">
        <f aca="false">IFERROR(AE12/AE$5,0)</f>
        <v>0</v>
      </c>
      <c r="AG12" s="139" t="n">
        <f aca="false">IFERROR((AE12/AB12)-1,0)</f>
        <v>0</v>
      </c>
      <c r="AH12" s="157" t="n">
        <f aca="false">$D12</f>
        <v>0</v>
      </c>
      <c r="AI12" s="91" t="n">
        <f aca="false">IFERROR(AH12/AH$5,0)</f>
        <v>0</v>
      </c>
      <c r="AJ12" s="170"/>
      <c r="AK12" s="157" t="n">
        <f aca="false">SUMIFS('Dados Mov Financeira'!$N:$N,'Dados Mov Financeira'!$O:$O,'DRE 2024'!$B12,'Dados Mov Financeira'!$A:$A,'DRE 2024'!AK$1,'Dados Mov Financeira'!$B:$B,'DRE 2024'!AK$2)</f>
        <v>0</v>
      </c>
      <c r="AL12" s="91" t="n">
        <f aca="false">IFERROR(AK12/AK$5,0)</f>
        <v>0</v>
      </c>
      <c r="AM12" s="139" t="n">
        <f aca="false">IFERROR((AK12/AH12)-1,0)</f>
        <v>0</v>
      </c>
      <c r="AN12" s="157" t="n">
        <f aca="false">$D12</f>
        <v>0</v>
      </c>
      <c r="AO12" s="91" t="n">
        <f aca="false">IFERROR(AN12/AN$5,0)</f>
        <v>0</v>
      </c>
      <c r="AP12" s="170"/>
      <c r="AQ12" s="157" t="n">
        <f aca="false">SUMIFS('Dados Mov Financeira'!$N:$N,'Dados Mov Financeira'!$O:$O,'DRE 2024'!$B12,'Dados Mov Financeira'!$A:$A,'DRE 2024'!AQ$1,'Dados Mov Financeira'!$B:$B,'DRE 2024'!AQ$2)</f>
        <v>0</v>
      </c>
      <c r="AR12" s="91" t="n">
        <f aca="false">IFERROR(AQ12/AQ$5,0)</f>
        <v>0</v>
      </c>
      <c r="AS12" s="139" t="n">
        <f aca="false">IFERROR((AQ12/AN12)-1,0)</f>
        <v>0</v>
      </c>
      <c r="AT12" s="157" t="n">
        <f aca="false">$D12</f>
        <v>0</v>
      </c>
      <c r="AU12" s="91" t="n">
        <f aca="false">IFERROR(AT12/AT$5,0)</f>
        <v>0</v>
      </c>
      <c r="AV12" s="170"/>
      <c r="AW12" s="157" t="n">
        <f aca="false">SUMIFS('Dados Mov Financeira'!$N:$N,'Dados Mov Financeira'!$O:$O,'DRE 2024'!$B12,'Dados Mov Financeira'!$A:$A,'DRE 2024'!AW$1,'Dados Mov Financeira'!$B:$B,'DRE 2024'!AW$2)</f>
        <v>0</v>
      </c>
      <c r="AX12" s="91" t="n">
        <f aca="false">IFERROR(AW12/AW$5,0)</f>
        <v>0</v>
      </c>
      <c r="AY12" s="139" t="n">
        <f aca="false">IFERROR((AW12/AT12)-1,0)</f>
        <v>0</v>
      </c>
      <c r="AZ12" s="157" t="n">
        <f aca="false">$D12</f>
        <v>0</v>
      </c>
      <c r="BA12" s="91" t="n">
        <f aca="false">IFERROR(AZ12/AZ$5,0)</f>
        <v>0</v>
      </c>
      <c r="BB12" s="170"/>
      <c r="BC12" s="157" t="n">
        <f aca="false">SUMIFS('Dados Mov Financeira'!$N:$N,'Dados Mov Financeira'!$O:$O,'DRE 2024'!$B12,'Dados Mov Financeira'!$A:$A,'DRE 2024'!BC$1,'Dados Mov Financeira'!$B:$B,'DRE 2024'!BC$2)</f>
        <v>0</v>
      </c>
      <c r="BD12" s="91" t="n">
        <f aca="false">IFERROR(BC12/BC$5,0)</f>
        <v>0</v>
      </c>
      <c r="BE12" s="139" t="n">
        <f aca="false">IFERROR((BC12/AZ12)-1,0)</f>
        <v>0</v>
      </c>
      <c r="BF12" s="157" t="n">
        <f aca="false">$D12</f>
        <v>0</v>
      </c>
      <c r="BG12" s="91" t="n">
        <f aca="false">IFERROR(BF12/BF$5,0)</f>
        <v>0</v>
      </c>
      <c r="BH12" s="170"/>
      <c r="BI12" s="157" t="n">
        <f aca="false">SUMIFS('Dados Mov Financeira'!$N:$N,'Dados Mov Financeira'!$O:$O,'DRE 2024'!$B12,'Dados Mov Financeira'!$A:$A,'DRE 2024'!BI$1,'Dados Mov Financeira'!$B:$B,'DRE 2024'!BI$2)</f>
        <v>0</v>
      </c>
      <c r="BJ12" s="91" t="n">
        <f aca="false">IFERROR(BI12/BI$5,0)</f>
        <v>0</v>
      </c>
      <c r="BK12" s="139" t="n">
        <f aca="false">IFERROR((BI12/BF12)-1,0)</f>
        <v>0</v>
      </c>
      <c r="BL12" s="157" t="n">
        <f aca="false">$D12</f>
        <v>0</v>
      </c>
      <c r="BM12" s="91" t="n">
        <f aca="false">IFERROR(BL12/BL$5,0)</f>
        <v>0</v>
      </c>
      <c r="BN12" s="170"/>
      <c r="BO12" s="157" t="n">
        <f aca="false">SUMIFS('Dados Mov Financeira'!$N:$N,'Dados Mov Financeira'!$O:$O,'DRE 2024'!$B12,'Dados Mov Financeira'!$A:$A,'DRE 2024'!BO$1,'Dados Mov Financeira'!$B:$B,'DRE 2024'!BO$2)</f>
        <v>0</v>
      </c>
      <c r="BP12" s="91" t="n">
        <f aca="false">IFERROR(BO12/BO$5,0)</f>
        <v>0</v>
      </c>
      <c r="BQ12" s="139" t="n">
        <f aca="false">IFERROR((BO12/BL12)-1,0)</f>
        <v>0</v>
      </c>
      <c r="BR12" s="157" t="n">
        <f aca="false">$D12</f>
        <v>0</v>
      </c>
      <c r="BS12" s="91" t="n">
        <f aca="false">IFERROR(BR12/BR$5,0)</f>
        <v>0</v>
      </c>
      <c r="BT12" s="171"/>
      <c r="BU12" s="157" t="n">
        <f aca="false">SUMIFS('Dados Mov Financeira'!$N:$N,'Dados Mov Financeira'!$O:$O,'DRE 2024'!$B12,'Dados Mov Financeira'!$A:$A,'DRE 2024'!BU$1,'Dados Mov Financeira'!$B:$B,'DRE 2024'!BU$2)</f>
        <v>0</v>
      </c>
      <c r="BV12" s="91" t="n">
        <f aca="false">IFERROR(BU12/BU$5,0)</f>
        <v>0</v>
      </c>
      <c r="BW12" s="139" t="n">
        <f aca="false">IFERROR((BU12/BR12)-1,0)</f>
        <v>0</v>
      </c>
      <c r="BX12" s="172" t="n">
        <f aca="false">SUM(D12,J12,P12,V12,AB12,AH12,AN12,AT12,AZ12,BF12,BL12,BR12)</f>
        <v>0</v>
      </c>
      <c r="BY12" s="91" t="n">
        <f aca="false">IFERROR(BX12/BX$5,0)</f>
        <v>0</v>
      </c>
      <c r="BZ12" s="170"/>
      <c r="CA12" s="172" t="n">
        <f aca="false">SUM(G12,M12,S12,Y12,AE12,AK12,AQ12,AW12,BC12,BI12,BO12,BU12)</f>
        <v>0</v>
      </c>
      <c r="CB12" s="91" t="n">
        <f aca="false">IFERROR(CA12/CA$5,0)</f>
        <v>0</v>
      </c>
      <c r="CC12" s="139" t="n">
        <f aca="false">IFERROR((CA12/BX12)-1,0)</f>
        <v>0</v>
      </c>
      <c r="CD12" s="170"/>
      <c r="CE12" s="157" t="n">
        <f aca="false">BX12/$CF$1</f>
        <v>0</v>
      </c>
      <c r="CF12" s="94" t="n">
        <f aca="false">IFERROR(CE12/CE$5,0)</f>
        <v>0</v>
      </c>
      <c r="CG12" s="170"/>
      <c r="CH12" s="157" t="n">
        <f aca="false">CA12/$CI$1</f>
        <v>0</v>
      </c>
      <c r="CI12" s="94" t="n">
        <f aca="false">IFERROR(CH12/CH$5,0)</f>
        <v>0</v>
      </c>
    </row>
    <row r="13" customFormat="false" ht="14.25" hidden="false" customHeight="false" outlineLevel="1" collapsed="false">
      <c r="B13" s="169" t="s">
        <v>42</v>
      </c>
      <c r="C13" s="170"/>
      <c r="D13" s="157" t="n">
        <v>0</v>
      </c>
      <c r="E13" s="91" t="n">
        <f aca="false">IFERROR(D13/D$5,0)</f>
        <v>0</v>
      </c>
      <c r="F13" s="170"/>
      <c r="G13" s="157" t="n">
        <f aca="false">SUMIFS('Dados Mov Financeira'!$N:$N,'Dados Mov Financeira'!$O:$O,'DRE 2024'!$B13,'Dados Mov Financeira'!$A:$A,'DRE 2024'!G$1,'Dados Mov Financeira'!$B:$B,'DRE 2024'!G$2)</f>
        <v>0</v>
      </c>
      <c r="H13" s="91" t="n">
        <f aca="false">IFERROR(G13/G$5,0)</f>
        <v>0</v>
      </c>
      <c r="I13" s="138" t="n">
        <f aca="false">IFERROR((G13/D13)-1,0)</f>
        <v>0</v>
      </c>
      <c r="J13" s="157" t="n">
        <f aca="false">$D13</f>
        <v>0</v>
      </c>
      <c r="K13" s="91" t="n">
        <f aca="false">IFERROR(J13/J$5,0)</f>
        <v>0</v>
      </c>
      <c r="L13" s="170"/>
      <c r="M13" s="157" t="n">
        <f aca="false">SUMIFS('Dados Mov Financeira'!$N:$N,'Dados Mov Financeira'!$O:$O,'DRE 2024'!$B13,'Dados Mov Financeira'!$A:$A,'DRE 2024'!M$1,'Dados Mov Financeira'!$B:$B,'DRE 2024'!M$2)</f>
        <v>0</v>
      </c>
      <c r="N13" s="91" t="n">
        <f aca="false">IFERROR(M13/M$5,0)</f>
        <v>0</v>
      </c>
      <c r="O13" s="139" t="n">
        <f aca="false">IFERROR((M13/J13)-1,0)</f>
        <v>0</v>
      </c>
      <c r="P13" s="157" t="n">
        <f aca="false">$D13</f>
        <v>0</v>
      </c>
      <c r="Q13" s="91" t="n">
        <f aca="false">IFERROR(P13/P$5,0)</f>
        <v>0</v>
      </c>
      <c r="R13" s="170"/>
      <c r="S13" s="157" t="n">
        <f aca="false">SUMIFS('Dados Mov Financeira'!$N:$N,'Dados Mov Financeira'!$O:$O,'DRE 2024'!$B13,'Dados Mov Financeira'!$A:$A,'DRE 2024'!S$1,'Dados Mov Financeira'!$B:$B,'DRE 2024'!S$2)</f>
        <v>0</v>
      </c>
      <c r="T13" s="91" t="n">
        <f aca="false">IFERROR(S13/S$5,0)</f>
        <v>0</v>
      </c>
      <c r="U13" s="139" t="n">
        <f aca="false">IFERROR((S13/P13)-1,0)</f>
        <v>0</v>
      </c>
      <c r="V13" s="157" t="n">
        <f aca="false">$D13</f>
        <v>0</v>
      </c>
      <c r="W13" s="91" t="n">
        <f aca="false">IFERROR(V13/V$5,0)</f>
        <v>0</v>
      </c>
      <c r="X13" s="170"/>
      <c r="Y13" s="157" t="n">
        <f aca="false">SUMIFS('Dados Mov Financeira'!$N:$N,'Dados Mov Financeira'!$O:$O,'DRE 2024'!$B13,'Dados Mov Financeira'!$A:$A,'DRE 2024'!Y$1,'Dados Mov Financeira'!$B:$B,'DRE 2024'!Y$2)</f>
        <v>0</v>
      </c>
      <c r="Z13" s="91" t="n">
        <f aca="false">IFERROR(Y13/Y$5,0)</f>
        <v>0</v>
      </c>
      <c r="AA13" s="139" t="n">
        <f aca="false">IFERROR((Y13/V13)-1,0)</f>
        <v>0</v>
      </c>
      <c r="AB13" s="157" t="n">
        <f aca="false">$D13</f>
        <v>0</v>
      </c>
      <c r="AC13" s="91" t="n">
        <f aca="false">IFERROR(AB13/AB$5,0)</f>
        <v>0</v>
      </c>
      <c r="AD13" s="170"/>
      <c r="AE13" s="157" t="n">
        <f aca="false">SUMIFS('Dados Mov Financeira'!$N:$N,'Dados Mov Financeira'!$O:$O,'DRE 2024'!$B13,'Dados Mov Financeira'!$A:$A,'DRE 2024'!AE$1,'Dados Mov Financeira'!$B:$B,'DRE 2024'!AE$2)</f>
        <v>0</v>
      </c>
      <c r="AF13" s="91" t="n">
        <f aca="false">IFERROR(AE13/AE$5,0)</f>
        <v>0</v>
      </c>
      <c r="AG13" s="139" t="n">
        <f aca="false">IFERROR((AE13/AB13)-1,0)</f>
        <v>0</v>
      </c>
      <c r="AH13" s="157" t="n">
        <f aca="false">$D13</f>
        <v>0</v>
      </c>
      <c r="AI13" s="91" t="n">
        <f aca="false">IFERROR(AH13/AH$5,0)</f>
        <v>0</v>
      </c>
      <c r="AJ13" s="170"/>
      <c r="AK13" s="157" t="n">
        <f aca="false">SUMIFS('Dados Mov Financeira'!$N:$N,'Dados Mov Financeira'!$O:$O,'DRE 2024'!$B13,'Dados Mov Financeira'!$A:$A,'DRE 2024'!AK$1,'Dados Mov Financeira'!$B:$B,'DRE 2024'!AK$2)</f>
        <v>0</v>
      </c>
      <c r="AL13" s="91" t="n">
        <f aca="false">IFERROR(AK13/AK$5,0)</f>
        <v>0</v>
      </c>
      <c r="AM13" s="139" t="n">
        <f aca="false">IFERROR((AK13/AH13)-1,0)</f>
        <v>0</v>
      </c>
      <c r="AN13" s="157" t="n">
        <f aca="false">$D13</f>
        <v>0</v>
      </c>
      <c r="AO13" s="91" t="n">
        <f aca="false">IFERROR(AN13/AN$5,0)</f>
        <v>0</v>
      </c>
      <c r="AP13" s="170"/>
      <c r="AQ13" s="157" t="n">
        <f aca="false">SUMIFS('Dados Mov Financeira'!$N:$N,'Dados Mov Financeira'!$O:$O,'DRE 2024'!$B13,'Dados Mov Financeira'!$A:$A,'DRE 2024'!AQ$1,'Dados Mov Financeira'!$B:$B,'DRE 2024'!AQ$2)</f>
        <v>0</v>
      </c>
      <c r="AR13" s="91" t="n">
        <f aca="false">IFERROR(AQ13/AQ$5,0)</f>
        <v>0</v>
      </c>
      <c r="AS13" s="139" t="n">
        <f aca="false">IFERROR((AQ13/AN13)-1,0)</f>
        <v>0</v>
      </c>
      <c r="AT13" s="157" t="n">
        <f aca="false">$D13</f>
        <v>0</v>
      </c>
      <c r="AU13" s="91" t="n">
        <f aca="false">IFERROR(AT13/AT$5,0)</f>
        <v>0</v>
      </c>
      <c r="AV13" s="170"/>
      <c r="AW13" s="157" t="n">
        <f aca="false">SUMIFS('Dados Mov Financeira'!$N:$N,'Dados Mov Financeira'!$O:$O,'DRE 2024'!$B13,'Dados Mov Financeira'!$A:$A,'DRE 2024'!AW$1,'Dados Mov Financeira'!$B:$B,'DRE 2024'!AW$2)</f>
        <v>0</v>
      </c>
      <c r="AX13" s="91" t="n">
        <f aca="false">IFERROR(AW13/AW$5,0)</f>
        <v>0</v>
      </c>
      <c r="AY13" s="139" t="n">
        <f aca="false">IFERROR((AW13/AT13)-1,0)</f>
        <v>0</v>
      </c>
      <c r="AZ13" s="157" t="n">
        <f aca="false">$D13</f>
        <v>0</v>
      </c>
      <c r="BA13" s="91" t="n">
        <f aca="false">IFERROR(AZ13/AZ$5,0)</f>
        <v>0</v>
      </c>
      <c r="BB13" s="170"/>
      <c r="BC13" s="157" t="n">
        <f aca="false">SUMIFS('Dados Mov Financeira'!$N:$N,'Dados Mov Financeira'!$O:$O,'DRE 2024'!$B13,'Dados Mov Financeira'!$A:$A,'DRE 2024'!BC$1,'Dados Mov Financeira'!$B:$B,'DRE 2024'!BC$2)</f>
        <v>0</v>
      </c>
      <c r="BD13" s="91" t="n">
        <f aca="false">IFERROR(BC13/BC$5,0)</f>
        <v>0</v>
      </c>
      <c r="BE13" s="139" t="n">
        <f aca="false">IFERROR((BC13/AZ13)-1,0)</f>
        <v>0</v>
      </c>
      <c r="BF13" s="157" t="n">
        <f aca="false">$D13</f>
        <v>0</v>
      </c>
      <c r="BG13" s="91" t="n">
        <f aca="false">IFERROR(BF13/BF$5,0)</f>
        <v>0</v>
      </c>
      <c r="BH13" s="170"/>
      <c r="BI13" s="157" t="n">
        <f aca="false">SUMIFS('Dados Mov Financeira'!$N:$N,'Dados Mov Financeira'!$O:$O,'DRE 2024'!$B13,'Dados Mov Financeira'!$A:$A,'DRE 2024'!BI$1,'Dados Mov Financeira'!$B:$B,'DRE 2024'!BI$2)</f>
        <v>0</v>
      </c>
      <c r="BJ13" s="91" t="n">
        <f aca="false">IFERROR(BI13/BI$5,0)</f>
        <v>0</v>
      </c>
      <c r="BK13" s="139" t="n">
        <f aca="false">IFERROR((BI13/BF13)-1,0)</f>
        <v>0</v>
      </c>
      <c r="BL13" s="157" t="n">
        <f aca="false">$D13</f>
        <v>0</v>
      </c>
      <c r="BM13" s="91" t="n">
        <f aca="false">IFERROR(BL13/BL$5,0)</f>
        <v>0</v>
      </c>
      <c r="BN13" s="170"/>
      <c r="BO13" s="173" t="n">
        <f aca="false">SUMIFS('Dados Mov Financeira'!$N:$N,'Dados Mov Financeira'!$O:$O,'DRE 2024'!$B13,'Dados Mov Financeira'!$A:$A,'DRE 2024'!BO$1,'Dados Mov Financeira'!$B:$B,'DRE 2024'!BO$2)</f>
        <v>0</v>
      </c>
      <c r="BP13" s="91" t="n">
        <f aca="false">IFERROR(BO13/BO$5,0)</f>
        <v>0</v>
      </c>
      <c r="BQ13" s="139" t="n">
        <f aca="false">IFERROR((BO13/BL13)-1,0)</f>
        <v>0</v>
      </c>
      <c r="BR13" s="157" t="n">
        <f aca="false">$D13</f>
        <v>0</v>
      </c>
      <c r="BS13" s="91" t="n">
        <f aca="false">IFERROR(BR13/BR$5,0)</f>
        <v>0</v>
      </c>
      <c r="BT13" s="171"/>
      <c r="BU13" s="157" t="n">
        <f aca="false">SUMIFS('Dados Mov Financeira'!$N:$N,'Dados Mov Financeira'!$O:$O,'DRE 2024'!$B13,'Dados Mov Financeira'!$A:$A,'DRE 2024'!BU$1,'Dados Mov Financeira'!$B:$B,'DRE 2024'!BU$2)</f>
        <v>0</v>
      </c>
      <c r="BV13" s="91" t="n">
        <f aca="false">IFERROR(BU13/BU$5,0)</f>
        <v>0</v>
      </c>
      <c r="BW13" s="139" t="n">
        <f aca="false">IFERROR((BU13/BR13)-1,0)</f>
        <v>0</v>
      </c>
      <c r="BX13" s="172" t="n">
        <f aca="false">SUM(D13,J13,P13,V13,AB13,AH13,AN13,AT13,AZ13,BF13,BL13,BR13)</f>
        <v>0</v>
      </c>
      <c r="BY13" s="91" t="n">
        <f aca="false">IFERROR(BX13/BX$5,0)</f>
        <v>0</v>
      </c>
      <c r="BZ13" s="170"/>
      <c r="CA13" s="172" t="n">
        <f aca="false">SUM(G13,M13,S13,Y13,AE13,AK13,AQ13,AW13,BC13,BI13,BO13,BU13)</f>
        <v>0</v>
      </c>
      <c r="CB13" s="91" t="n">
        <f aca="false">IFERROR(CA13/CA$5,0)</f>
        <v>0</v>
      </c>
      <c r="CC13" s="139" t="n">
        <f aca="false">IFERROR((CA13/BX13)-1,0)</f>
        <v>0</v>
      </c>
      <c r="CD13" s="170"/>
      <c r="CE13" s="157" t="n">
        <f aca="false">BX13/$CF$1</f>
        <v>0</v>
      </c>
      <c r="CF13" s="94" t="n">
        <f aca="false">IFERROR(CE13/CE$5,0)</f>
        <v>0</v>
      </c>
      <c r="CG13" s="170"/>
      <c r="CH13" s="157" t="n">
        <f aca="false">CA13/$CI$1</f>
        <v>0</v>
      </c>
      <c r="CI13" s="94" t="n">
        <f aca="false">IFERROR(CH13/CH$5,0)</f>
        <v>0</v>
      </c>
    </row>
    <row r="14" customFormat="false" ht="14.25" hidden="false" customHeight="false" outlineLevel="1" collapsed="false">
      <c r="B14" s="169" t="s">
        <v>43</v>
      </c>
      <c r="C14" s="170"/>
      <c r="D14" s="157" t="n">
        <v>0</v>
      </c>
      <c r="E14" s="91" t="n">
        <f aca="false">IFERROR(D14/D$5,0)</f>
        <v>0</v>
      </c>
      <c r="F14" s="170"/>
      <c r="G14" s="157" t="n">
        <f aca="false">SUMIFS('Dados Mov Financeira'!$N:$N,'Dados Mov Financeira'!$O:$O,'DRE 2024'!$B14,'Dados Mov Financeira'!$A:$A,'DRE 2024'!G$1,'Dados Mov Financeira'!$B:$B,'DRE 2024'!G$2)</f>
        <v>0</v>
      </c>
      <c r="H14" s="91" t="n">
        <f aca="false">IFERROR(G14/G$5,0)</f>
        <v>0</v>
      </c>
      <c r="I14" s="138" t="n">
        <f aca="false">IFERROR((G14/D14)-1,0)</f>
        <v>0</v>
      </c>
      <c r="J14" s="157" t="n">
        <f aca="false">$D14</f>
        <v>0</v>
      </c>
      <c r="K14" s="91" t="n">
        <f aca="false">IFERROR(J14/J$5,0)</f>
        <v>0</v>
      </c>
      <c r="L14" s="170"/>
      <c r="M14" s="157" t="n">
        <f aca="false">SUMIFS('Dados Mov Financeira'!$N:$N,'Dados Mov Financeira'!$O:$O,'DRE 2024'!$B14,'Dados Mov Financeira'!$A:$A,'DRE 2024'!M$1,'Dados Mov Financeira'!$B:$B,'DRE 2024'!M$2)</f>
        <v>0</v>
      </c>
      <c r="N14" s="91" t="n">
        <f aca="false">IFERROR(M14/M$5,0)</f>
        <v>0</v>
      </c>
      <c r="O14" s="139" t="n">
        <f aca="false">IFERROR((M14/J14)-1,0)</f>
        <v>0</v>
      </c>
      <c r="P14" s="157" t="n">
        <f aca="false">$D14</f>
        <v>0</v>
      </c>
      <c r="Q14" s="91" t="n">
        <f aca="false">IFERROR(P14/P$5,0)</f>
        <v>0</v>
      </c>
      <c r="R14" s="170"/>
      <c r="S14" s="157" t="n">
        <f aca="false">SUMIFS('Dados Mov Financeira'!$N:$N,'Dados Mov Financeira'!$O:$O,'DRE 2024'!$B14,'Dados Mov Financeira'!$A:$A,'DRE 2024'!S$1,'Dados Mov Financeira'!$B:$B,'DRE 2024'!S$2)</f>
        <v>0</v>
      </c>
      <c r="T14" s="91" t="n">
        <f aca="false">IFERROR(S14/S$5,0)</f>
        <v>0</v>
      </c>
      <c r="U14" s="139" t="n">
        <f aca="false">IFERROR((S14/P14)-1,0)</f>
        <v>0</v>
      </c>
      <c r="V14" s="157" t="n">
        <f aca="false">$D14</f>
        <v>0</v>
      </c>
      <c r="W14" s="91" t="n">
        <f aca="false">IFERROR(V14/V$5,0)</f>
        <v>0</v>
      </c>
      <c r="X14" s="170"/>
      <c r="Y14" s="157" t="n">
        <f aca="false">SUMIFS('Dados Mov Financeira'!$N:$N,'Dados Mov Financeira'!$O:$O,'DRE 2024'!$B14,'Dados Mov Financeira'!$A:$A,'DRE 2024'!Y$1,'Dados Mov Financeira'!$B:$B,'DRE 2024'!Y$2)</f>
        <v>0</v>
      </c>
      <c r="Z14" s="91" t="n">
        <f aca="false">IFERROR(Y14/Y$5,0)</f>
        <v>0</v>
      </c>
      <c r="AA14" s="139" t="n">
        <f aca="false">IFERROR((Y14/V14)-1,0)</f>
        <v>0</v>
      </c>
      <c r="AB14" s="157" t="n">
        <f aca="false">$D14</f>
        <v>0</v>
      </c>
      <c r="AC14" s="91" t="n">
        <f aca="false">IFERROR(AB14/AB$5,0)</f>
        <v>0</v>
      </c>
      <c r="AD14" s="170"/>
      <c r="AE14" s="157" t="n">
        <f aca="false">SUMIFS('Dados Mov Financeira'!$N:$N,'Dados Mov Financeira'!$O:$O,'DRE 2024'!$B14,'Dados Mov Financeira'!$A:$A,'DRE 2024'!AE$1,'Dados Mov Financeira'!$B:$B,'DRE 2024'!AE$2)</f>
        <v>0</v>
      </c>
      <c r="AF14" s="91" t="n">
        <f aca="false">IFERROR(AE14/AE$5,0)</f>
        <v>0</v>
      </c>
      <c r="AG14" s="139" t="n">
        <f aca="false">IFERROR((AE14/AB14)-1,0)</f>
        <v>0</v>
      </c>
      <c r="AH14" s="157" t="n">
        <f aca="false">$D14</f>
        <v>0</v>
      </c>
      <c r="AI14" s="91" t="n">
        <f aca="false">IFERROR(AH14/AH$5,0)</f>
        <v>0</v>
      </c>
      <c r="AJ14" s="170"/>
      <c r="AK14" s="157" t="n">
        <f aca="false">SUMIFS('Dados Mov Financeira'!$N:$N,'Dados Mov Financeira'!$O:$O,'DRE 2024'!$B14,'Dados Mov Financeira'!$A:$A,'DRE 2024'!AK$1,'Dados Mov Financeira'!$B:$B,'DRE 2024'!AK$2)</f>
        <v>0</v>
      </c>
      <c r="AL14" s="91" t="n">
        <f aca="false">IFERROR(AK14/AK$5,0)</f>
        <v>0</v>
      </c>
      <c r="AM14" s="139" t="n">
        <f aca="false">IFERROR((AK14/AH14)-1,0)</f>
        <v>0</v>
      </c>
      <c r="AN14" s="157" t="n">
        <f aca="false">$D14</f>
        <v>0</v>
      </c>
      <c r="AO14" s="91" t="n">
        <f aca="false">IFERROR(AN14/AN$5,0)</f>
        <v>0</v>
      </c>
      <c r="AP14" s="170"/>
      <c r="AQ14" s="157" t="n">
        <f aca="false">SUMIFS('Dados Mov Financeira'!$N:$N,'Dados Mov Financeira'!$O:$O,'DRE 2024'!$B14,'Dados Mov Financeira'!$A:$A,'DRE 2024'!AQ$1,'Dados Mov Financeira'!$B:$B,'DRE 2024'!AQ$2)</f>
        <v>0</v>
      </c>
      <c r="AR14" s="91" t="n">
        <f aca="false">IFERROR(AQ14/AQ$5,0)</f>
        <v>0</v>
      </c>
      <c r="AS14" s="139" t="n">
        <f aca="false">IFERROR((AQ14/AN14)-1,0)</f>
        <v>0</v>
      </c>
      <c r="AT14" s="157" t="n">
        <f aca="false">$D14</f>
        <v>0</v>
      </c>
      <c r="AU14" s="91" t="n">
        <f aca="false">IFERROR(AT14/AT$5,0)</f>
        <v>0</v>
      </c>
      <c r="AV14" s="170"/>
      <c r="AW14" s="157" t="n">
        <f aca="false">SUMIFS('Dados Mov Financeira'!$N:$N,'Dados Mov Financeira'!$O:$O,'DRE 2024'!$B14,'Dados Mov Financeira'!$A:$A,'DRE 2024'!AW$1,'Dados Mov Financeira'!$B:$B,'DRE 2024'!AW$2)</f>
        <v>0</v>
      </c>
      <c r="AX14" s="91" t="n">
        <f aca="false">IFERROR(AW14/AW$5,0)</f>
        <v>0</v>
      </c>
      <c r="AY14" s="139" t="n">
        <f aca="false">IFERROR((AW14/AT14)-1,0)</f>
        <v>0</v>
      </c>
      <c r="AZ14" s="157" t="n">
        <f aca="false">$D14</f>
        <v>0</v>
      </c>
      <c r="BA14" s="91" t="n">
        <f aca="false">IFERROR(AZ14/AZ$5,0)</f>
        <v>0</v>
      </c>
      <c r="BB14" s="170"/>
      <c r="BC14" s="157" t="n">
        <f aca="false">SUMIFS('Dados Mov Financeira'!$N:$N,'Dados Mov Financeira'!$O:$O,'DRE 2024'!$B14,'Dados Mov Financeira'!$A:$A,'DRE 2024'!BC$1,'Dados Mov Financeira'!$B:$B,'DRE 2024'!BC$2)</f>
        <v>0</v>
      </c>
      <c r="BD14" s="91" t="n">
        <f aca="false">IFERROR(BC14/BC$5,0)</f>
        <v>0</v>
      </c>
      <c r="BE14" s="139" t="n">
        <f aca="false">IFERROR((BC14/AZ14)-1,0)</f>
        <v>0</v>
      </c>
      <c r="BF14" s="157" t="n">
        <f aca="false">$D14</f>
        <v>0</v>
      </c>
      <c r="BG14" s="91" t="n">
        <f aca="false">IFERROR(BF14/BF$5,0)</f>
        <v>0</v>
      </c>
      <c r="BH14" s="170"/>
      <c r="BI14" s="157" t="n">
        <f aca="false">SUMIFS('Dados Mov Financeira'!$N:$N,'Dados Mov Financeira'!$O:$O,'DRE 2024'!$B14,'Dados Mov Financeira'!$A:$A,'DRE 2024'!BI$1,'Dados Mov Financeira'!$B:$B,'DRE 2024'!BI$2)</f>
        <v>0</v>
      </c>
      <c r="BJ14" s="91" t="n">
        <f aca="false">IFERROR(BI14/BI$5,0)</f>
        <v>0</v>
      </c>
      <c r="BK14" s="139" t="n">
        <f aca="false">IFERROR((BI14/BF14)-1,0)</f>
        <v>0</v>
      </c>
      <c r="BL14" s="157" t="n">
        <f aca="false">$D14</f>
        <v>0</v>
      </c>
      <c r="BM14" s="91" t="n">
        <f aca="false">IFERROR(BL14/BL$5,0)</f>
        <v>0</v>
      </c>
      <c r="BN14" s="170"/>
      <c r="BO14" s="157" t="n">
        <f aca="false">SUMIFS('Dados Mov Financeira'!$N:$N,'Dados Mov Financeira'!$O:$O,'DRE 2024'!$B14,'Dados Mov Financeira'!$A:$A,'DRE 2024'!BO$1,'Dados Mov Financeira'!$B:$B,'DRE 2024'!BO$2)</f>
        <v>0</v>
      </c>
      <c r="BP14" s="91" t="n">
        <f aca="false">IFERROR(BO14/BO$5,0)</f>
        <v>0</v>
      </c>
      <c r="BQ14" s="139" t="n">
        <f aca="false">IFERROR((BO14/BL14)-1,0)</f>
        <v>0</v>
      </c>
      <c r="BR14" s="157" t="n">
        <f aca="false">$D14</f>
        <v>0</v>
      </c>
      <c r="BS14" s="91" t="n">
        <f aca="false">IFERROR(BR14/BR$5,0)</f>
        <v>0</v>
      </c>
      <c r="BT14" s="171"/>
      <c r="BU14" s="157" t="n">
        <f aca="false">SUMIFS('Dados Mov Financeira'!$N:$N,'Dados Mov Financeira'!$O:$O,'DRE 2024'!$B14,'Dados Mov Financeira'!$A:$A,'DRE 2024'!BU$1,'Dados Mov Financeira'!$B:$B,'DRE 2024'!BU$2)</f>
        <v>0</v>
      </c>
      <c r="BV14" s="91" t="n">
        <f aca="false">IFERROR(BU14/BU$5,0)</f>
        <v>0</v>
      </c>
      <c r="BW14" s="139" t="n">
        <f aca="false">IFERROR((BU14/BR14)-1,0)</f>
        <v>0</v>
      </c>
      <c r="BX14" s="172" t="n">
        <f aca="false">SUM(D14,J14,P14,V14,AB14,AH14,AN14,AT14,AZ14,BF14,BL14,BR14)</f>
        <v>0</v>
      </c>
      <c r="BY14" s="91" t="n">
        <f aca="false">IFERROR(BX14/BX$5,0)</f>
        <v>0</v>
      </c>
      <c r="BZ14" s="170"/>
      <c r="CA14" s="172" t="n">
        <f aca="false">SUM(G14,M14,S14,Y14,AE14,AK14,AQ14,AW14,BC14,BI14,BO14,BU14)</f>
        <v>0</v>
      </c>
      <c r="CB14" s="91" t="n">
        <f aca="false">IFERROR(CA14/CA$5,0)</f>
        <v>0</v>
      </c>
      <c r="CC14" s="139" t="n">
        <f aca="false">IFERROR((CA14/BX14)-1,0)</f>
        <v>0</v>
      </c>
      <c r="CD14" s="170"/>
      <c r="CE14" s="157" t="n">
        <f aca="false">BX14/$CF$1</f>
        <v>0</v>
      </c>
      <c r="CF14" s="94" t="n">
        <f aca="false">IFERROR(CE14/CE$5,0)</f>
        <v>0</v>
      </c>
      <c r="CG14" s="170"/>
      <c r="CH14" s="157" t="n">
        <f aca="false">CA14/$CI$1</f>
        <v>0</v>
      </c>
      <c r="CI14" s="94" t="n">
        <f aca="false">IFERROR(CH14/CH$5,0)</f>
        <v>0</v>
      </c>
    </row>
    <row r="15" s="150" customFormat="true" ht="14.25" hidden="false" customHeight="false" outlineLevel="0" collapsed="false">
      <c r="B15" s="166" t="s">
        <v>44</v>
      </c>
      <c r="C15" s="167"/>
      <c r="D15" s="157" t="n">
        <f aca="false">SUM(D16:D19)</f>
        <v>-5500</v>
      </c>
      <c r="E15" s="95" t="n">
        <f aca="false">IFERROR(D15/D$5,0)</f>
        <v>-0.06875</v>
      </c>
      <c r="F15" s="167"/>
      <c r="G15" s="157" t="n">
        <f aca="false">SUM(G16:G19)</f>
        <v>0</v>
      </c>
      <c r="H15" s="95" t="n">
        <f aca="false">IFERROR(G15/G$5,0)</f>
        <v>0</v>
      </c>
      <c r="I15" s="138" t="n">
        <f aca="false">IFERROR((G15/D15)-1,0)</f>
        <v>-1</v>
      </c>
      <c r="J15" s="157" t="n">
        <f aca="false">SUM(J16:J19)</f>
        <v>-5800</v>
      </c>
      <c r="K15" s="95" t="n">
        <f aca="false">IFERROR(J15/J$5,0)</f>
        <v>-0.0682352941176471</v>
      </c>
      <c r="L15" s="167"/>
      <c r="M15" s="157" t="n">
        <f aca="false">SUM(M16:M19)</f>
        <v>0</v>
      </c>
      <c r="N15" s="95" t="n">
        <f aca="false">IFERROR(M15/M$5,0)</f>
        <v>0</v>
      </c>
      <c r="O15" s="139" t="n">
        <f aca="false">IFERROR((M15/J15)-1,0)</f>
        <v>-1</v>
      </c>
      <c r="P15" s="157" t="n">
        <f aca="false">SUM(P16:P19)</f>
        <v>-6100</v>
      </c>
      <c r="Q15" s="95" t="n">
        <f aca="false">IFERROR(P15/P$5,0)</f>
        <v>-0.0677777777777778</v>
      </c>
      <c r="R15" s="167"/>
      <c r="S15" s="157" t="n">
        <f aca="false">SUM(S16:S19)</f>
        <v>0</v>
      </c>
      <c r="T15" s="95" t="n">
        <f aca="false">IFERROR(S15/S$5,0)</f>
        <v>0</v>
      </c>
      <c r="U15" s="139" t="n">
        <f aca="false">IFERROR((S15/P15)-1,0)</f>
        <v>-1</v>
      </c>
      <c r="V15" s="157" t="n">
        <f aca="false">SUM(V16:V19)</f>
        <v>-6700</v>
      </c>
      <c r="W15" s="95" t="n">
        <f aca="false">IFERROR(V15/V$5,0)</f>
        <v>-0.067</v>
      </c>
      <c r="X15" s="167"/>
      <c r="Y15" s="157" t="n">
        <f aca="false">SUM(Y16:Y19)</f>
        <v>0</v>
      </c>
      <c r="Z15" s="95" t="n">
        <f aca="false">IFERROR(Y15/Y$5,0)</f>
        <v>0</v>
      </c>
      <c r="AA15" s="139" t="n">
        <f aca="false">IFERROR((Y15/V15)-1,0)</f>
        <v>-1</v>
      </c>
      <c r="AB15" s="157" t="n">
        <f aca="false">SUM(AB16:AB19)</f>
        <v>-7300</v>
      </c>
      <c r="AC15" s="95" t="n">
        <f aca="false">IFERROR(AB15/AB$5,0)</f>
        <v>-0.0663636363636364</v>
      </c>
      <c r="AD15" s="167"/>
      <c r="AE15" s="157" t="n">
        <f aca="false">SUM(AE16:AE19)</f>
        <v>0</v>
      </c>
      <c r="AF15" s="95" t="n">
        <f aca="false">IFERROR(AE15/AE$5,0)</f>
        <v>0</v>
      </c>
      <c r="AG15" s="139" t="n">
        <f aca="false">IFERROR((AE15/AB15)-1,0)</f>
        <v>-1</v>
      </c>
      <c r="AH15" s="157" t="n">
        <f aca="false">SUM(AH16:AH19)</f>
        <v>-7900</v>
      </c>
      <c r="AI15" s="95" t="n">
        <f aca="false">IFERROR(AH15/AH$5,0)</f>
        <v>-0.0658333333333333</v>
      </c>
      <c r="AJ15" s="167"/>
      <c r="AK15" s="157" t="n">
        <f aca="false">SUM(AK16:AK19)</f>
        <v>0</v>
      </c>
      <c r="AL15" s="95" t="n">
        <f aca="false">IFERROR(AK15/AK$5,0)</f>
        <v>0</v>
      </c>
      <c r="AM15" s="139" t="n">
        <f aca="false">IFERROR((AK15/AH15)-1,0)</f>
        <v>-1</v>
      </c>
      <c r="AN15" s="157" t="n">
        <f aca="false">SUM(AN16:AN19)</f>
        <v>-8500</v>
      </c>
      <c r="AO15" s="95" t="n">
        <f aca="false">IFERROR(AN15/AN$5,0)</f>
        <v>-0.0653846153846154</v>
      </c>
      <c r="AP15" s="167"/>
      <c r="AQ15" s="157" t="n">
        <f aca="false">SUM(AQ16:AQ19)</f>
        <v>0</v>
      </c>
      <c r="AR15" s="95" t="n">
        <f aca="false">IFERROR(AQ15/AQ$5,0)</f>
        <v>0</v>
      </c>
      <c r="AS15" s="139" t="n">
        <f aca="false">IFERROR((AQ15/AN15)-1,0)</f>
        <v>-1</v>
      </c>
      <c r="AT15" s="157" t="n">
        <f aca="false">SUM(AT16:AT19)</f>
        <v>-9100</v>
      </c>
      <c r="AU15" s="95" t="n">
        <f aca="false">IFERROR(AT15/AT$5,0)</f>
        <v>-0.065</v>
      </c>
      <c r="AV15" s="167"/>
      <c r="AW15" s="157" t="n">
        <f aca="false">SUM(AW16:AW19)</f>
        <v>0</v>
      </c>
      <c r="AX15" s="95" t="n">
        <f aca="false">IFERROR(AW15/AW$5,0)</f>
        <v>0</v>
      </c>
      <c r="AY15" s="139" t="n">
        <f aca="false">IFERROR((AW15/AT15)-1,0)</f>
        <v>-1</v>
      </c>
      <c r="AZ15" s="157" t="n">
        <f aca="false">SUM(AZ16:AZ19)</f>
        <v>-9700</v>
      </c>
      <c r="BA15" s="95" t="n">
        <f aca="false">IFERROR(AZ15/AZ$5,0)</f>
        <v>-0.0646666666666667</v>
      </c>
      <c r="BB15" s="167"/>
      <c r="BC15" s="157" t="n">
        <f aca="false">SUM(BC16:BC19)</f>
        <v>0</v>
      </c>
      <c r="BD15" s="95" t="n">
        <f aca="false">IFERROR(BC15/BC$5,0)</f>
        <v>0</v>
      </c>
      <c r="BE15" s="139" t="n">
        <f aca="false">IFERROR((BC15/AZ15)-1,0)</f>
        <v>-1</v>
      </c>
      <c r="BF15" s="157" t="n">
        <f aca="false">SUM(BF16:BF19)</f>
        <v>-9700</v>
      </c>
      <c r="BG15" s="95" t="n">
        <f aca="false">IFERROR(BF15/BF$5,0)</f>
        <v>-0.0646666666666667</v>
      </c>
      <c r="BH15" s="167"/>
      <c r="BI15" s="157" t="n">
        <f aca="false">SUM(BI16:BI19)</f>
        <v>0</v>
      </c>
      <c r="BJ15" s="95" t="n">
        <f aca="false">IFERROR(BI15/BI$5,0)</f>
        <v>0</v>
      </c>
      <c r="BK15" s="139" t="n">
        <f aca="false">IFERROR((BI15/BF15)-1,0)</f>
        <v>-1</v>
      </c>
      <c r="BL15" s="157" t="n">
        <f aca="false">SUM(BL16:BL19)</f>
        <v>-9700</v>
      </c>
      <c r="BM15" s="95" t="n">
        <f aca="false">IFERROR(BL15/BL$5,0)</f>
        <v>-0.0646666666666667</v>
      </c>
      <c r="BN15" s="167"/>
      <c r="BO15" s="157" t="n">
        <f aca="false">SUM(BO16:BO19)</f>
        <v>0</v>
      </c>
      <c r="BP15" s="95" t="n">
        <f aca="false">IFERROR(BO15/BO$5,0)</f>
        <v>0</v>
      </c>
      <c r="BQ15" s="139" t="n">
        <f aca="false">IFERROR((BO15/BL15)-1,0)</f>
        <v>-1</v>
      </c>
      <c r="BR15" s="157" t="n">
        <f aca="false">SUM(BR16:BR19)</f>
        <v>-9700</v>
      </c>
      <c r="BS15" s="95" t="n">
        <f aca="false">IFERROR(BR15/BR$5,0)</f>
        <v>-0.0646666666666667</v>
      </c>
      <c r="BT15" s="158"/>
      <c r="BU15" s="157" t="n">
        <f aca="false">SUM(BU16:BU19)</f>
        <v>0</v>
      </c>
      <c r="BV15" s="95" t="n">
        <f aca="false">IFERROR(BU15/BU$5,0)</f>
        <v>0</v>
      </c>
      <c r="BW15" s="139" t="n">
        <f aca="false">IFERROR((BU15/BR15)-1,0)</f>
        <v>-1</v>
      </c>
      <c r="BX15" s="157" t="n">
        <f aca="false">SUM(D15,J15,P15,V15,AB15,AH15,AN15,AT15,AZ15,BF15,BL15,BR15)</f>
        <v>-95700</v>
      </c>
      <c r="BY15" s="88" t="n">
        <f aca="false">IFERROR(BX15/BX$5,0)</f>
        <v>-0.0657731958762887</v>
      </c>
      <c r="BZ15" s="167"/>
      <c r="CA15" s="157" t="n">
        <f aca="false">SUM(G15,M15,S15,Y15,AE15,AK15,AQ15,AW15,BC15,BI15,BO15,BU15)</f>
        <v>0</v>
      </c>
      <c r="CB15" s="88" t="n">
        <f aca="false">IFERROR(CA15/CA$5,0)</f>
        <v>0</v>
      </c>
      <c r="CC15" s="139" t="n">
        <f aca="false">IFERROR((CA15/BX15)-1,0)</f>
        <v>-1</v>
      </c>
      <c r="CD15" s="167"/>
      <c r="CE15" s="157" t="n">
        <f aca="false">BX15/$CF$1</f>
        <v>-7975</v>
      </c>
      <c r="CF15" s="76" t="n">
        <f aca="false">IFERROR(CE15/CE$5,0)</f>
        <v>-0.0657731958762887</v>
      </c>
      <c r="CG15" s="167"/>
      <c r="CH15" s="157" t="n">
        <f aca="false">CA15/$CI$1</f>
        <v>0</v>
      </c>
      <c r="CI15" s="76" t="n">
        <f aca="false">IFERROR(CH15/CH$5,0)</f>
        <v>0</v>
      </c>
    </row>
    <row r="16" customFormat="false" ht="14.25" hidden="false" customHeight="false" outlineLevel="1" collapsed="false">
      <c r="B16" s="169" t="s">
        <v>45</v>
      </c>
      <c r="D16" s="157" t="n">
        <v>0</v>
      </c>
      <c r="E16" s="91" t="n">
        <f aca="false">IFERROR(D16/D$5,0)</f>
        <v>0</v>
      </c>
      <c r="G16" s="157" t="n">
        <f aca="false">SUMIFS('Dados Mov Financeira'!$N:$N,'Dados Mov Financeira'!$O:$O,'DRE 2024'!$B16,'Dados Mov Financeira'!$A:$A,'DRE 2024'!G$1,'Dados Mov Financeira'!$B:$B,'DRE 2024'!G$2)</f>
        <v>0</v>
      </c>
      <c r="H16" s="91" t="n">
        <f aca="false">IFERROR(G16/G$5,0)</f>
        <v>0</v>
      </c>
      <c r="I16" s="138" t="n">
        <f aca="false">IFERROR((G16/D16)-1,0)</f>
        <v>0</v>
      </c>
      <c r="J16" s="157" t="n">
        <f aca="false">$D16</f>
        <v>0</v>
      </c>
      <c r="K16" s="91" t="n">
        <f aca="false">IFERROR(J16/J$5,0)</f>
        <v>0</v>
      </c>
      <c r="M16" s="157" t="n">
        <f aca="false">SUMIFS('Dados Mov Financeira'!$N:$N,'Dados Mov Financeira'!$O:$O,'DRE 2024'!$B16,'Dados Mov Financeira'!$A:$A,'DRE 2024'!M$1,'Dados Mov Financeira'!$B:$B,'DRE 2024'!M$2)</f>
        <v>0</v>
      </c>
      <c r="N16" s="91" t="n">
        <f aca="false">IFERROR(M16/M$5,0)</f>
        <v>0</v>
      </c>
      <c r="O16" s="139" t="n">
        <f aca="false">IFERROR((M16/J16)-1,0)</f>
        <v>0</v>
      </c>
      <c r="P16" s="157" t="n">
        <f aca="false">$D16</f>
        <v>0</v>
      </c>
      <c r="Q16" s="91" t="n">
        <f aca="false">IFERROR(P16/P$5,0)</f>
        <v>0</v>
      </c>
      <c r="S16" s="157" t="n">
        <f aca="false">SUMIFS('Dados Mov Financeira'!$N:$N,'Dados Mov Financeira'!$O:$O,'DRE 2024'!$B16,'Dados Mov Financeira'!$A:$A,'DRE 2024'!S$1,'Dados Mov Financeira'!$B:$B,'DRE 2024'!S$2)</f>
        <v>0</v>
      </c>
      <c r="T16" s="91" t="n">
        <f aca="false">IFERROR(S16/S$5,0)</f>
        <v>0</v>
      </c>
      <c r="U16" s="139" t="n">
        <f aca="false">IFERROR((S16/P16)-1,0)</f>
        <v>0</v>
      </c>
      <c r="V16" s="157" t="n">
        <f aca="false">$D16</f>
        <v>0</v>
      </c>
      <c r="W16" s="91" t="n">
        <f aca="false">IFERROR(V16/V$5,0)</f>
        <v>0</v>
      </c>
      <c r="Y16" s="157" t="n">
        <f aca="false">SUMIFS('Dados Mov Financeira'!$N:$N,'Dados Mov Financeira'!$O:$O,'DRE 2024'!$B16,'Dados Mov Financeira'!$A:$A,'DRE 2024'!Y$1,'Dados Mov Financeira'!$B:$B,'DRE 2024'!Y$2)</f>
        <v>0</v>
      </c>
      <c r="Z16" s="91" t="n">
        <f aca="false">IFERROR(Y16/Y$5,0)</f>
        <v>0</v>
      </c>
      <c r="AA16" s="139" t="n">
        <f aca="false">IFERROR((Y16/V16)-1,0)</f>
        <v>0</v>
      </c>
      <c r="AB16" s="157" t="n">
        <f aca="false">$D16</f>
        <v>0</v>
      </c>
      <c r="AC16" s="91" t="n">
        <f aca="false">IFERROR(AB16/AB$5,0)</f>
        <v>0</v>
      </c>
      <c r="AE16" s="157" t="n">
        <f aca="false">SUMIFS('Dados Mov Financeira'!$N:$N,'Dados Mov Financeira'!$O:$O,'DRE 2024'!$B16,'Dados Mov Financeira'!$A:$A,'DRE 2024'!AE$1,'Dados Mov Financeira'!$B:$B,'DRE 2024'!AE$2)</f>
        <v>0</v>
      </c>
      <c r="AF16" s="91" t="n">
        <f aca="false">IFERROR(AE16/AE$5,0)</f>
        <v>0</v>
      </c>
      <c r="AG16" s="139" t="n">
        <f aca="false">IFERROR((AE16/AB16)-1,0)</f>
        <v>0</v>
      </c>
      <c r="AH16" s="157" t="n">
        <f aca="false">$D16</f>
        <v>0</v>
      </c>
      <c r="AI16" s="91" t="n">
        <f aca="false">IFERROR(AH16/AH$5,0)</f>
        <v>0</v>
      </c>
      <c r="AK16" s="157" t="n">
        <f aca="false">SUMIFS('Dados Mov Financeira'!$N:$N,'Dados Mov Financeira'!$O:$O,'DRE 2024'!$B16,'Dados Mov Financeira'!$A:$A,'DRE 2024'!AK$1,'Dados Mov Financeira'!$B:$B,'DRE 2024'!AK$2)</f>
        <v>0</v>
      </c>
      <c r="AL16" s="91" t="n">
        <f aca="false">IFERROR(AK16/AK$5,0)</f>
        <v>0</v>
      </c>
      <c r="AM16" s="139" t="n">
        <f aca="false">IFERROR((AK16/AH16)-1,0)</f>
        <v>0</v>
      </c>
      <c r="AN16" s="157" t="n">
        <f aca="false">$D16</f>
        <v>0</v>
      </c>
      <c r="AO16" s="91" t="n">
        <f aca="false">IFERROR(AN16/AN$5,0)</f>
        <v>0</v>
      </c>
      <c r="AQ16" s="157" t="n">
        <f aca="false">SUMIFS('Dados Mov Financeira'!$N:$N,'Dados Mov Financeira'!$O:$O,'DRE 2024'!$B16,'Dados Mov Financeira'!$A:$A,'DRE 2024'!AQ$1,'Dados Mov Financeira'!$B:$B,'DRE 2024'!AQ$2)</f>
        <v>0</v>
      </c>
      <c r="AR16" s="91" t="n">
        <f aca="false">IFERROR(AQ16/AQ$5,0)</f>
        <v>0</v>
      </c>
      <c r="AS16" s="139" t="n">
        <f aca="false">IFERROR((AQ16/AN16)-1,0)</f>
        <v>0</v>
      </c>
      <c r="AT16" s="157" t="n">
        <f aca="false">$D16</f>
        <v>0</v>
      </c>
      <c r="AU16" s="91" t="n">
        <f aca="false">IFERROR(AT16/AT$5,0)</f>
        <v>0</v>
      </c>
      <c r="AW16" s="157" t="n">
        <f aca="false">SUMIFS('Dados Mov Financeira'!$N:$N,'Dados Mov Financeira'!$O:$O,'DRE 2024'!$B16,'Dados Mov Financeira'!$A:$A,'DRE 2024'!AW$1,'Dados Mov Financeira'!$B:$B,'DRE 2024'!AW$2)</f>
        <v>0</v>
      </c>
      <c r="AX16" s="91" t="n">
        <f aca="false">IFERROR(AW16/AW$5,0)</f>
        <v>0</v>
      </c>
      <c r="AY16" s="139" t="n">
        <f aca="false">IFERROR((AW16/AT16)-1,0)</f>
        <v>0</v>
      </c>
      <c r="AZ16" s="157" t="n">
        <f aca="false">$D16</f>
        <v>0</v>
      </c>
      <c r="BA16" s="91" t="n">
        <f aca="false">IFERROR(AZ16/AZ$5,0)</f>
        <v>0</v>
      </c>
      <c r="BC16" s="157" t="n">
        <f aca="false">SUMIFS('Dados Mov Financeira'!$N:$N,'Dados Mov Financeira'!$O:$O,'DRE 2024'!$B16,'Dados Mov Financeira'!$A:$A,'DRE 2024'!BC$1,'Dados Mov Financeira'!$B:$B,'DRE 2024'!BC$2)</f>
        <v>0</v>
      </c>
      <c r="BD16" s="91" t="n">
        <f aca="false">IFERROR(BC16/BC$5,0)</f>
        <v>0</v>
      </c>
      <c r="BE16" s="139" t="n">
        <f aca="false">IFERROR((BC16/AZ16)-1,0)</f>
        <v>0</v>
      </c>
      <c r="BF16" s="157" t="n">
        <f aca="false">$D16</f>
        <v>0</v>
      </c>
      <c r="BG16" s="91" t="n">
        <f aca="false">IFERROR(BF16/BF$5,0)</f>
        <v>0</v>
      </c>
      <c r="BI16" s="157" t="n">
        <f aca="false">SUMIFS('Dados Mov Financeira'!$N:$N,'Dados Mov Financeira'!$O:$O,'DRE 2024'!$B16,'Dados Mov Financeira'!$A:$A,'DRE 2024'!BI$1,'Dados Mov Financeira'!$B:$B,'DRE 2024'!BI$2)</f>
        <v>0</v>
      </c>
      <c r="BJ16" s="91" t="n">
        <f aca="false">IFERROR(BI16/BI$5,0)</f>
        <v>0</v>
      </c>
      <c r="BK16" s="139" t="n">
        <f aca="false">IFERROR((BI16/BF16)-1,0)</f>
        <v>0</v>
      </c>
      <c r="BL16" s="157" t="n">
        <f aca="false">$D16</f>
        <v>0</v>
      </c>
      <c r="BM16" s="91" t="n">
        <f aca="false">IFERROR(BL16/BL$5,0)</f>
        <v>0</v>
      </c>
      <c r="BO16" s="157" t="n">
        <f aca="false">SUMIFS('Dados Mov Financeira'!$N:$N,'Dados Mov Financeira'!$O:$O,'DRE 2024'!$B16,'Dados Mov Financeira'!$A:$A,'DRE 2024'!BO$1,'Dados Mov Financeira'!$B:$B,'DRE 2024'!BO$2)</f>
        <v>0</v>
      </c>
      <c r="BP16" s="91" t="n">
        <f aca="false">IFERROR(BO16/BO$5,0)</f>
        <v>0</v>
      </c>
      <c r="BQ16" s="139" t="n">
        <f aca="false">IFERROR((BO16/BL16)-1,0)</f>
        <v>0</v>
      </c>
      <c r="BR16" s="157" t="n">
        <f aca="false">$D16</f>
        <v>0</v>
      </c>
      <c r="BS16" s="91" t="n">
        <f aca="false">IFERROR(BR16/BR$5,0)</f>
        <v>0</v>
      </c>
      <c r="BT16" s="171"/>
      <c r="BU16" s="157" t="n">
        <f aca="false">SUMIFS('Dados Mov Financeira'!$N:$N,'Dados Mov Financeira'!$O:$O,'DRE 2024'!$B16,'Dados Mov Financeira'!$A:$A,'DRE 2024'!BU$1,'Dados Mov Financeira'!$B:$B,'DRE 2024'!BU$2)</f>
        <v>0</v>
      </c>
      <c r="BV16" s="91" t="n">
        <f aca="false">IFERROR(BU16/BU$5,0)</f>
        <v>0</v>
      </c>
      <c r="BW16" s="139" t="n">
        <f aca="false">IFERROR((BU16/BR16)-1,0)</f>
        <v>0</v>
      </c>
      <c r="BX16" s="172" t="n">
        <f aca="false">SUM(D16,J16,P16,V16,AB16,AH16,AN16,AT16,AZ16,BF16,BL16,BR16)</f>
        <v>0</v>
      </c>
      <c r="BY16" s="91" t="n">
        <f aca="false">IFERROR(BX16/BX$5,0)</f>
        <v>0</v>
      </c>
      <c r="CA16" s="172" t="n">
        <f aca="false">SUM(G16,M16,S16,Y16,AE16,AK16,AQ16,AW16,BC16,BI16,BO16,BU16)</f>
        <v>0</v>
      </c>
      <c r="CB16" s="91" t="n">
        <f aca="false">IFERROR(CA16/CA$5,0)</f>
        <v>0</v>
      </c>
      <c r="CC16" s="139" t="n">
        <f aca="false">IFERROR((CA16/BX16)-1,0)</f>
        <v>0</v>
      </c>
      <c r="CE16" s="174" t="n">
        <f aca="false">BX16/$CF$1</f>
        <v>0</v>
      </c>
      <c r="CF16" s="94" t="n">
        <f aca="false">IFERROR(CE16/CE$5,0)</f>
        <v>0</v>
      </c>
      <c r="CH16" s="174" t="n">
        <f aca="false">CA16/$CI$1</f>
        <v>0</v>
      </c>
      <c r="CI16" s="94" t="n">
        <f aca="false">IFERROR(CH16/CH$5,0)</f>
        <v>0</v>
      </c>
    </row>
    <row r="17" customFormat="false" ht="14.25" hidden="false" customHeight="false" outlineLevel="1" collapsed="false">
      <c r="B17" s="175" t="s">
        <v>46</v>
      </c>
      <c r="C17" s="172"/>
      <c r="D17" s="157" t="n">
        <v>0</v>
      </c>
      <c r="E17" s="91" t="n">
        <f aca="false">IFERROR(D17/D$5,0)</f>
        <v>0</v>
      </c>
      <c r="F17" s="176"/>
      <c r="G17" s="157" t="n">
        <f aca="false">SUMIFS('Dados Mov Financeira'!$N:$N,'Dados Mov Financeira'!$O:$O,'DRE 2024'!$B17,'Dados Mov Financeira'!$A:$A,'DRE 2024'!G$1,'Dados Mov Financeira'!$B:$B,'DRE 2024'!G$2)</f>
        <v>0</v>
      </c>
      <c r="H17" s="91" t="n">
        <f aca="false">IFERROR(G17/G$5,0)</f>
        <v>0</v>
      </c>
      <c r="I17" s="138" t="n">
        <f aca="false">IFERROR((G17/D17)-1,0)</f>
        <v>0</v>
      </c>
      <c r="J17" s="157" t="n">
        <f aca="false">$D17</f>
        <v>0</v>
      </c>
      <c r="K17" s="91" t="n">
        <f aca="false">IFERROR(J17/J$5,0)</f>
        <v>0</v>
      </c>
      <c r="L17" s="176"/>
      <c r="M17" s="157" t="n">
        <f aca="false">SUMIFS('Dados Mov Financeira'!$N:$N,'Dados Mov Financeira'!$O:$O,'DRE 2024'!$B17,'Dados Mov Financeira'!$A:$A,'DRE 2024'!M$1,'Dados Mov Financeira'!$B:$B,'DRE 2024'!M$2)</f>
        <v>0</v>
      </c>
      <c r="N17" s="91" t="n">
        <f aca="false">IFERROR(M17/M$5,0)</f>
        <v>0</v>
      </c>
      <c r="O17" s="139" t="n">
        <f aca="false">IFERROR((M17/J17)-1,0)</f>
        <v>0</v>
      </c>
      <c r="P17" s="157" t="n">
        <f aca="false">$D17</f>
        <v>0</v>
      </c>
      <c r="Q17" s="91" t="n">
        <f aca="false">IFERROR(P17/P$5,0)</f>
        <v>0</v>
      </c>
      <c r="R17" s="176"/>
      <c r="S17" s="157" t="n">
        <f aca="false">SUMIFS('Dados Mov Financeira'!$N:$N,'Dados Mov Financeira'!$O:$O,'DRE 2024'!$B17,'Dados Mov Financeira'!$A:$A,'DRE 2024'!S$1,'Dados Mov Financeira'!$B:$B,'DRE 2024'!S$2)</f>
        <v>0</v>
      </c>
      <c r="T17" s="91" t="n">
        <f aca="false">IFERROR(S17/S$5,0)</f>
        <v>0</v>
      </c>
      <c r="U17" s="139" t="n">
        <f aca="false">IFERROR((S17/P17)-1,0)</f>
        <v>0</v>
      </c>
      <c r="V17" s="157" t="n">
        <f aca="false">$D17</f>
        <v>0</v>
      </c>
      <c r="W17" s="91" t="n">
        <f aca="false">IFERROR(V17/V$5,0)</f>
        <v>0</v>
      </c>
      <c r="X17" s="176"/>
      <c r="Y17" s="157" t="n">
        <f aca="false">SUMIFS('Dados Mov Financeira'!$N:$N,'Dados Mov Financeira'!$O:$O,'DRE 2024'!$B17,'Dados Mov Financeira'!$A:$A,'DRE 2024'!Y$1,'Dados Mov Financeira'!$B:$B,'DRE 2024'!Y$2)</f>
        <v>0</v>
      </c>
      <c r="Z17" s="91" t="n">
        <f aca="false">IFERROR(Y17/Y$5,0)</f>
        <v>0</v>
      </c>
      <c r="AA17" s="139" t="n">
        <f aca="false">IFERROR((Y17/V17)-1,0)</f>
        <v>0</v>
      </c>
      <c r="AB17" s="157" t="n">
        <f aca="false">$D17</f>
        <v>0</v>
      </c>
      <c r="AC17" s="91" t="n">
        <f aca="false">IFERROR(AB17/AB$5,0)</f>
        <v>0</v>
      </c>
      <c r="AD17" s="176"/>
      <c r="AE17" s="157" t="n">
        <f aca="false">SUMIFS('Dados Mov Financeira'!$N:$N,'Dados Mov Financeira'!$O:$O,'DRE 2024'!$B17,'Dados Mov Financeira'!$A:$A,'DRE 2024'!AE$1,'Dados Mov Financeira'!$B:$B,'DRE 2024'!AE$2)</f>
        <v>0</v>
      </c>
      <c r="AF17" s="91" t="n">
        <f aca="false">IFERROR(AE17/AE$5,0)</f>
        <v>0</v>
      </c>
      <c r="AG17" s="139" t="n">
        <f aca="false">IFERROR((AE17/AB17)-1,0)</f>
        <v>0</v>
      </c>
      <c r="AH17" s="157" t="n">
        <f aca="false">$D17</f>
        <v>0</v>
      </c>
      <c r="AI17" s="91" t="n">
        <f aca="false">IFERROR(AH17/AH$5,0)</f>
        <v>0</v>
      </c>
      <c r="AJ17" s="176"/>
      <c r="AK17" s="157" t="n">
        <f aca="false">SUMIFS('Dados Mov Financeira'!$N:$N,'Dados Mov Financeira'!$O:$O,'DRE 2024'!$B17,'Dados Mov Financeira'!$A:$A,'DRE 2024'!AK$1,'Dados Mov Financeira'!$B:$B,'DRE 2024'!AK$2)</f>
        <v>0</v>
      </c>
      <c r="AL17" s="91" t="n">
        <f aca="false">IFERROR(AK17/AK$5,0)</f>
        <v>0</v>
      </c>
      <c r="AM17" s="139" t="n">
        <f aca="false">IFERROR((AK17/AH17)-1,0)</f>
        <v>0</v>
      </c>
      <c r="AN17" s="157" t="n">
        <f aca="false">$D17</f>
        <v>0</v>
      </c>
      <c r="AO17" s="91" t="n">
        <f aca="false">IFERROR(AN17/AN$5,0)</f>
        <v>0</v>
      </c>
      <c r="AP17" s="176"/>
      <c r="AQ17" s="157" t="n">
        <f aca="false">SUMIFS('Dados Mov Financeira'!$N:$N,'Dados Mov Financeira'!$O:$O,'DRE 2024'!$B17,'Dados Mov Financeira'!$A:$A,'DRE 2024'!AQ$1,'Dados Mov Financeira'!$B:$B,'DRE 2024'!AQ$2)</f>
        <v>0</v>
      </c>
      <c r="AR17" s="91" t="n">
        <f aca="false">IFERROR(AQ17/AQ$5,0)</f>
        <v>0</v>
      </c>
      <c r="AS17" s="139" t="n">
        <f aca="false">IFERROR((AQ17/AN17)-1,0)</f>
        <v>0</v>
      </c>
      <c r="AT17" s="157" t="n">
        <f aca="false">$D17</f>
        <v>0</v>
      </c>
      <c r="AU17" s="91" t="n">
        <f aca="false">IFERROR(AT17/AT$5,0)</f>
        <v>0</v>
      </c>
      <c r="AV17" s="176"/>
      <c r="AW17" s="157" t="n">
        <f aca="false">SUMIFS('Dados Mov Financeira'!$N:$N,'Dados Mov Financeira'!$O:$O,'DRE 2024'!$B17,'Dados Mov Financeira'!$A:$A,'DRE 2024'!AW$1,'Dados Mov Financeira'!$B:$B,'DRE 2024'!AW$2)</f>
        <v>0</v>
      </c>
      <c r="AX17" s="91" t="n">
        <f aca="false">IFERROR(AW17/AW$5,0)</f>
        <v>0</v>
      </c>
      <c r="AY17" s="139" t="n">
        <f aca="false">IFERROR((AW17/AT17)-1,0)</f>
        <v>0</v>
      </c>
      <c r="AZ17" s="157" t="n">
        <f aca="false">$D17</f>
        <v>0</v>
      </c>
      <c r="BA17" s="91" t="n">
        <f aca="false">IFERROR(AZ17/AZ$5,0)</f>
        <v>0</v>
      </c>
      <c r="BB17" s="176"/>
      <c r="BC17" s="157" t="n">
        <f aca="false">SUMIFS('Dados Mov Financeira'!$N:$N,'Dados Mov Financeira'!$O:$O,'DRE 2024'!$B17,'Dados Mov Financeira'!$A:$A,'DRE 2024'!BC$1,'Dados Mov Financeira'!$B:$B,'DRE 2024'!BC$2)</f>
        <v>0</v>
      </c>
      <c r="BD17" s="91" t="n">
        <f aca="false">IFERROR(BC17/BC$5,0)</f>
        <v>0</v>
      </c>
      <c r="BE17" s="139" t="n">
        <f aca="false">IFERROR((BC17/AZ17)-1,0)</f>
        <v>0</v>
      </c>
      <c r="BF17" s="157" t="n">
        <f aca="false">$D17</f>
        <v>0</v>
      </c>
      <c r="BG17" s="91" t="n">
        <f aca="false">IFERROR(BF17/BF$5,0)</f>
        <v>0</v>
      </c>
      <c r="BH17" s="176"/>
      <c r="BI17" s="157" t="n">
        <f aca="false">SUMIFS('Dados Mov Financeira'!$N:$N,'Dados Mov Financeira'!$O:$O,'DRE 2024'!$B17,'Dados Mov Financeira'!$A:$A,'DRE 2024'!BI$1,'Dados Mov Financeira'!$B:$B,'DRE 2024'!BI$2)</f>
        <v>0</v>
      </c>
      <c r="BJ17" s="91" t="n">
        <f aca="false">IFERROR(BI17/BI$5,0)</f>
        <v>0</v>
      </c>
      <c r="BK17" s="139" t="n">
        <f aca="false">IFERROR((BI17/BF17)-1,0)</f>
        <v>0</v>
      </c>
      <c r="BL17" s="157" t="n">
        <f aca="false">$D17</f>
        <v>0</v>
      </c>
      <c r="BM17" s="91" t="n">
        <f aca="false">IFERROR(BL17/BL$5,0)</f>
        <v>0</v>
      </c>
      <c r="BN17" s="176"/>
      <c r="BO17" s="157" t="n">
        <f aca="false">SUMIFS('Dados Mov Financeira'!$N:$N,'Dados Mov Financeira'!$O:$O,'DRE 2024'!$B17,'Dados Mov Financeira'!$A:$A,'DRE 2024'!BO$1,'Dados Mov Financeira'!$B:$B,'DRE 2024'!BO$2)</f>
        <v>0</v>
      </c>
      <c r="BP17" s="91" t="n">
        <f aca="false">IFERROR(BO17/BO$5,0)</f>
        <v>0</v>
      </c>
      <c r="BQ17" s="139" t="n">
        <f aca="false">IFERROR((BO17/BL17)-1,0)</f>
        <v>0</v>
      </c>
      <c r="BR17" s="157" t="n">
        <f aca="false">$D17</f>
        <v>0</v>
      </c>
      <c r="BS17" s="91" t="n">
        <f aca="false">IFERROR(BR17/BR$5,0)</f>
        <v>0</v>
      </c>
      <c r="BT17" s="171"/>
      <c r="BU17" s="157" t="n">
        <f aca="false">SUMIFS('Dados Mov Financeira'!$N:$N,'Dados Mov Financeira'!$O:$O,'DRE 2024'!$B17,'Dados Mov Financeira'!$A:$A,'DRE 2024'!BU$1,'Dados Mov Financeira'!$B:$B,'DRE 2024'!BU$2)</f>
        <v>0</v>
      </c>
      <c r="BV17" s="91" t="n">
        <f aca="false">IFERROR(BU17/BU$5,0)</f>
        <v>0</v>
      </c>
      <c r="BW17" s="139" t="n">
        <f aca="false">IFERROR((BU17/BR17)-1,0)</f>
        <v>0</v>
      </c>
      <c r="BX17" s="172" t="n">
        <f aca="false">SUM(D17,J17,P17,V17,AB17,AH17,AN17,AT17,AZ17,BF17,BL17,BR17)</f>
        <v>0</v>
      </c>
      <c r="BY17" s="91" t="n">
        <f aca="false">IFERROR(BX17/BX$5,0)</f>
        <v>0</v>
      </c>
      <c r="BZ17" s="176"/>
      <c r="CA17" s="172" t="n">
        <f aca="false">SUM(G17,M17,S17,Y17,AE17,AK17,AQ17,AW17,BC17,BI17,BO17,BU17)</f>
        <v>0</v>
      </c>
      <c r="CB17" s="91" t="n">
        <f aca="false">IFERROR(CA17/CA$5,0)</f>
        <v>0</v>
      </c>
      <c r="CC17" s="139" t="n">
        <f aca="false">IFERROR((CA17/BX17)-1,0)</f>
        <v>0</v>
      </c>
      <c r="CD17" s="176"/>
      <c r="CE17" s="174" t="n">
        <f aca="false">BX17/$CF$1</f>
        <v>0</v>
      </c>
      <c r="CF17" s="94" t="n">
        <f aca="false">IFERROR(CE17/CE$5,0)</f>
        <v>0</v>
      </c>
      <c r="CG17" s="176"/>
      <c r="CH17" s="174" t="n">
        <f aca="false">CA17/$CI$1</f>
        <v>0</v>
      </c>
      <c r="CI17" s="94" t="n">
        <f aca="false">IFERROR(CH17/CH$5,0)</f>
        <v>0</v>
      </c>
    </row>
    <row r="18" customFormat="false" ht="14.25" hidden="false" customHeight="false" outlineLevel="1" collapsed="false">
      <c r="B18" s="175" t="s">
        <v>47</v>
      </c>
      <c r="C18" s="172"/>
      <c r="D18" s="157" t="n">
        <f aca="false">D$6*E$18</f>
        <v>-4800</v>
      </c>
      <c r="E18" s="91" t="n">
        <v>-0.06</v>
      </c>
      <c r="F18" s="176"/>
      <c r="G18" s="157" t="n">
        <f aca="false">SUMIFS('Dados Mov Financeira'!$N:$N,'Dados Mov Financeira'!$O:$O,'DRE 2024'!$B18,'Dados Mov Financeira'!$A:$A,'DRE 2024'!G$1,'Dados Mov Financeira'!$B:$B,'DRE 2024'!G$2)</f>
        <v>0</v>
      </c>
      <c r="H18" s="91" t="n">
        <f aca="false">IFERROR(G18/G$5,0)</f>
        <v>0</v>
      </c>
      <c r="I18" s="138" t="n">
        <f aca="false">IFERROR((G18/D18)-1,0)</f>
        <v>-1</v>
      </c>
      <c r="J18" s="157" t="n">
        <f aca="false">J$6*K$18</f>
        <v>-5100</v>
      </c>
      <c r="K18" s="91" t="n">
        <v>-0.06</v>
      </c>
      <c r="L18" s="176"/>
      <c r="M18" s="157" t="n">
        <f aca="false">SUMIFS('Dados Mov Financeira'!$N:$N,'Dados Mov Financeira'!$O:$O,'DRE 2024'!$B18,'Dados Mov Financeira'!$A:$A,'DRE 2024'!M$1,'Dados Mov Financeira'!$B:$B,'DRE 2024'!M$2)</f>
        <v>0</v>
      </c>
      <c r="N18" s="91" t="n">
        <f aca="false">IFERROR(M18/M$5,0)</f>
        <v>0</v>
      </c>
      <c r="O18" s="139" t="n">
        <f aca="false">IFERROR((M18/J18)-1,0)</f>
        <v>-1</v>
      </c>
      <c r="P18" s="157" t="n">
        <f aca="false">P$6*Q$18</f>
        <v>-5400</v>
      </c>
      <c r="Q18" s="91" t="n">
        <v>-0.06</v>
      </c>
      <c r="R18" s="176"/>
      <c r="S18" s="157" t="n">
        <f aca="false">SUMIFS('Dados Mov Financeira'!$N:$N,'Dados Mov Financeira'!$O:$O,'DRE 2024'!$B18,'Dados Mov Financeira'!$A:$A,'DRE 2024'!S$1,'Dados Mov Financeira'!$B:$B,'DRE 2024'!S$2)</f>
        <v>0</v>
      </c>
      <c r="T18" s="91" t="n">
        <f aca="false">IFERROR(S18/S$5,0)</f>
        <v>0</v>
      </c>
      <c r="U18" s="139" t="n">
        <f aca="false">IFERROR((S18/P18)-1,0)</f>
        <v>-1</v>
      </c>
      <c r="V18" s="157" t="n">
        <f aca="false">V$6*W$18</f>
        <v>-6000</v>
      </c>
      <c r="W18" s="91" t="n">
        <v>-0.06</v>
      </c>
      <c r="X18" s="176"/>
      <c r="Y18" s="157" t="n">
        <f aca="false">SUMIFS('Dados Mov Financeira'!$N:$N,'Dados Mov Financeira'!$O:$O,'DRE 2024'!$B18,'Dados Mov Financeira'!$A:$A,'DRE 2024'!Y$1,'Dados Mov Financeira'!$B:$B,'DRE 2024'!Y$2)</f>
        <v>0</v>
      </c>
      <c r="Z18" s="91" t="n">
        <f aca="false">IFERROR(Y18/Y$5,0)</f>
        <v>0</v>
      </c>
      <c r="AA18" s="139" t="n">
        <f aca="false">IFERROR((Y18/V18)-1,0)</f>
        <v>-1</v>
      </c>
      <c r="AB18" s="157" t="n">
        <f aca="false">AB$6*AC$18</f>
        <v>-6600</v>
      </c>
      <c r="AC18" s="91" t="n">
        <v>-0.06</v>
      </c>
      <c r="AD18" s="176"/>
      <c r="AE18" s="157" t="n">
        <f aca="false">SUMIFS('Dados Mov Financeira'!$N:$N,'Dados Mov Financeira'!$O:$O,'DRE 2024'!$B18,'Dados Mov Financeira'!$A:$A,'DRE 2024'!AE$1,'Dados Mov Financeira'!$B:$B,'DRE 2024'!AE$2)</f>
        <v>0</v>
      </c>
      <c r="AF18" s="91" t="n">
        <f aca="false">IFERROR(AE18/AE$5,0)</f>
        <v>0</v>
      </c>
      <c r="AG18" s="139" t="n">
        <f aca="false">IFERROR((AE18/AB18)-1,0)</f>
        <v>-1</v>
      </c>
      <c r="AH18" s="157" t="n">
        <f aca="false">AH$6*AI$18</f>
        <v>-7200</v>
      </c>
      <c r="AI18" s="91" t="n">
        <v>-0.06</v>
      </c>
      <c r="AJ18" s="176"/>
      <c r="AK18" s="172" t="n">
        <f aca="false">SUMIFS('Dados Mov Financeira'!$N:$N,'Dados Mov Financeira'!$O:$O,'DRE 2024'!$B18,'Dados Mov Financeira'!$A:$A,'DRE 2024'!AK$1,'Dados Mov Financeira'!$B:$B,'DRE 2024'!AK$2)</f>
        <v>0</v>
      </c>
      <c r="AL18" s="91" t="n">
        <f aca="false">IFERROR(AK18/AK$5,0)</f>
        <v>0</v>
      </c>
      <c r="AM18" s="139" t="n">
        <f aca="false">IFERROR((AK18/AH18)-1,0)</f>
        <v>-1</v>
      </c>
      <c r="AN18" s="157" t="n">
        <f aca="false">AN$6*AO$18</f>
        <v>-7800</v>
      </c>
      <c r="AO18" s="91" t="n">
        <v>-0.06</v>
      </c>
      <c r="AP18" s="176"/>
      <c r="AQ18" s="157" t="n">
        <f aca="false">SUMIFS('Dados Mov Financeira'!$N:$N,'Dados Mov Financeira'!$O:$O,'DRE 2024'!$B18,'Dados Mov Financeira'!$A:$A,'DRE 2024'!AQ$1,'Dados Mov Financeira'!$B:$B,'DRE 2024'!AQ$2)</f>
        <v>0</v>
      </c>
      <c r="AR18" s="91" t="n">
        <f aca="false">IFERROR(AQ18/AQ$5,0)</f>
        <v>0</v>
      </c>
      <c r="AS18" s="139" t="n">
        <f aca="false">IFERROR((AQ18/AN18)-1,0)</f>
        <v>-1</v>
      </c>
      <c r="AT18" s="157" t="n">
        <f aca="false">AT$6*AU$18</f>
        <v>-8400</v>
      </c>
      <c r="AU18" s="91" t="n">
        <v>-0.06</v>
      </c>
      <c r="AV18" s="176"/>
      <c r="AW18" s="157" t="n">
        <f aca="false">SUMIFS('Dados Mov Financeira'!$N:$N,'Dados Mov Financeira'!$O:$O,'DRE 2024'!$B18,'Dados Mov Financeira'!$A:$A,'DRE 2024'!AW$1,'Dados Mov Financeira'!$B:$B,'DRE 2024'!AW$2)</f>
        <v>0</v>
      </c>
      <c r="AX18" s="91" t="n">
        <f aca="false">IFERROR(AW18/AW$5,0)</f>
        <v>0</v>
      </c>
      <c r="AY18" s="139" t="n">
        <f aca="false">IFERROR((AW18/AT18)-1,0)</f>
        <v>-1</v>
      </c>
      <c r="AZ18" s="157" t="n">
        <f aca="false">AZ$6*BA$18</f>
        <v>-9000</v>
      </c>
      <c r="BA18" s="91" t="n">
        <v>-0.06</v>
      </c>
      <c r="BB18" s="176"/>
      <c r="BC18" s="157" t="n">
        <f aca="false">SUMIFS('Dados Mov Financeira'!$N:$N,'Dados Mov Financeira'!$O:$O,'DRE 2024'!$B18,'Dados Mov Financeira'!$A:$A,'DRE 2024'!BC$1,'Dados Mov Financeira'!$B:$B,'DRE 2024'!BC$2)</f>
        <v>0</v>
      </c>
      <c r="BD18" s="91" t="n">
        <f aca="false">IFERROR(BC18/BC$5,0)</f>
        <v>0</v>
      </c>
      <c r="BE18" s="139" t="n">
        <f aca="false">IFERROR((BC18/AZ18)-1,0)</f>
        <v>-1</v>
      </c>
      <c r="BF18" s="157" t="n">
        <f aca="false">BF$6*BG$18</f>
        <v>-9000</v>
      </c>
      <c r="BG18" s="91" t="n">
        <v>-0.06</v>
      </c>
      <c r="BH18" s="176"/>
      <c r="BI18" s="157" t="n">
        <f aca="false">SUMIFS('Dados Mov Financeira'!$N:$N,'Dados Mov Financeira'!$O:$O,'DRE 2024'!$B18,'Dados Mov Financeira'!$A:$A,'DRE 2024'!BI$1,'Dados Mov Financeira'!$B:$B,'DRE 2024'!BI$2)</f>
        <v>0</v>
      </c>
      <c r="BJ18" s="91" t="n">
        <f aca="false">IFERROR(BI18/BI$5,0)</f>
        <v>0</v>
      </c>
      <c r="BK18" s="139" t="n">
        <f aca="false">IFERROR((BI18/BF18)-1,0)</f>
        <v>-1</v>
      </c>
      <c r="BL18" s="157" t="n">
        <f aca="false">BL$6*BM$18</f>
        <v>-9000</v>
      </c>
      <c r="BM18" s="91" t="n">
        <v>-0.06</v>
      </c>
      <c r="BN18" s="176"/>
      <c r="BO18" s="157" t="n">
        <f aca="false">SUMIFS('Dados Mov Financeira'!$N:$N,'Dados Mov Financeira'!$O:$O,'DRE 2024'!$B18,'Dados Mov Financeira'!$A:$A,'DRE 2024'!BO$1,'Dados Mov Financeira'!$B:$B,'DRE 2024'!BO$2)</f>
        <v>0</v>
      </c>
      <c r="BP18" s="91" t="n">
        <f aca="false">IFERROR(BO18/BO$5,0)</f>
        <v>0</v>
      </c>
      <c r="BQ18" s="139" t="n">
        <f aca="false">IFERROR((BO18/BL18)-1,0)</f>
        <v>-1</v>
      </c>
      <c r="BR18" s="157" t="n">
        <f aca="false">BR$6*BS$18</f>
        <v>-9000</v>
      </c>
      <c r="BS18" s="91" t="n">
        <v>-0.06</v>
      </c>
      <c r="BT18" s="171"/>
      <c r="BU18" s="157" t="n">
        <f aca="false">SUMIFS('Dados Mov Financeira'!$N:$N,'Dados Mov Financeira'!$O:$O,'DRE 2024'!$B18,'Dados Mov Financeira'!$A:$A,'DRE 2024'!BU$1,'Dados Mov Financeira'!$B:$B,'DRE 2024'!BU$2)</f>
        <v>0</v>
      </c>
      <c r="BV18" s="91" t="n">
        <f aca="false">IFERROR(BU18/BU$5,0)</f>
        <v>0</v>
      </c>
      <c r="BW18" s="139" t="n">
        <f aca="false">IFERROR((BU18/BR18)-1,0)</f>
        <v>-1</v>
      </c>
      <c r="BX18" s="172" t="n">
        <f aca="false">SUM(D18,J18,P18,V18,AB18,AH18,AN18,AT18,AZ18,BF18,BL18,BR18)</f>
        <v>-87300</v>
      </c>
      <c r="BY18" s="91" t="n">
        <f aca="false">IFERROR(BX18/BX$5,0)</f>
        <v>-0.06</v>
      </c>
      <c r="BZ18" s="176"/>
      <c r="CA18" s="172" t="n">
        <f aca="false">SUM(G18,M18,S18,Y18,AE18,AK18,AQ18,AW18,BC18,BI18,BO18,BU18)</f>
        <v>0</v>
      </c>
      <c r="CB18" s="91" t="n">
        <f aca="false">IFERROR(CA18/CA$5,0)</f>
        <v>0</v>
      </c>
      <c r="CC18" s="139" t="n">
        <f aca="false">IFERROR((CA18/BX18)-1,0)</f>
        <v>-1</v>
      </c>
      <c r="CD18" s="176"/>
      <c r="CE18" s="174" t="n">
        <f aca="false">BX18/$CF$1</f>
        <v>-7275</v>
      </c>
      <c r="CF18" s="94" t="n">
        <f aca="false">IFERROR(CE18/CE$5,0)</f>
        <v>-0.06</v>
      </c>
      <c r="CG18" s="176"/>
      <c r="CH18" s="174" t="n">
        <f aca="false">CA18/$CI$1</f>
        <v>0</v>
      </c>
      <c r="CI18" s="94" t="n">
        <f aca="false">IFERROR(CH18/CH$5,0)</f>
        <v>0</v>
      </c>
    </row>
    <row r="19" customFormat="false" ht="14.25" hidden="false" customHeight="false" outlineLevel="1" collapsed="false">
      <c r="B19" s="175" t="s">
        <v>48</v>
      </c>
      <c r="C19" s="172"/>
      <c r="D19" s="157" t="n">
        <v>-700</v>
      </c>
      <c r="E19" s="91" t="n">
        <f aca="false">IFERROR(D19/D$5,0)</f>
        <v>-0.00875</v>
      </c>
      <c r="F19" s="176"/>
      <c r="G19" s="157" t="n">
        <f aca="false">SUMIFS('Dados Mov Financeira'!$N:$N,'Dados Mov Financeira'!$O:$O,'DRE 2024'!$B19,'Dados Mov Financeira'!$A:$A,'DRE 2024'!G$1,'Dados Mov Financeira'!$B:$B,'DRE 2024'!G$2)</f>
        <v>0</v>
      </c>
      <c r="H19" s="91" t="n">
        <f aca="false">IFERROR(G19/G$5,0)</f>
        <v>0</v>
      </c>
      <c r="I19" s="138" t="n">
        <f aca="false">IFERROR((G19/D19)-1,0)</f>
        <v>-1</v>
      </c>
      <c r="J19" s="157" t="n">
        <f aca="false">$D19</f>
        <v>-700</v>
      </c>
      <c r="K19" s="91" t="n">
        <f aca="false">IFERROR(J19/J$5,0)</f>
        <v>-0.00823529411764706</v>
      </c>
      <c r="L19" s="176"/>
      <c r="M19" s="157" t="n">
        <f aca="false">SUMIFS('Dados Mov Financeira'!$N:$N,'Dados Mov Financeira'!$O:$O,'DRE 2024'!$B19,'Dados Mov Financeira'!$A:$A,'DRE 2024'!M$1,'Dados Mov Financeira'!$B:$B,'DRE 2024'!M$2)</f>
        <v>0</v>
      </c>
      <c r="N19" s="91" t="n">
        <f aca="false">IFERROR(M19/M$5,0)</f>
        <v>0</v>
      </c>
      <c r="O19" s="139" t="n">
        <f aca="false">IFERROR((M19/J19)-1,0)</f>
        <v>-1</v>
      </c>
      <c r="P19" s="157" t="n">
        <f aca="false">$D19</f>
        <v>-700</v>
      </c>
      <c r="Q19" s="91" t="n">
        <f aca="false">IFERROR(P19/P$5,0)</f>
        <v>-0.00777777777777778</v>
      </c>
      <c r="R19" s="176"/>
      <c r="S19" s="157" t="n">
        <f aca="false">SUMIFS('Dados Mov Financeira'!$N:$N,'Dados Mov Financeira'!$O:$O,'DRE 2024'!$B19,'Dados Mov Financeira'!$A:$A,'DRE 2024'!S$1,'Dados Mov Financeira'!$B:$B,'DRE 2024'!S$2)</f>
        <v>0</v>
      </c>
      <c r="T19" s="91" t="n">
        <f aca="false">IFERROR(S19/S$5,0)</f>
        <v>0</v>
      </c>
      <c r="U19" s="139" t="n">
        <f aca="false">IFERROR((S19/P19)-1,0)</f>
        <v>-1</v>
      </c>
      <c r="V19" s="157" t="n">
        <f aca="false">$D19</f>
        <v>-700</v>
      </c>
      <c r="W19" s="91" t="n">
        <f aca="false">IFERROR(V19/V$5,0)</f>
        <v>-0.007</v>
      </c>
      <c r="X19" s="176"/>
      <c r="Y19" s="157" t="n">
        <f aca="false">SUMIFS('Dados Mov Financeira'!$N:$N,'Dados Mov Financeira'!$O:$O,'DRE 2024'!$B19,'Dados Mov Financeira'!$A:$A,'DRE 2024'!Y$1,'Dados Mov Financeira'!$B:$B,'DRE 2024'!Y$2)</f>
        <v>0</v>
      </c>
      <c r="Z19" s="91" t="n">
        <f aca="false">IFERROR(Y19/Y$5,0)</f>
        <v>0</v>
      </c>
      <c r="AA19" s="139" t="n">
        <f aca="false">IFERROR((Y19/V19)-1,0)</f>
        <v>-1</v>
      </c>
      <c r="AB19" s="157" t="n">
        <f aca="false">$D19</f>
        <v>-700</v>
      </c>
      <c r="AC19" s="91" t="n">
        <f aca="false">IFERROR(AB19/AB$5,0)</f>
        <v>-0.00636363636363636</v>
      </c>
      <c r="AD19" s="176"/>
      <c r="AE19" s="157" t="n">
        <f aca="false">SUMIFS('Dados Mov Financeira'!$N:$N,'Dados Mov Financeira'!$O:$O,'DRE 2024'!$B19,'Dados Mov Financeira'!$A:$A,'DRE 2024'!AE$1,'Dados Mov Financeira'!$B:$B,'DRE 2024'!AE$2)</f>
        <v>0</v>
      </c>
      <c r="AF19" s="91" t="n">
        <f aca="false">IFERROR(AE19/AE$5,0)</f>
        <v>0</v>
      </c>
      <c r="AG19" s="139" t="n">
        <f aca="false">IFERROR((AE19/AB19)-1,0)</f>
        <v>-1</v>
      </c>
      <c r="AH19" s="157" t="n">
        <f aca="false">$D19</f>
        <v>-700</v>
      </c>
      <c r="AI19" s="91" t="n">
        <f aca="false">IFERROR(AH19/AH$5,0)</f>
        <v>-0.00583333333333333</v>
      </c>
      <c r="AJ19" s="176"/>
      <c r="AK19" s="157" t="n">
        <f aca="false">SUMIFS('Dados Mov Financeira'!$N:$N,'Dados Mov Financeira'!$O:$O,'DRE 2024'!$B19,'Dados Mov Financeira'!$A:$A,'DRE 2024'!AK$1,'Dados Mov Financeira'!$B:$B,'DRE 2024'!AK$2)</f>
        <v>0</v>
      </c>
      <c r="AL19" s="91" t="n">
        <f aca="false">IFERROR(AK19/AK$5,0)</f>
        <v>0</v>
      </c>
      <c r="AM19" s="139" t="n">
        <f aca="false">IFERROR((AK19/AH19)-1,0)</f>
        <v>-1</v>
      </c>
      <c r="AN19" s="157" t="n">
        <f aca="false">$D19</f>
        <v>-700</v>
      </c>
      <c r="AO19" s="91" t="n">
        <f aca="false">IFERROR(AN19/AN$5,0)</f>
        <v>-0.00538461538461538</v>
      </c>
      <c r="AP19" s="176"/>
      <c r="AQ19" s="157" t="n">
        <f aca="false">SUMIFS('Dados Mov Financeira'!$N:$N,'Dados Mov Financeira'!$O:$O,'DRE 2024'!$B19,'Dados Mov Financeira'!$A:$A,'DRE 2024'!AQ$1,'Dados Mov Financeira'!$B:$B,'DRE 2024'!AQ$2)</f>
        <v>0</v>
      </c>
      <c r="AR19" s="91" t="n">
        <f aca="false">IFERROR(AQ19/AQ$5,0)</f>
        <v>0</v>
      </c>
      <c r="AS19" s="139" t="n">
        <f aca="false">IFERROR((AQ19/AN19)-1,0)</f>
        <v>-1</v>
      </c>
      <c r="AT19" s="157" t="n">
        <f aca="false">$D19</f>
        <v>-700</v>
      </c>
      <c r="AU19" s="91" t="n">
        <f aca="false">IFERROR(AT19/AT$5,0)</f>
        <v>-0.005</v>
      </c>
      <c r="AV19" s="176"/>
      <c r="AW19" s="157" t="n">
        <f aca="false">SUMIFS('Dados Mov Financeira'!$N:$N,'Dados Mov Financeira'!$O:$O,'DRE 2024'!$B19,'Dados Mov Financeira'!$A:$A,'DRE 2024'!AW$1,'Dados Mov Financeira'!$B:$B,'DRE 2024'!AW$2)</f>
        <v>0</v>
      </c>
      <c r="AX19" s="91" t="n">
        <f aca="false">IFERROR(AW19/AW$5,0)</f>
        <v>0</v>
      </c>
      <c r="AY19" s="139" t="n">
        <f aca="false">IFERROR((AW19/AT19)-1,0)</f>
        <v>-1</v>
      </c>
      <c r="AZ19" s="157" t="n">
        <f aca="false">$D19</f>
        <v>-700</v>
      </c>
      <c r="BA19" s="91" t="n">
        <f aca="false">IFERROR(AZ19/AZ$5,0)</f>
        <v>-0.00466666666666667</v>
      </c>
      <c r="BB19" s="176"/>
      <c r="BC19" s="157" t="n">
        <f aca="false">SUMIFS('Dados Mov Financeira'!$N:$N,'Dados Mov Financeira'!$O:$O,'DRE 2024'!$B19,'Dados Mov Financeira'!$A:$A,'DRE 2024'!BC$1,'Dados Mov Financeira'!$B:$B,'DRE 2024'!BC$2)</f>
        <v>0</v>
      </c>
      <c r="BD19" s="91" t="n">
        <f aca="false">IFERROR(BC19/BC$5,0)</f>
        <v>0</v>
      </c>
      <c r="BE19" s="139" t="n">
        <f aca="false">IFERROR((BC19/AZ19)-1,0)</f>
        <v>-1</v>
      </c>
      <c r="BF19" s="157" t="n">
        <f aca="false">$D19</f>
        <v>-700</v>
      </c>
      <c r="BG19" s="91" t="n">
        <f aca="false">IFERROR(BF19/BF$5,0)</f>
        <v>-0.00466666666666667</v>
      </c>
      <c r="BH19" s="176"/>
      <c r="BI19" s="157" t="n">
        <f aca="false">SUMIFS('Dados Mov Financeira'!$N:$N,'Dados Mov Financeira'!$O:$O,'DRE 2024'!$B19,'Dados Mov Financeira'!$A:$A,'DRE 2024'!BI$1,'Dados Mov Financeira'!$B:$B,'DRE 2024'!BI$2)</f>
        <v>0</v>
      </c>
      <c r="BJ19" s="91" t="n">
        <f aca="false">IFERROR(BI19/BI$5,0)</f>
        <v>0</v>
      </c>
      <c r="BK19" s="139" t="n">
        <f aca="false">IFERROR((BI19/BF19)-1,0)</f>
        <v>-1</v>
      </c>
      <c r="BL19" s="157" t="n">
        <f aca="false">$D19</f>
        <v>-700</v>
      </c>
      <c r="BM19" s="91" t="n">
        <f aca="false">IFERROR(BL19/BL$5,0)</f>
        <v>-0.00466666666666667</v>
      </c>
      <c r="BN19" s="176"/>
      <c r="BO19" s="157" t="n">
        <f aca="false">SUMIFS('Dados Mov Financeira'!$N:$N,'Dados Mov Financeira'!$O:$O,'DRE 2024'!$B19,'Dados Mov Financeira'!$A:$A,'DRE 2024'!BO$1,'Dados Mov Financeira'!$B:$B,'DRE 2024'!BO$2)</f>
        <v>0</v>
      </c>
      <c r="BP19" s="91" t="n">
        <f aca="false">IFERROR(BO19/BO$5,0)</f>
        <v>0</v>
      </c>
      <c r="BQ19" s="139" t="n">
        <f aca="false">IFERROR((BO19/BL19)-1,0)</f>
        <v>-1</v>
      </c>
      <c r="BR19" s="157" t="n">
        <f aca="false">$D19</f>
        <v>-700</v>
      </c>
      <c r="BS19" s="91" t="n">
        <f aca="false">IFERROR(BR19/BR$5,0)</f>
        <v>-0.00466666666666667</v>
      </c>
      <c r="BT19" s="171"/>
      <c r="BU19" s="157" t="n">
        <f aca="false">SUMIFS('Dados Mov Financeira'!$N:$N,'Dados Mov Financeira'!$O:$O,'DRE 2024'!$B19,'Dados Mov Financeira'!$A:$A,'DRE 2024'!BU$1,'Dados Mov Financeira'!$B:$B,'DRE 2024'!BU$2)</f>
        <v>0</v>
      </c>
      <c r="BV19" s="91" t="n">
        <f aca="false">IFERROR(BU19/BU$5,0)</f>
        <v>0</v>
      </c>
      <c r="BW19" s="139" t="n">
        <f aca="false">IFERROR((BU19/BR19)-1,0)</f>
        <v>-1</v>
      </c>
      <c r="BX19" s="172" t="n">
        <f aca="false">SUM(D19,J19,P19,V19,AB19,AH19,AN19,AT19,AZ19,BF19,BL19,BR19)</f>
        <v>-8400</v>
      </c>
      <c r="BY19" s="91" t="n">
        <f aca="false">IFERROR(BX19/BX$5,0)</f>
        <v>-0.00577319587628866</v>
      </c>
      <c r="BZ19" s="176"/>
      <c r="CA19" s="172" t="n">
        <f aca="false">SUM(G19,M19,S19,Y19,AE19,AK19,AQ19,AW19,BC19,BI19,BO19,BU19)</f>
        <v>0</v>
      </c>
      <c r="CB19" s="91" t="n">
        <f aca="false">IFERROR(CA19/CA$5,0)</f>
        <v>0</v>
      </c>
      <c r="CC19" s="139" t="n">
        <f aca="false">IFERROR((CA19/BX19)-1,0)</f>
        <v>-1</v>
      </c>
      <c r="CD19" s="176"/>
      <c r="CE19" s="174" t="n">
        <f aca="false">BX19/$CF$1</f>
        <v>-700</v>
      </c>
      <c r="CF19" s="94" t="n">
        <f aca="false">IFERROR(CE19/CE$5,0)</f>
        <v>-0.00577319587628866</v>
      </c>
      <c r="CG19" s="176"/>
      <c r="CH19" s="174" t="n">
        <f aca="false">CA19/$CI$1</f>
        <v>0</v>
      </c>
      <c r="CI19" s="94" t="n">
        <f aca="false">IFERROR(CH19/CH$5,0)</f>
        <v>0</v>
      </c>
    </row>
    <row r="20" s="128" customFormat="true" ht="7.5" hidden="false" customHeight="true" outlineLevel="0" collapsed="false">
      <c r="B20" s="135"/>
      <c r="C20" s="145"/>
      <c r="D20" s="161"/>
      <c r="E20" s="60"/>
      <c r="F20" s="145"/>
      <c r="G20" s="161"/>
      <c r="H20" s="60"/>
      <c r="I20" s="60"/>
      <c r="J20" s="161"/>
      <c r="K20" s="60"/>
      <c r="L20" s="145"/>
      <c r="M20" s="161"/>
      <c r="N20" s="60"/>
      <c r="O20" s="149"/>
      <c r="P20" s="161"/>
      <c r="Q20" s="60"/>
      <c r="R20" s="145"/>
      <c r="S20" s="161"/>
      <c r="T20" s="60"/>
      <c r="U20" s="149"/>
      <c r="V20" s="161"/>
      <c r="W20" s="60"/>
      <c r="X20" s="145"/>
      <c r="Y20" s="161"/>
      <c r="Z20" s="60"/>
      <c r="AA20" s="149"/>
      <c r="AB20" s="161"/>
      <c r="AC20" s="60"/>
      <c r="AD20" s="145"/>
      <c r="AE20" s="161"/>
      <c r="AF20" s="60"/>
      <c r="AG20" s="149"/>
      <c r="AH20" s="161"/>
      <c r="AI20" s="60"/>
      <c r="AJ20" s="145"/>
      <c r="AK20" s="161"/>
      <c r="AL20" s="60"/>
      <c r="AM20" s="149"/>
      <c r="AN20" s="161"/>
      <c r="AO20" s="60"/>
      <c r="AP20" s="145"/>
      <c r="AQ20" s="161"/>
      <c r="AR20" s="60"/>
      <c r="AS20" s="149"/>
      <c r="AT20" s="161"/>
      <c r="AU20" s="60"/>
      <c r="AV20" s="145"/>
      <c r="AW20" s="161"/>
      <c r="AX20" s="60"/>
      <c r="AY20" s="149"/>
      <c r="AZ20" s="161"/>
      <c r="BA20" s="60"/>
      <c r="BB20" s="145"/>
      <c r="BC20" s="161"/>
      <c r="BD20" s="60"/>
      <c r="BE20" s="149"/>
      <c r="BF20" s="161"/>
      <c r="BG20" s="60"/>
      <c r="BH20" s="145"/>
      <c r="BI20" s="161"/>
      <c r="BJ20" s="60"/>
      <c r="BK20" s="149"/>
      <c r="BL20" s="161"/>
      <c r="BM20" s="60"/>
      <c r="BN20" s="145"/>
      <c r="BO20" s="161"/>
      <c r="BP20" s="60"/>
      <c r="BQ20" s="149"/>
      <c r="BR20" s="161"/>
      <c r="BS20" s="60"/>
      <c r="BT20" s="149"/>
      <c r="BU20" s="161"/>
      <c r="BV20" s="60"/>
      <c r="BW20" s="149"/>
      <c r="BX20" s="161"/>
      <c r="BY20" s="60"/>
      <c r="BZ20" s="145"/>
      <c r="CA20" s="161"/>
      <c r="CB20" s="60"/>
      <c r="CC20" s="149"/>
      <c r="CD20" s="145"/>
      <c r="CE20" s="162"/>
      <c r="CF20" s="60"/>
      <c r="CG20" s="145"/>
      <c r="CH20" s="162"/>
      <c r="CI20" s="60"/>
    </row>
    <row r="21" s="150" customFormat="true" ht="14.25" hidden="false" customHeight="false" outlineLevel="0" collapsed="false">
      <c r="A21" s="126"/>
      <c r="B21" s="177" t="s">
        <v>49</v>
      </c>
      <c r="D21" s="164" t="n">
        <f aca="false">D5+D9</f>
        <v>74500</v>
      </c>
      <c r="E21" s="81" t="n">
        <f aca="false">IFERROR(D21/D$5,0)</f>
        <v>0.93125</v>
      </c>
      <c r="G21" s="164" t="n">
        <f aca="false">G5+G9</f>
        <v>0</v>
      </c>
      <c r="H21" s="81" t="n">
        <f aca="false">IFERROR(G21/G$5,0)</f>
        <v>0</v>
      </c>
      <c r="I21" s="138" t="n">
        <f aca="false">IFERROR(G21/D21,0)</f>
        <v>0</v>
      </c>
      <c r="J21" s="164" t="n">
        <f aca="false">J5+J9</f>
        <v>79200</v>
      </c>
      <c r="K21" s="81" t="n">
        <f aca="false">IFERROR(J21/J$5,0)</f>
        <v>0.931764705882353</v>
      </c>
      <c r="M21" s="164" t="n">
        <f aca="false">M5+M9</f>
        <v>0</v>
      </c>
      <c r="N21" s="81" t="n">
        <f aca="false">IFERROR(M21/M$5,0)</f>
        <v>0</v>
      </c>
      <c r="O21" s="139" t="n">
        <f aca="false">IFERROR(M21/J21,0)</f>
        <v>0</v>
      </c>
      <c r="P21" s="164" t="n">
        <f aca="false">P5+P9</f>
        <v>83900</v>
      </c>
      <c r="Q21" s="81" t="n">
        <f aca="false">IFERROR(P21/P$5,0)</f>
        <v>0.932222222222222</v>
      </c>
      <c r="S21" s="164" t="n">
        <f aca="false">S5+S9</f>
        <v>0</v>
      </c>
      <c r="T21" s="81" t="n">
        <f aca="false">IFERROR(S21/S$5,0)</f>
        <v>0</v>
      </c>
      <c r="U21" s="139" t="n">
        <f aca="false">IFERROR(S21/P21,0)</f>
        <v>0</v>
      </c>
      <c r="V21" s="164" t="n">
        <f aca="false">V5+V9</f>
        <v>93300</v>
      </c>
      <c r="W21" s="81" t="n">
        <f aca="false">IFERROR(V21/V$5,0)</f>
        <v>0.933</v>
      </c>
      <c r="Y21" s="164" t="n">
        <f aca="false">Y5+Y9</f>
        <v>0</v>
      </c>
      <c r="Z21" s="81" t="n">
        <f aca="false">IFERROR(Y21/Y$5,0)</f>
        <v>0</v>
      </c>
      <c r="AA21" s="139" t="n">
        <f aca="false">IFERROR(Y21/V21,0)</f>
        <v>0</v>
      </c>
      <c r="AB21" s="164" t="n">
        <f aca="false">AB5+AB9</f>
        <v>102700</v>
      </c>
      <c r="AC21" s="81" t="n">
        <f aca="false">IFERROR(AB21/AB$5,0)</f>
        <v>0.933636363636364</v>
      </c>
      <c r="AE21" s="164" t="n">
        <f aca="false">AE5+AE9</f>
        <v>0</v>
      </c>
      <c r="AF21" s="81" t="n">
        <f aca="false">IFERROR(AE21/AE$5,0)</f>
        <v>0</v>
      </c>
      <c r="AG21" s="139" t="n">
        <f aca="false">IFERROR(AE21/AB21,0)</f>
        <v>0</v>
      </c>
      <c r="AH21" s="164" t="n">
        <f aca="false">AH5+AH9</f>
        <v>112100</v>
      </c>
      <c r="AI21" s="81" t="n">
        <f aca="false">IFERROR(AH21/AH$5,0)</f>
        <v>0.934166666666667</v>
      </c>
      <c r="AK21" s="164" t="n">
        <f aca="false">AK5+AK9</f>
        <v>0</v>
      </c>
      <c r="AL21" s="81" t="n">
        <f aca="false">IFERROR(AK21/AK$5,0)</f>
        <v>0</v>
      </c>
      <c r="AM21" s="139" t="n">
        <f aca="false">IFERROR(AK21/AH21,0)</f>
        <v>0</v>
      </c>
      <c r="AN21" s="164" t="n">
        <f aca="false">AN5+AN9</f>
        <v>121500</v>
      </c>
      <c r="AO21" s="81" t="n">
        <f aca="false">IFERROR(AN21/AN$5,0)</f>
        <v>0.934615384615385</v>
      </c>
      <c r="AQ21" s="164" t="n">
        <f aca="false">AQ5+AQ9</f>
        <v>0</v>
      </c>
      <c r="AR21" s="81" t="n">
        <f aca="false">IFERROR(AQ21/AQ$5,0)</f>
        <v>0</v>
      </c>
      <c r="AS21" s="139" t="n">
        <f aca="false">IFERROR(AQ21/AN21,0)</f>
        <v>0</v>
      </c>
      <c r="AT21" s="164" t="n">
        <f aca="false">AT5+AT9</f>
        <v>130900</v>
      </c>
      <c r="AU21" s="81" t="n">
        <f aca="false">IFERROR(AT21/AT$5,0)</f>
        <v>0.935</v>
      </c>
      <c r="AW21" s="164" t="n">
        <f aca="false">AW5+AW9</f>
        <v>0</v>
      </c>
      <c r="AX21" s="81" t="n">
        <f aca="false">IFERROR(AW21/AW$5,0)</f>
        <v>0</v>
      </c>
      <c r="AY21" s="139" t="n">
        <f aca="false">IFERROR(AW21/AT21,0)</f>
        <v>0</v>
      </c>
      <c r="AZ21" s="164" t="n">
        <f aca="false">AZ5+AZ9</f>
        <v>140300</v>
      </c>
      <c r="BA21" s="81" t="n">
        <f aca="false">IFERROR(AZ21/AZ$5,0)</f>
        <v>0.935333333333333</v>
      </c>
      <c r="BC21" s="164" t="n">
        <f aca="false">BC5+BC9</f>
        <v>0</v>
      </c>
      <c r="BD21" s="81" t="n">
        <f aca="false">IFERROR(BC21/BC$5,0)</f>
        <v>0</v>
      </c>
      <c r="BE21" s="139" t="n">
        <f aca="false">IFERROR(BC21/AZ21,0)</f>
        <v>0</v>
      </c>
      <c r="BF21" s="164" t="n">
        <f aca="false">BF5+BF9</f>
        <v>140300</v>
      </c>
      <c r="BG21" s="81" t="n">
        <f aca="false">IFERROR(BF21/BF$5,0)</f>
        <v>0.935333333333333</v>
      </c>
      <c r="BI21" s="164" t="n">
        <f aca="false">BI5+BI9</f>
        <v>0</v>
      </c>
      <c r="BJ21" s="81" t="n">
        <f aca="false">IFERROR(BI21/BI$5,0)</f>
        <v>0</v>
      </c>
      <c r="BK21" s="139" t="n">
        <f aca="false">IFERROR(BI21/BF21,0)</f>
        <v>0</v>
      </c>
      <c r="BL21" s="164" t="n">
        <f aca="false">BL5+BL9</f>
        <v>140300</v>
      </c>
      <c r="BM21" s="81" t="n">
        <f aca="false">IFERROR(BL21/BL$5,0)</f>
        <v>0.935333333333333</v>
      </c>
      <c r="BO21" s="164" t="n">
        <f aca="false">BO5+BO9</f>
        <v>0</v>
      </c>
      <c r="BP21" s="81" t="n">
        <f aca="false">IFERROR(BO21/BO$5,0)</f>
        <v>0</v>
      </c>
      <c r="BQ21" s="139" t="n">
        <f aca="false">IFERROR(BO21/BL21,0)</f>
        <v>0</v>
      </c>
      <c r="BR21" s="164" t="n">
        <f aca="false">BR5+BR9</f>
        <v>140300</v>
      </c>
      <c r="BS21" s="81" t="n">
        <f aca="false">IFERROR(BR21/BR$5,0)</f>
        <v>0.935333333333333</v>
      </c>
      <c r="BT21" s="140"/>
      <c r="BU21" s="164" t="n">
        <f aca="false">BU5+BU9</f>
        <v>0</v>
      </c>
      <c r="BV21" s="81" t="n">
        <f aca="false">IFERROR(BU21/BU$5,0)</f>
        <v>0</v>
      </c>
      <c r="BW21" s="139" t="n">
        <f aca="false">IFERROR(BU21/BR21,0)</f>
        <v>0</v>
      </c>
      <c r="BX21" s="164" t="n">
        <f aca="false">BX5+BX9</f>
        <v>1359300</v>
      </c>
      <c r="BY21" s="81" t="n">
        <f aca="false">IFERROR(BX21/BX$5,0)</f>
        <v>0.934226804123711</v>
      </c>
      <c r="CA21" s="164" t="n">
        <f aca="false">CA5+CA9</f>
        <v>0</v>
      </c>
      <c r="CB21" s="81" t="n">
        <f aca="false">IFERROR(CA21/CA$5,0)</f>
        <v>0</v>
      </c>
      <c r="CC21" s="139" t="n">
        <f aca="false">IFERROR(CA21/BX21,0)</f>
        <v>0</v>
      </c>
      <c r="CE21" s="165" t="n">
        <f aca="false">CE5+CE9</f>
        <v>113275</v>
      </c>
      <c r="CF21" s="83" t="n">
        <f aca="false">IFERROR(CE21/CE$5,0)</f>
        <v>0.934226804123711</v>
      </c>
      <c r="CH21" s="165" t="n">
        <f aca="false">CH5+CH9</f>
        <v>0</v>
      </c>
      <c r="CI21" s="83" t="n">
        <f aca="false">IFERROR(CH21/CH$5,0)</f>
        <v>0</v>
      </c>
    </row>
    <row r="22" s="128" customFormat="true" ht="5.25" hidden="false" customHeight="true" outlineLevel="0" collapsed="false">
      <c r="B22" s="135"/>
      <c r="C22" s="145"/>
      <c r="D22" s="161"/>
      <c r="E22" s="60"/>
      <c r="F22" s="145"/>
      <c r="G22" s="161"/>
      <c r="H22" s="60"/>
      <c r="I22" s="60"/>
      <c r="J22" s="161"/>
      <c r="K22" s="60"/>
      <c r="L22" s="145"/>
      <c r="M22" s="161"/>
      <c r="N22" s="60"/>
      <c r="O22" s="149"/>
      <c r="P22" s="161"/>
      <c r="Q22" s="60"/>
      <c r="R22" s="145"/>
      <c r="S22" s="161"/>
      <c r="T22" s="60"/>
      <c r="U22" s="149"/>
      <c r="V22" s="161"/>
      <c r="W22" s="60"/>
      <c r="X22" s="145"/>
      <c r="Y22" s="161"/>
      <c r="Z22" s="60"/>
      <c r="AA22" s="149"/>
      <c r="AB22" s="161"/>
      <c r="AC22" s="60"/>
      <c r="AD22" s="145"/>
      <c r="AE22" s="161"/>
      <c r="AF22" s="60"/>
      <c r="AG22" s="149"/>
      <c r="AH22" s="161"/>
      <c r="AI22" s="60"/>
      <c r="AJ22" s="145"/>
      <c r="AK22" s="161"/>
      <c r="AL22" s="60"/>
      <c r="AM22" s="149"/>
      <c r="AN22" s="161"/>
      <c r="AO22" s="60"/>
      <c r="AP22" s="145"/>
      <c r="AQ22" s="161"/>
      <c r="AR22" s="60"/>
      <c r="AS22" s="149"/>
      <c r="AT22" s="161"/>
      <c r="AU22" s="60"/>
      <c r="AV22" s="145"/>
      <c r="AW22" s="161"/>
      <c r="AX22" s="60"/>
      <c r="AY22" s="149"/>
      <c r="AZ22" s="161"/>
      <c r="BA22" s="60"/>
      <c r="BB22" s="145"/>
      <c r="BC22" s="161"/>
      <c r="BD22" s="60"/>
      <c r="BE22" s="149"/>
      <c r="BF22" s="161"/>
      <c r="BG22" s="60"/>
      <c r="BH22" s="145"/>
      <c r="BI22" s="161"/>
      <c r="BJ22" s="60"/>
      <c r="BK22" s="149"/>
      <c r="BL22" s="161"/>
      <c r="BM22" s="60"/>
      <c r="BN22" s="145"/>
      <c r="BO22" s="161"/>
      <c r="BP22" s="60"/>
      <c r="BQ22" s="149"/>
      <c r="BR22" s="161"/>
      <c r="BS22" s="60"/>
      <c r="BT22" s="149"/>
      <c r="BU22" s="161"/>
      <c r="BV22" s="60"/>
      <c r="BW22" s="149"/>
      <c r="BX22" s="161"/>
      <c r="BY22" s="60"/>
      <c r="BZ22" s="145"/>
      <c r="CA22" s="161"/>
      <c r="CB22" s="60"/>
      <c r="CC22" s="149"/>
      <c r="CD22" s="145"/>
      <c r="CE22" s="162"/>
      <c r="CF22" s="60"/>
      <c r="CG22" s="145"/>
      <c r="CH22" s="162"/>
      <c r="CI22" s="60"/>
    </row>
    <row r="23" s="150" customFormat="true" ht="14.25" hidden="false" customHeight="false" outlineLevel="0" collapsed="false">
      <c r="A23" s="126"/>
      <c r="B23" s="163" t="s">
        <v>50</v>
      </c>
      <c r="D23" s="164" t="n">
        <f aca="false">SUM(D24,D29)</f>
        <v>-24080</v>
      </c>
      <c r="E23" s="81" t="n">
        <f aca="false">IFERROR(D23/D$5,0)</f>
        <v>-0.301</v>
      </c>
      <c r="G23" s="164" t="n">
        <f aca="false">SUM(G24,G29)</f>
        <v>0</v>
      </c>
      <c r="H23" s="81" t="n">
        <f aca="false">IFERROR(G23/G$5,0)</f>
        <v>0</v>
      </c>
      <c r="I23" s="138" t="n">
        <f aca="false">IFERROR((G23/D23)-1,0)</f>
        <v>-1</v>
      </c>
      <c r="J23" s="164" t="n">
        <f aca="false">SUM(J24,J29)</f>
        <v>-26605</v>
      </c>
      <c r="K23" s="81" t="n">
        <f aca="false">IFERROR(J23/J$5,0)</f>
        <v>-0.313</v>
      </c>
      <c r="M23" s="164" t="n">
        <f aca="false">SUM(M24,M29)</f>
        <v>0</v>
      </c>
      <c r="N23" s="81" t="n">
        <f aca="false">IFERROR(M23/M$5,0)</f>
        <v>0</v>
      </c>
      <c r="O23" s="139" t="n">
        <f aca="false">IFERROR((M23/J23)-1,0)</f>
        <v>-1</v>
      </c>
      <c r="P23" s="164" t="n">
        <f aca="false">SUM(P24,P29)</f>
        <v>-28170</v>
      </c>
      <c r="Q23" s="81" t="n">
        <f aca="false">IFERROR(P23/P$5,0)</f>
        <v>-0.313</v>
      </c>
      <c r="S23" s="164" t="n">
        <f aca="false">SUM(S24,S29)</f>
        <v>0</v>
      </c>
      <c r="T23" s="81" t="n">
        <f aca="false">IFERROR(S23/S$5,0)</f>
        <v>0</v>
      </c>
      <c r="U23" s="139" t="n">
        <f aca="false">IFERROR((S23/P23)-1,0)</f>
        <v>-1</v>
      </c>
      <c r="V23" s="164" t="n">
        <f aca="false">SUM(V24,V29)</f>
        <v>-31300</v>
      </c>
      <c r="W23" s="81" t="n">
        <f aca="false">IFERROR(V23/V$5,0)</f>
        <v>-0.313</v>
      </c>
      <c r="Y23" s="164" t="n">
        <f aca="false">SUM(Y24,Y29)</f>
        <v>0</v>
      </c>
      <c r="Z23" s="81" t="n">
        <f aca="false">IFERROR(Y23/Y$5,0)</f>
        <v>0</v>
      </c>
      <c r="AA23" s="139" t="n">
        <f aca="false">IFERROR((Y23/V23)-1,0)</f>
        <v>-1</v>
      </c>
      <c r="AB23" s="164" t="n">
        <f aca="false">SUM(AB24,AB29)</f>
        <v>-34430</v>
      </c>
      <c r="AC23" s="81" t="n">
        <f aca="false">IFERROR(AB23/AB$5,0)</f>
        <v>-0.313</v>
      </c>
      <c r="AE23" s="164" t="n">
        <f aca="false">SUM(AE24,AE29)</f>
        <v>0</v>
      </c>
      <c r="AF23" s="81" t="n">
        <f aca="false">IFERROR(AE23/AE$5,0)</f>
        <v>0</v>
      </c>
      <c r="AG23" s="139" t="n">
        <f aca="false">IFERROR((AE23/AB23)-1,0)</f>
        <v>-1</v>
      </c>
      <c r="AH23" s="164" t="n">
        <f aca="false">SUM(AH24,AH29)</f>
        <v>-37560</v>
      </c>
      <c r="AI23" s="81" t="n">
        <f aca="false">IFERROR(AH23/AH$5,0)</f>
        <v>-0.313</v>
      </c>
      <c r="AK23" s="164" t="n">
        <f aca="false">SUM(AK24,AK29)</f>
        <v>0</v>
      </c>
      <c r="AL23" s="81" t="n">
        <f aca="false">IFERROR(AK23/AK$5,0)</f>
        <v>0</v>
      </c>
      <c r="AM23" s="139" t="n">
        <f aca="false">IFERROR((AK23/AH23)-1,0)</f>
        <v>-1</v>
      </c>
      <c r="AN23" s="164" t="n">
        <f aca="false">SUM(AN24,AN29)</f>
        <v>-40690</v>
      </c>
      <c r="AO23" s="81" t="n">
        <f aca="false">IFERROR(AN23/AN$5,0)</f>
        <v>-0.313</v>
      </c>
      <c r="AQ23" s="164" t="n">
        <f aca="false">SUM(AQ24,AQ29)</f>
        <v>0</v>
      </c>
      <c r="AR23" s="81" t="n">
        <f aca="false">IFERROR(AQ23/AQ$5,0)</f>
        <v>0</v>
      </c>
      <c r="AS23" s="139" t="n">
        <f aca="false">IFERROR((AQ23/AN23)-1,0)</f>
        <v>-1</v>
      </c>
      <c r="AT23" s="164" t="n">
        <f aca="false">SUM(AT24,AT29)</f>
        <v>-43820</v>
      </c>
      <c r="AU23" s="81" t="n">
        <f aca="false">IFERROR(AT23/AT$5,0)</f>
        <v>-0.313</v>
      </c>
      <c r="AW23" s="164" t="n">
        <f aca="false">SUM(AW24,AW29)</f>
        <v>0</v>
      </c>
      <c r="AX23" s="81" t="n">
        <f aca="false">IFERROR(AW23/AW$5,0)</f>
        <v>0</v>
      </c>
      <c r="AY23" s="139" t="n">
        <f aca="false">IFERROR((AW23/AT23)-1,0)</f>
        <v>-1</v>
      </c>
      <c r="AZ23" s="164" t="n">
        <f aca="false">SUM(AZ24,AZ29)</f>
        <v>-46950</v>
      </c>
      <c r="BA23" s="81" t="n">
        <f aca="false">IFERROR(AZ23/AZ$5,0)</f>
        <v>-0.313</v>
      </c>
      <c r="BC23" s="164" t="n">
        <f aca="false">SUM(BC24,BC29)</f>
        <v>0</v>
      </c>
      <c r="BD23" s="81" t="n">
        <f aca="false">IFERROR(BC23/BC$5,0)</f>
        <v>0</v>
      </c>
      <c r="BE23" s="139" t="n">
        <f aca="false">IFERROR((BC23/AZ23)-1,0)</f>
        <v>-1</v>
      </c>
      <c r="BF23" s="164" t="n">
        <f aca="false">SUM(BF24,BF29)</f>
        <v>-46950</v>
      </c>
      <c r="BG23" s="81" t="n">
        <f aca="false">IFERROR(BF23/BF$5,0)</f>
        <v>-0.313</v>
      </c>
      <c r="BI23" s="164" t="n">
        <f aca="false">SUM(BI24,BI29)</f>
        <v>0</v>
      </c>
      <c r="BJ23" s="81" t="n">
        <f aca="false">IFERROR(BI23/BI$5,0)</f>
        <v>0</v>
      </c>
      <c r="BK23" s="139" t="n">
        <f aca="false">IFERROR((BI23/BF23)-1,0)</f>
        <v>-1</v>
      </c>
      <c r="BL23" s="164" t="n">
        <f aca="false">SUM(BL24,BL29)</f>
        <v>-46950</v>
      </c>
      <c r="BM23" s="81" t="n">
        <f aca="false">IFERROR(BL23/BL$5,0)</f>
        <v>-0.313</v>
      </c>
      <c r="BO23" s="164" t="n">
        <f aca="false">SUM(BO24,BO29)</f>
        <v>0</v>
      </c>
      <c r="BP23" s="81" t="n">
        <f aca="false">IFERROR(BO23/BO$5,0)</f>
        <v>0</v>
      </c>
      <c r="BQ23" s="139" t="n">
        <f aca="false">IFERROR((BO23/BL23)-1,0)</f>
        <v>-1</v>
      </c>
      <c r="BR23" s="164" t="n">
        <f aca="false">SUM(BR24,BR29)</f>
        <v>-46950</v>
      </c>
      <c r="BS23" s="81" t="n">
        <f aca="false">IFERROR(BR23/BR$5,0)</f>
        <v>-0.313</v>
      </c>
      <c r="BT23" s="140"/>
      <c r="BU23" s="164" t="n">
        <f aca="false">SUM(BU24,BU29)</f>
        <v>0</v>
      </c>
      <c r="BV23" s="81" t="n">
        <f aca="false">IFERROR(BU23/BU$5,0)</f>
        <v>0</v>
      </c>
      <c r="BW23" s="139" t="n">
        <f aca="false">IFERROR((BU23/BR23)-1,0)</f>
        <v>-1</v>
      </c>
      <c r="BX23" s="164" t="n">
        <f aca="false">SUM(BX24,BX29)</f>
        <v>-454455</v>
      </c>
      <c r="BY23" s="81" t="n">
        <f aca="false">IFERROR(BX23/BX$5,0)</f>
        <v>-0.312340206185567</v>
      </c>
      <c r="CA23" s="164" t="n">
        <f aca="false">SUM(CA24,CA29)</f>
        <v>0</v>
      </c>
      <c r="CB23" s="81" t="n">
        <f aca="false">IFERROR(CA23/CA$5,0)</f>
        <v>0</v>
      </c>
      <c r="CC23" s="139" t="n">
        <f aca="false">IFERROR((CA23/BX23)-1,0)</f>
        <v>-1</v>
      </c>
      <c r="CE23" s="165" t="n">
        <f aca="false">SUM(CE24,CE29)</f>
        <v>-37871.25</v>
      </c>
      <c r="CF23" s="83" t="n">
        <f aca="false">IFERROR(CE23/CE$5,0)</f>
        <v>-0.312340206185567</v>
      </c>
      <c r="CH23" s="165" t="n">
        <f aca="false">SUM(CH24,CH29)</f>
        <v>0</v>
      </c>
      <c r="CI23" s="83" t="n">
        <f aca="false">IFERROR(CH23/CH$5,0)</f>
        <v>0</v>
      </c>
    </row>
    <row r="24" s="150" customFormat="true" ht="14.25" hidden="false" customHeight="false" outlineLevel="0" collapsed="false">
      <c r="B24" s="166" t="s">
        <v>51</v>
      </c>
      <c r="D24" s="173" t="n">
        <f aca="false">SUM(D25:D28)</f>
        <v>-10480</v>
      </c>
      <c r="E24" s="95" t="n">
        <f aca="false">IFERROR(D24/D$5,0)</f>
        <v>-0.131</v>
      </c>
      <c r="G24" s="173" t="n">
        <f aca="false">SUM(G25:G28)</f>
        <v>0</v>
      </c>
      <c r="H24" s="95" t="n">
        <f aca="false">IFERROR(G24/G$5,0)</f>
        <v>0</v>
      </c>
      <c r="I24" s="138" t="n">
        <f aca="false">IFERROR((G24/D24)-1,0)</f>
        <v>-1</v>
      </c>
      <c r="J24" s="173" t="n">
        <f aca="false">SUM(J25:J28)</f>
        <v>-12155</v>
      </c>
      <c r="K24" s="95" t="n">
        <f aca="false">IFERROR(J24/J$5,0)</f>
        <v>-0.143</v>
      </c>
      <c r="M24" s="173" t="n">
        <f aca="false">SUM(M25:M28)</f>
        <v>0</v>
      </c>
      <c r="N24" s="95" t="n">
        <f aca="false">IFERROR(M24/M$5,0)</f>
        <v>0</v>
      </c>
      <c r="O24" s="139" t="n">
        <f aca="false">IFERROR((M24/J24)-1,0)</f>
        <v>-1</v>
      </c>
      <c r="P24" s="173" t="n">
        <f aca="false">SUM(P25:P28)</f>
        <v>-12870</v>
      </c>
      <c r="Q24" s="95" t="n">
        <f aca="false">IFERROR(P24/P$5,0)</f>
        <v>-0.143</v>
      </c>
      <c r="S24" s="173" t="n">
        <f aca="false">SUM(S25:S28)</f>
        <v>0</v>
      </c>
      <c r="T24" s="95" t="n">
        <f aca="false">IFERROR(S24/S$5,0)</f>
        <v>0</v>
      </c>
      <c r="U24" s="139" t="n">
        <f aca="false">IFERROR((S24/P24)-1,0)</f>
        <v>-1</v>
      </c>
      <c r="V24" s="173" t="n">
        <f aca="false">SUM(V25:V28)</f>
        <v>-14300</v>
      </c>
      <c r="W24" s="95" t="n">
        <f aca="false">IFERROR(V24/V$5,0)</f>
        <v>-0.143</v>
      </c>
      <c r="Y24" s="173" t="n">
        <f aca="false">SUM(Y25:Y28)</f>
        <v>0</v>
      </c>
      <c r="Z24" s="95" t="n">
        <f aca="false">IFERROR(Y24/Y$5,0)</f>
        <v>0</v>
      </c>
      <c r="AA24" s="139" t="n">
        <f aca="false">IFERROR((Y24/V24)-1,0)</f>
        <v>-1</v>
      </c>
      <c r="AB24" s="173" t="n">
        <f aca="false">SUM(AB25:AB28)</f>
        <v>-15730</v>
      </c>
      <c r="AC24" s="95" t="n">
        <f aca="false">IFERROR(AB24/AB$5,0)</f>
        <v>-0.143</v>
      </c>
      <c r="AE24" s="173" t="n">
        <f aca="false">SUM(AE25:AE28)</f>
        <v>0</v>
      </c>
      <c r="AF24" s="95" t="n">
        <f aca="false">IFERROR(AE24/AE$5,0)</f>
        <v>0</v>
      </c>
      <c r="AG24" s="139" t="n">
        <f aca="false">IFERROR((AE24/AB24)-1,0)</f>
        <v>-1</v>
      </c>
      <c r="AH24" s="173" t="n">
        <f aca="false">SUM(AH25:AH28)</f>
        <v>-17160</v>
      </c>
      <c r="AI24" s="95" t="n">
        <f aca="false">IFERROR(AH24/AH$5,0)</f>
        <v>-0.143</v>
      </c>
      <c r="AK24" s="173" t="n">
        <f aca="false">SUM(AK25:AK28)</f>
        <v>0</v>
      </c>
      <c r="AL24" s="95" t="n">
        <f aca="false">IFERROR(AK24/AK$5,0)</f>
        <v>0</v>
      </c>
      <c r="AM24" s="139" t="n">
        <f aca="false">IFERROR((AK24/AH24)-1,0)</f>
        <v>-1</v>
      </c>
      <c r="AN24" s="173" t="n">
        <f aca="false">SUM(AN25:AN28)</f>
        <v>-18590</v>
      </c>
      <c r="AO24" s="95" t="n">
        <f aca="false">IFERROR(AN24/AN$5,0)</f>
        <v>-0.143</v>
      </c>
      <c r="AQ24" s="173" t="n">
        <f aca="false">SUM(AQ25:AQ28)</f>
        <v>0</v>
      </c>
      <c r="AR24" s="95" t="n">
        <f aca="false">IFERROR(AQ24/AQ$5,0)</f>
        <v>0</v>
      </c>
      <c r="AS24" s="139" t="n">
        <f aca="false">IFERROR((AQ24/AN24)-1,0)</f>
        <v>-1</v>
      </c>
      <c r="AT24" s="173" t="n">
        <f aca="false">SUM(AT25:AT28)</f>
        <v>-20020</v>
      </c>
      <c r="AU24" s="95" t="n">
        <f aca="false">IFERROR(AT24/AT$5,0)</f>
        <v>-0.143</v>
      </c>
      <c r="AW24" s="173" t="n">
        <f aca="false">SUM(AW25:AW28)</f>
        <v>0</v>
      </c>
      <c r="AX24" s="95" t="n">
        <f aca="false">IFERROR(AW24/AW$5,0)</f>
        <v>0</v>
      </c>
      <c r="AY24" s="139" t="n">
        <f aca="false">IFERROR((AW24/AT24)-1,0)</f>
        <v>-1</v>
      </c>
      <c r="AZ24" s="173" t="n">
        <f aca="false">SUM(AZ25:AZ28)</f>
        <v>-21450</v>
      </c>
      <c r="BA24" s="95" t="n">
        <f aca="false">IFERROR(AZ24/AZ$5,0)</f>
        <v>-0.143</v>
      </c>
      <c r="BC24" s="173" t="n">
        <f aca="false">SUM(BC25:BC28)</f>
        <v>0</v>
      </c>
      <c r="BD24" s="95" t="n">
        <f aca="false">IFERROR(BC24/BC$5,0)</f>
        <v>0</v>
      </c>
      <c r="BE24" s="139" t="n">
        <f aca="false">IFERROR((BC24/AZ24)-1,0)</f>
        <v>-1</v>
      </c>
      <c r="BF24" s="173" t="n">
        <f aca="false">SUM(BF25:BF28)</f>
        <v>-21450</v>
      </c>
      <c r="BG24" s="95" t="n">
        <f aca="false">IFERROR(BF24/BF$5,0)</f>
        <v>-0.143</v>
      </c>
      <c r="BI24" s="173" t="n">
        <f aca="false">SUM(BI25:BI28)</f>
        <v>0</v>
      </c>
      <c r="BJ24" s="95" t="n">
        <f aca="false">IFERROR(BI24/BI$5,0)</f>
        <v>0</v>
      </c>
      <c r="BK24" s="139" t="n">
        <f aca="false">IFERROR((BI24/BF24)-1,0)</f>
        <v>-1</v>
      </c>
      <c r="BL24" s="173" t="n">
        <f aca="false">SUM(BL25:BL28)</f>
        <v>-21450</v>
      </c>
      <c r="BM24" s="95" t="n">
        <f aca="false">IFERROR(BL24/BL$5,0)</f>
        <v>-0.143</v>
      </c>
      <c r="BO24" s="173" t="n">
        <f aca="false">SUM(BO25:BO28)</f>
        <v>0</v>
      </c>
      <c r="BP24" s="95" t="n">
        <f aca="false">IFERROR(BO24/BO$5,0)</f>
        <v>0</v>
      </c>
      <c r="BQ24" s="139" t="n">
        <f aca="false">IFERROR((BO24/BL24)-1,0)</f>
        <v>-1</v>
      </c>
      <c r="BR24" s="173" t="n">
        <f aca="false">SUM(BR25:BR28)</f>
        <v>-21450</v>
      </c>
      <c r="BS24" s="95" t="n">
        <f aca="false">IFERROR(BR24/BR$5,0)</f>
        <v>-0.143</v>
      </c>
      <c r="BT24" s="158"/>
      <c r="BU24" s="173" t="n">
        <f aca="false">SUM(BU25:BU28)</f>
        <v>0</v>
      </c>
      <c r="BV24" s="95" t="n">
        <f aca="false">IFERROR(BU24/BU$5,0)</f>
        <v>0</v>
      </c>
      <c r="BW24" s="139" t="n">
        <f aca="false">IFERROR((BU24/BR24)-1,0)</f>
        <v>-1</v>
      </c>
      <c r="BX24" s="157" t="n">
        <f aca="false">SUM(D24,J24,P24,V24,AB24,AH24,AN24,AT24,AZ24,BF24,BL24,BR24)</f>
        <v>-207105</v>
      </c>
      <c r="BY24" s="88" t="n">
        <f aca="false">IFERROR(BX24/BX$5,0)</f>
        <v>-0.142340206185567</v>
      </c>
      <c r="CA24" s="157" t="n">
        <f aca="false">SUM(G24,M24,S24,Y24,AE24,AK24,AQ24,AW24,BC24,BI24,BO24,BU24)</f>
        <v>0</v>
      </c>
      <c r="CB24" s="88" t="n">
        <f aca="false">IFERROR(CA24/CA$5,0)</f>
        <v>0</v>
      </c>
      <c r="CC24" s="139" t="n">
        <f aca="false">IFERROR((CA24/BX24)-1,0)</f>
        <v>-1</v>
      </c>
      <c r="CE24" s="157" t="n">
        <f aca="false">BX24/$CF$1</f>
        <v>-17258.75</v>
      </c>
      <c r="CF24" s="76" t="n">
        <f aca="false">IFERROR(CE24/CE$5,0)</f>
        <v>-0.142340206185567</v>
      </c>
      <c r="CH24" s="157" t="n">
        <f aca="false">CA24/$CI$1</f>
        <v>0</v>
      </c>
      <c r="CI24" s="76" t="n">
        <f aca="false">IFERROR(CH24/CH$5,0)</f>
        <v>0</v>
      </c>
    </row>
    <row r="25" s="178" customFormat="true" ht="14.25" hidden="false" customHeight="false" outlineLevel="1" collapsed="false">
      <c r="B25" s="179" t="s">
        <v>178</v>
      </c>
      <c r="C25" s="180"/>
      <c r="D25" s="181" t="n">
        <f aca="false">E25*D6</f>
        <v>-3040</v>
      </c>
      <c r="E25" s="182" t="n">
        <v>-0.038</v>
      </c>
      <c r="F25" s="180"/>
      <c r="G25" s="181" t="n">
        <f aca="false">SUMIFS('Dados Mov Financeira'!$N:$N,'Dados Mov Financeira'!$O:$O,'DRE 2024'!$B25,'Dados Mov Financeira'!$A:$A,'DRE 2024'!G$1,'Dados Mov Financeira'!$B:$B,'DRE 2024'!G$2)</f>
        <v>0</v>
      </c>
      <c r="H25" s="182" t="n">
        <f aca="false">IFERROR(G25/G$5,0)</f>
        <v>0</v>
      </c>
      <c r="I25" s="138" t="n">
        <f aca="false">IFERROR((G25/D25)-1,0)</f>
        <v>-1</v>
      </c>
      <c r="J25" s="181" t="n">
        <f aca="false">K25*J6</f>
        <v>-3995</v>
      </c>
      <c r="K25" s="182" t="n">
        <v>-0.047</v>
      </c>
      <c r="L25" s="180"/>
      <c r="M25" s="181" t="n">
        <f aca="false">SUMIFS('Dados Mov Financeira'!$N:$N,'Dados Mov Financeira'!$O:$O,'DRE 2024'!$B25,'Dados Mov Financeira'!$A:$A,'DRE 2024'!M$1,'Dados Mov Financeira'!$B:$B,'DRE 2024'!M$2)</f>
        <v>0</v>
      </c>
      <c r="N25" s="182" t="n">
        <f aca="false">IFERROR(M25/M$5,0)</f>
        <v>0</v>
      </c>
      <c r="O25" s="183" t="n">
        <f aca="false">IFERROR((M25/J25)-1,0)</f>
        <v>-1</v>
      </c>
      <c r="P25" s="181" t="n">
        <f aca="false">Q25*P6</f>
        <v>-4230</v>
      </c>
      <c r="Q25" s="182" t="n">
        <v>-0.047</v>
      </c>
      <c r="R25" s="180"/>
      <c r="S25" s="181" t="n">
        <f aca="false">SUMIFS('Dados Mov Financeira'!$N:$N,'Dados Mov Financeira'!$O:$O,'DRE 2024'!$B25,'Dados Mov Financeira'!$A:$A,'DRE 2024'!S$1,'Dados Mov Financeira'!$B:$B,'DRE 2024'!S$2)</f>
        <v>0</v>
      </c>
      <c r="T25" s="182" t="n">
        <f aca="false">IFERROR(S25/S$5,0)</f>
        <v>0</v>
      </c>
      <c r="U25" s="183" t="n">
        <f aca="false">IFERROR((S25/P25)-1,0)</f>
        <v>-1</v>
      </c>
      <c r="V25" s="181" t="n">
        <f aca="false">W25*V6</f>
        <v>-4700</v>
      </c>
      <c r="W25" s="182" t="n">
        <v>-0.047</v>
      </c>
      <c r="X25" s="180"/>
      <c r="Y25" s="181" t="n">
        <f aca="false">SUMIFS('Dados Mov Financeira'!$N:$N,'Dados Mov Financeira'!$O:$O,'DRE 2024'!$B25,'Dados Mov Financeira'!$A:$A,'DRE 2024'!Y$1,'Dados Mov Financeira'!$B:$B,'DRE 2024'!Y$2)</f>
        <v>0</v>
      </c>
      <c r="Z25" s="182" t="n">
        <f aca="false">IFERROR(Y25/Y$5,0)</f>
        <v>0</v>
      </c>
      <c r="AA25" s="183" t="n">
        <f aca="false">IFERROR((Y25/V25)-1,0)</f>
        <v>-1</v>
      </c>
      <c r="AB25" s="181" t="n">
        <f aca="false">AC25*AB6</f>
        <v>-5170</v>
      </c>
      <c r="AC25" s="182" t="n">
        <v>-0.047</v>
      </c>
      <c r="AD25" s="180"/>
      <c r="AE25" s="181" t="n">
        <f aca="false">SUMIFS('Dados Mov Financeira'!$N:$N,'Dados Mov Financeira'!$O:$O,'DRE 2024'!$B25,'Dados Mov Financeira'!$A:$A,'DRE 2024'!AE$1,'Dados Mov Financeira'!$B:$B,'DRE 2024'!AE$2)</f>
        <v>0</v>
      </c>
      <c r="AF25" s="182" t="n">
        <f aca="false">IFERROR(AE25/AE$5,0)</f>
        <v>0</v>
      </c>
      <c r="AG25" s="183" t="n">
        <f aca="false">IFERROR((AE25/AB25)-1,0)</f>
        <v>-1</v>
      </c>
      <c r="AH25" s="181" t="n">
        <f aca="false">AI25*AH6</f>
        <v>-5640</v>
      </c>
      <c r="AI25" s="182" t="n">
        <v>-0.047</v>
      </c>
      <c r="AJ25" s="180"/>
      <c r="AK25" s="181" t="n">
        <f aca="false">SUMIFS('Dados Mov Financeira'!$N:$N,'Dados Mov Financeira'!$O:$O,'DRE 2024'!$B25,'Dados Mov Financeira'!$A:$A,'DRE 2024'!AK$1,'Dados Mov Financeira'!$B:$B,'DRE 2024'!AK$2)</f>
        <v>0</v>
      </c>
      <c r="AL25" s="182" t="n">
        <f aca="false">IFERROR(AK25/AK$5,0)</f>
        <v>0</v>
      </c>
      <c r="AM25" s="183" t="n">
        <f aca="false">IFERROR((AK25/AH25)-1,0)</f>
        <v>-1</v>
      </c>
      <c r="AN25" s="181" t="n">
        <f aca="false">AO25*AN6</f>
        <v>-6110</v>
      </c>
      <c r="AO25" s="182" t="n">
        <v>-0.047</v>
      </c>
      <c r="AP25" s="180"/>
      <c r="AQ25" s="181" t="n">
        <f aca="false">SUMIFS('Dados Mov Financeira'!$N:$N,'Dados Mov Financeira'!$O:$O,'DRE 2024'!$B25,'Dados Mov Financeira'!$A:$A,'DRE 2024'!AQ$1,'Dados Mov Financeira'!$B:$B,'DRE 2024'!AQ$2)</f>
        <v>0</v>
      </c>
      <c r="AR25" s="182" t="n">
        <f aca="false">IFERROR(AQ25/AQ$5,0)</f>
        <v>0</v>
      </c>
      <c r="AS25" s="183" t="n">
        <f aca="false">IFERROR((AQ25/AN25)-1,0)</f>
        <v>-1</v>
      </c>
      <c r="AT25" s="181" t="n">
        <f aca="false">AU25*AT6</f>
        <v>-6580</v>
      </c>
      <c r="AU25" s="182" t="n">
        <v>-0.047</v>
      </c>
      <c r="AV25" s="180"/>
      <c r="AW25" s="181" t="n">
        <f aca="false">SUMIFS('Dados Mov Financeira'!$N:$N,'Dados Mov Financeira'!$O:$O,'DRE 2024'!$B25,'Dados Mov Financeira'!$A:$A,'DRE 2024'!AW$1,'Dados Mov Financeira'!$B:$B,'DRE 2024'!AW$2)</f>
        <v>0</v>
      </c>
      <c r="AX25" s="182" t="n">
        <f aca="false">IFERROR(AW25/AW$5,0)</f>
        <v>0</v>
      </c>
      <c r="AY25" s="183" t="n">
        <f aca="false">IFERROR((AW25/AT25)-1,0)</f>
        <v>-1</v>
      </c>
      <c r="AZ25" s="181" t="n">
        <f aca="false">BA25*AZ6</f>
        <v>-7050</v>
      </c>
      <c r="BA25" s="182" t="n">
        <v>-0.047</v>
      </c>
      <c r="BB25" s="180"/>
      <c r="BC25" s="181" t="n">
        <f aca="false">SUMIFS('Dados Mov Financeira'!$N:$N,'Dados Mov Financeira'!$O:$O,'DRE 2024'!$B25,'Dados Mov Financeira'!$A:$A,'DRE 2024'!BC$1,'Dados Mov Financeira'!$B:$B,'DRE 2024'!BC$2)</f>
        <v>0</v>
      </c>
      <c r="BD25" s="182" t="n">
        <f aca="false">IFERROR(BC25/BC$5,0)</f>
        <v>0</v>
      </c>
      <c r="BE25" s="183" t="n">
        <f aca="false">IFERROR((BC25/AZ25)-1,0)</f>
        <v>-1</v>
      </c>
      <c r="BF25" s="181" t="n">
        <f aca="false">BG25*BF6</f>
        <v>-7050</v>
      </c>
      <c r="BG25" s="182" t="n">
        <v>-0.047</v>
      </c>
      <c r="BH25" s="180"/>
      <c r="BI25" s="181" t="n">
        <f aca="false">SUMIFS('Dados Mov Financeira'!$N:$N,'Dados Mov Financeira'!$O:$O,'DRE 2024'!$B25,'Dados Mov Financeira'!$A:$A,'DRE 2024'!BI$1,'Dados Mov Financeira'!$B:$B,'DRE 2024'!BI$2)</f>
        <v>0</v>
      </c>
      <c r="BJ25" s="182" t="n">
        <f aca="false">IFERROR(BI25/BI$5,0)</f>
        <v>0</v>
      </c>
      <c r="BK25" s="183" t="n">
        <f aca="false">IFERROR((BI25/BF25)-1,0)</f>
        <v>-1</v>
      </c>
      <c r="BL25" s="181" t="n">
        <f aca="false">BM25*BL6</f>
        <v>-7050</v>
      </c>
      <c r="BM25" s="182" t="n">
        <v>-0.047</v>
      </c>
      <c r="BN25" s="180"/>
      <c r="BO25" s="181" t="n">
        <f aca="false">SUMIFS('Dados Mov Financeira'!$N:$N,'Dados Mov Financeira'!$O:$O,'DRE 2024'!$B25,'Dados Mov Financeira'!$A:$A,'DRE 2024'!BO$1,'Dados Mov Financeira'!$B:$B,'DRE 2024'!BO$2)</f>
        <v>0</v>
      </c>
      <c r="BP25" s="182" t="n">
        <f aca="false">IFERROR(BO25/BO$5,0)</f>
        <v>0</v>
      </c>
      <c r="BQ25" s="183" t="n">
        <f aca="false">IFERROR((BO25/BL25)-1,0)</f>
        <v>-1</v>
      </c>
      <c r="BR25" s="181" t="n">
        <f aca="false">BS25*BR6</f>
        <v>-7050</v>
      </c>
      <c r="BS25" s="182" t="n">
        <v>-0.047</v>
      </c>
      <c r="BT25" s="184"/>
      <c r="BU25" s="181" t="n">
        <f aca="false">SUMIFS('Dados Mov Financeira'!$N:$N,'Dados Mov Financeira'!$O:$O,'DRE 2024'!$B25,'Dados Mov Financeira'!$A:$A,'DRE 2024'!BU$1,'Dados Mov Financeira'!$B:$B,'DRE 2024'!BU$2)</f>
        <v>0</v>
      </c>
      <c r="BV25" s="182" t="n">
        <f aca="false">IFERROR(BU25/BU$5,0)</f>
        <v>0</v>
      </c>
      <c r="BW25" s="183" t="n">
        <f aca="false">IFERROR((BU25/BR25)-1,0)</f>
        <v>-1</v>
      </c>
      <c r="BX25" s="185" t="n">
        <f aca="false">SUM(D25,J25,P25,V25,AB25,AH25,AN25,AT25,AZ25,BF25,BL25,BR25)</f>
        <v>-67665</v>
      </c>
      <c r="BY25" s="182" t="n">
        <f aca="false">IFERROR(BX25/BX$5,0)</f>
        <v>-0.0465051546391753</v>
      </c>
      <c r="BZ25" s="180"/>
      <c r="CA25" s="185" t="n">
        <f aca="false">SUM(G25,M25,S25,Y25,AE25,AK25,AQ25,AW25,BC25,BI25,BO25,BU25)</f>
        <v>0</v>
      </c>
      <c r="CB25" s="182" t="n">
        <f aca="false">IFERROR(CA25/CA$5,0)</f>
        <v>0</v>
      </c>
      <c r="CC25" s="183" t="n">
        <f aca="false">IFERROR((CA25/BX25)-1,0)</f>
        <v>-1</v>
      </c>
      <c r="CD25" s="180"/>
      <c r="CE25" s="186" t="n">
        <f aca="false">BX25/$CF$1</f>
        <v>-5638.75</v>
      </c>
      <c r="CF25" s="182" t="n">
        <f aca="false">IFERROR(CE25/CE$5,0)</f>
        <v>-0.0465051546391753</v>
      </c>
      <c r="CG25" s="180"/>
      <c r="CH25" s="186" t="n">
        <f aca="false">CA25/$CI$1</f>
        <v>0</v>
      </c>
      <c r="CI25" s="182" t="n">
        <f aca="false">IFERROR(CH25/CH$5,0)</f>
        <v>0</v>
      </c>
    </row>
    <row r="26" customFormat="false" ht="14.25" hidden="false" customHeight="false" outlineLevel="1" collapsed="false">
      <c r="B26" s="169" t="s">
        <v>179</v>
      </c>
      <c r="C26" s="176"/>
      <c r="D26" s="157" t="n">
        <f aca="false">E26*D6</f>
        <v>-3680</v>
      </c>
      <c r="E26" s="91" t="n">
        <v>-0.046</v>
      </c>
      <c r="F26" s="176"/>
      <c r="G26" s="157" t="n">
        <f aca="false">SUMIFS('Dados Mov Financeira'!$N:$N,'Dados Mov Financeira'!$O:$O,'DRE 2024'!$B26,'Dados Mov Financeira'!$A:$A,'DRE 2024'!G$1,'Dados Mov Financeira'!$B:$B,'DRE 2024'!G$2)</f>
        <v>0</v>
      </c>
      <c r="H26" s="91" t="n">
        <f aca="false">IFERROR(G26/G$5,0)</f>
        <v>0</v>
      </c>
      <c r="I26" s="138" t="n">
        <f aca="false">IFERROR((G26/D26)-1,0)</f>
        <v>-1</v>
      </c>
      <c r="J26" s="157" t="n">
        <f aca="false">K26*J6</f>
        <v>-4165</v>
      </c>
      <c r="K26" s="91" t="n">
        <v>-0.049</v>
      </c>
      <c r="L26" s="176"/>
      <c r="M26" s="157" t="n">
        <f aca="false">SUMIFS('Dados Mov Financeira'!$N:$N,'Dados Mov Financeira'!$O:$O,'DRE 2024'!$B26,'Dados Mov Financeira'!$A:$A,'DRE 2024'!M$1,'Dados Mov Financeira'!$B:$B,'DRE 2024'!M$2)</f>
        <v>0</v>
      </c>
      <c r="N26" s="91" t="n">
        <f aca="false">IFERROR(M26/M$5,0)</f>
        <v>0</v>
      </c>
      <c r="O26" s="139" t="n">
        <f aca="false">IFERROR((M26/J26)-1,0)</f>
        <v>-1</v>
      </c>
      <c r="P26" s="157" t="n">
        <f aca="false">Q26*P6</f>
        <v>-4410</v>
      </c>
      <c r="Q26" s="91" t="n">
        <v>-0.049</v>
      </c>
      <c r="R26" s="176"/>
      <c r="S26" s="157" t="n">
        <f aca="false">SUMIFS('Dados Mov Financeira'!$N:$N,'Dados Mov Financeira'!$O:$O,'DRE 2024'!$B26,'Dados Mov Financeira'!$A:$A,'DRE 2024'!S$1,'Dados Mov Financeira'!$B:$B,'DRE 2024'!S$2)</f>
        <v>0</v>
      </c>
      <c r="T26" s="91" t="n">
        <f aca="false">IFERROR(S26/S$5,0)</f>
        <v>0</v>
      </c>
      <c r="U26" s="139" t="n">
        <f aca="false">IFERROR((S26/P26)-1,0)</f>
        <v>-1</v>
      </c>
      <c r="V26" s="157" t="n">
        <f aca="false">W26*V6</f>
        <v>-4900</v>
      </c>
      <c r="W26" s="91" t="n">
        <v>-0.049</v>
      </c>
      <c r="X26" s="176"/>
      <c r="Y26" s="157" t="n">
        <f aca="false">SUMIFS('Dados Mov Financeira'!$N:$N,'Dados Mov Financeira'!$O:$O,'DRE 2024'!$B26,'Dados Mov Financeira'!$A:$A,'DRE 2024'!Y$1,'Dados Mov Financeira'!$B:$B,'DRE 2024'!Y$2)</f>
        <v>0</v>
      </c>
      <c r="Z26" s="91" t="n">
        <f aca="false">IFERROR(Y26/Y$5,0)</f>
        <v>0</v>
      </c>
      <c r="AA26" s="139" t="n">
        <f aca="false">IFERROR((Y26/V26)-1,0)</f>
        <v>-1</v>
      </c>
      <c r="AB26" s="157" t="n">
        <f aca="false">AC26*AB6</f>
        <v>-5390</v>
      </c>
      <c r="AC26" s="91" t="n">
        <v>-0.049</v>
      </c>
      <c r="AD26" s="176"/>
      <c r="AE26" s="157" t="n">
        <f aca="false">SUMIFS('Dados Mov Financeira'!$N:$N,'Dados Mov Financeira'!$O:$O,'DRE 2024'!$B26,'Dados Mov Financeira'!$A:$A,'DRE 2024'!AE$1,'Dados Mov Financeira'!$B:$B,'DRE 2024'!AE$2)</f>
        <v>0</v>
      </c>
      <c r="AF26" s="91" t="n">
        <f aca="false">IFERROR(AE26/AE$5,0)</f>
        <v>0</v>
      </c>
      <c r="AG26" s="139" t="n">
        <f aca="false">IFERROR((AE26/AB26)-1,0)</f>
        <v>-1</v>
      </c>
      <c r="AH26" s="157" t="n">
        <f aca="false">AI26*AH6</f>
        <v>-5880</v>
      </c>
      <c r="AI26" s="91" t="n">
        <v>-0.049</v>
      </c>
      <c r="AJ26" s="176"/>
      <c r="AK26" s="157" t="n">
        <f aca="false">SUMIFS('Dados Mov Financeira'!$N:$N,'Dados Mov Financeira'!$O:$O,'DRE 2024'!$B26,'Dados Mov Financeira'!$A:$A,'DRE 2024'!AK$1,'Dados Mov Financeira'!$B:$B,'DRE 2024'!AK$2)</f>
        <v>0</v>
      </c>
      <c r="AL26" s="91" t="n">
        <f aca="false">IFERROR(AK26/AK$5,0)</f>
        <v>0</v>
      </c>
      <c r="AM26" s="139" t="n">
        <f aca="false">IFERROR((AK26/AH26)-1,0)</f>
        <v>-1</v>
      </c>
      <c r="AN26" s="157" t="n">
        <f aca="false">AO26*AN6</f>
        <v>-6370</v>
      </c>
      <c r="AO26" s="91" t="n">
        <v>-0.049</v>
      </c>
      <c r="AP26" s="176"/>
      <c r="AQ26" s="157" t="n">
        <f aca="false">SUMIFS('Dados Mov Financeira'!$N:$N,'Dados Mov Financeira'!$O:$O,'DRE 2024'!$B26,'Dados Mov Financeira'!$A:$A,'DRE 2024'!AQ$1,'Dados Mov Financeira'!$B:$B,'DRE 2024'!AQ$2)</f>
        <v>0</v>
      </c>
      <c r="AR26" s="91" t="n">
        <f aca="false">IFERROR(AQ26/AQ$5,0)</f>
        <v>0</v>
      </c>
      <c r="AS26" s="139" t="n">
        <f aca="false">IFERROR((AQ26/AN26)-1,0)</f>
        <v>-1</v>
      </c>
      <c r="AT26" s="157" t="n">
        <f aca="false">AU26*AT6</f>
        <v>-6860</v>
      </c>
      <c r="AU26" s="91" t="n">
        <v>-0.049</v>
      </c>
      <c r="AV26" s="176"/>
      <c r="AW26" s="157" t="n">
        <f aca="false">SUMIFS('Dados Mov Financeira'!$N:$N,'Dados Mov Financeira'!$O:$O,'DRE 2024'!$B26,'Dados Mov Financeira'!$A:$A,'DRE 2024'!AW$1,'Dados Mov Financeira'!$B:$B,'DRE 2024'!AW$2)</f>
        <v>0</v>
      </c>
      <c r="AX26" s="91" t="n">
        <f aca="false">IFERROR(AW26/AW$5,0)</f>
        <v>0</v>
      </c>
      <c r="AY26" s="139" t="n">
        <f aca="false">IFERROR((AW26/AT26)-1,0)</f>
        <v>-1</v>
      </c>
      <c r="AZ26" s="157" t="n">
        <f aca="false">BA26*AZ6</f>
        <v>-7350</v>
      </c>
      <c r="BA26" s="91" t="n">
        <v>-0.049</v>
      </c>
      <c r="BB26" s="176"/>
      <c r="BC26" s="157" t="n">
        <f aca="false">SUMIFS('Dados Mov Financeira'!$N:$N,'Dados Mov Financeira'!$O:$O,'DRE 2024'!$B26,'Dados Mov Financeira'!$A:$A,'DRE 2024'!BC$1,'Dados Mov Financeira'!$B:$B,'DRE 2024'!BC$2)</f>
        <v>0</v>
      </c>
      <c r="BD26" s="91" t="n">
        <f aca="false">IFERROR(BC26/BC$5,0)</f>
        <v>0</v>
      </c>
      <c r="BE26" s="139" t="n">
        <f aca="false">IFERROR((BC26/AZ26)-1,0)</f>
        <v>-1</v>
      </c>
      <c r="BF26" s="157" t="n">
        <f aca="false">BG26*BF6</f>
        <v>-7350</v>
      </c>
      <c r="BG26" s="91" t="n">
        <v>-0.049</v>
      </c>
      <c r="BH26" s="176"/>
      <c r="BI26" s="157" t="n">
        <f aca="false">SUMIFS('Dados Mov Financeira'!$N:$N,'Dados Mov Financeira'!$O:$O,'DRE 2024'!$B26,'Dados Mov Financeira'!$A:$A,'DRE 2024'!BI$1,'Dados Mov Financeira'!$B:$B,'DRE 2024'!BI$2)</f>
        <v>0</v>
      </c>
      <c r="BJ26" s="91" t="n">
        <f aca="false">IFERROR(BI26/BI$5,0)</f>
        <v>0</v>
      </c>
      <c r="BK26" s="139" t="n">
        <f aca="false">IFERROR((BI26/BF26)-1,0)</f>
        <v>-1</v>
      </c>
      <c r="BL26" s="157" t="n">
        <f aca="false">BM26*BL6</f>
        <v>-7350</v>
      </c>
      <c r="BM26" s="91" t="n">
        <v>-0.049</v>
      </c>
      <c r="BN26" s="176"/>
      <c r="BO26" s="157" t="n">
        <f aca="false">SUMIFS('Dados Mov Financeira'!$N:$N,'Dados Mov Financeira'!$O:$O,'DRE 2024'!$B26,'Dados Mov Financeira'!$A:$A,'DRE 2024'!BO$1,'Dados Mov Financeira'!$B:$B,'DRE 2024'!BO$2)</f>
        <v>0</v>
      </c>
      <c r="BP26" s="91" t="n">
        <f aca="false">IFERROR(BO26/BO$5,0)</f>
        <v>0</v>
      </c>
      <c r="BQ26" s="139" t="n">
        <f aca="false">IFERROR((BO26/BL26)-1,0)</f>
        <v>-1</v>
      </c>
      <c r="BR26" s="157" t="n">
        <f aca="false">BS26*BR6</f>
        <v>-7350</v>
      </c>
      <c r="BS26" s="91" t="n">
        <v>-0.049</v>
      </c>
      <c r="BT26" s="171"/>
      <c r="BU26" s="157" t="n">
        <f aca="false">SUMIFS('Dados Mov Financeira'!$N:$N,'Dados Mov Financeira'!$O:$O,'DRE 2024'!$B26,'Dados Mov Financeira'!$A:$A,'DRE 2024'!BU$1,'Dados Mov Financeira'!$B:$B,'DRE 2024'!BU$2)</f>
        <v>0</v>
      </c>
      <c r="BV26" s="91" t="n">
        <f aca="false">IFERROR(BU26/BU$5,0)</f>
        <v>0</v>
      </c>
      <c r="BW26" s="139" t="n">
        <f aca="false">IFERROR((BU26/BR26)-1,0)</f>
        <v>-1</v>
      </c>
      <c r="BX26" s="172" t="n">
        <f aca="false">SUM(D26,J26,P26,V26,AB26,AH26,AN26,AT26,AZ26,BF26,BL26,BR26)</f>
        <v>-71055</v>
      </c>
      <c r="BY26" s="91" t="n">
        <f aca="false">IFERROR(BX26/BX$5,0)</f>
        <v>-0.0488350515463918</v>
      </c>
      <c r="BZ26" s="176"/>
      <c r="CA26" s="172" t="n">
        <f aca="false">SUM(G26,M26,S26,Y26,AE26,AK26,AQ26,AW26,BC26,BI26,BO26,BU26)</f>
        <v>0</v>
      </c>
      <c r="CB26" s="91" t="n">
        <f aca="false">IFERROR(CA26/CA$5,0)</f>
        <v>0</v>
      </c>
      <c r="CC26" s="139" t="n">
        <f aca="false">IFERROR((CA26/BX26)-1,0)</f>
        <v>-1</v>
      </c>
      <c r="CD26" s="176"/>
      <c r="CE26" s="174" t="n">
        <f aca="false">BX26/$CF$1</f>
        <v>-5921.25</v>
      </c>
      <c r="CF26" s="94" t="n">
        <f aca="false">IFERROR(CE26/CE$5,0)</f>
        <v>-0.0488350515463918</v>
      </c>
      <c r="CG26" s="176"/>
      <c r="CH26" s="174" t="n">
        <f aca="false">CA26/$CI$1</f>
        <v>0</v>
      </c>
      <c r="CI26" s="94" t="n">
        <f aca="false">IFERROR(CH26/CH$5,0)</f>
        <v>0</v>
      </c>
    </row>
    <row r="27" customFormat="false" ht="14.25" hidden="false" customHeight="false" outlineLevel="1" collapsed="false">
      <c r="B27" s="169" t="s">
        <v>53</v>
      </c>
      <c r="D27" s="157" t="n">
        <f aca="false">E27*D6</f>
        <v>-3760</v>
      </c>
      <c r="E27" s="91" t="n">
        <v>-0.047</v>
      </c>
      <c r="G27" s="157" t="n">
        <f aca="false">SUMIFS('Dados Mov Financeira'!$N:$N,'Dados Mov Financeira'!$O:$O,'DRE 2024'!$B27,'Dados Mov Financeira'!$A:$A,'DRE 2024'!G$1,'Dados Mov Financeira'!$B:$B,'DRE 2024'!G$2)</f>
        <v>0</v>
      </c>
      <c r="H27" s="91" t="n">
        <f aca="false">IFERROR(G27/G$5,0)</f>
        <v>0</v>
      </c>
      <c r="I27" s="138" t="n">
        <f aca="false">IFERROR((G27/D27)-1,0)</f>
        <v>-1</v>
      </c>
      <c r="J27" s="157" t="n">
        <f aca="false">K27*J6</f>
        <v>-3995</v>
      </c>
      <c r="K27" s="91" t="n">
        <v>-0.047</v>
      </c>
      <c r="M27" s="157" t="n">
        <f aca="false">SUMIFS('Dados Mov Financeira'!$N:$N,'Dados Mov Financeira'!$O:$O,'DRE 2024'!$B27,'Dados Mov Financeira'!$A:$A,'DRE 2024'!M$1,'Dados Mov Financeira'!$B:$B,'DRE 2024'!M$2)</f>
        <v>0</v>
      </c>
      <c r="N27" s="91" t="n">
        <f aca="false">IFERROR(M27/M$5,0)</f>
        <v>0</v>
      </c>
      <c r="O27" s="139" t="n">
        <f aca="false">IFERROR((M27/J27)-1,0)</f>
        <v>-1</v>
      </c>
      <c r="P27" s="157" t="n">
        <f aca="false">Q27*P6</f>
        <v>-4230</v>
      </c>
      <c r="Q27" s="91" t="n">
        <v>-0.047</v>
      </c>
      <c r="S27" s="157" t="n">
        <f aca="false">SUMIFS('Dados Mov Financeira'!$N:$N,'Dados Mov Financeira'!$O:$O,'DRE 2024'!$B27,'Dados Mov Financeira'!$A:$A,'DRE 2024'!S$1,'Dados Mov Financeira'!$B:$B,'DRE 2024'!S$2)</f>
        <v>0</v>
      </c>
      <c r="T27" s="91" t="n">
        <f aca="false">IFERROR(S27/S$5,0)</f>
        <v>0</v>
      </c>
      <c r="U27" s="139" t="n">
        <f aca="false">IFERROR((S27/P27)-1,0)</f>
        <v>-1</v>
      </c>
      <c r="V27" s="157" t="n">
        <f aca="false">W27*V6</f>
        <v>-4700</v>
      </c>
      <c r="W27" s="91" t="n">
        <v>-0.047</v>
      </c>
      <c r="Y27" s="157" t="n">
        <f aca="false">SUMIFS('Dados Mov Financeira'!$N:$N,'Dados Mov Financeira'!$O:$O,'DRE 2024'!$B27,'Dados Mov Financeira'!$A:$A,'DRE 2024'!Y$1,'Dados Mov Financeira'!$B:$B,'DRE 2024'!Y$2)</f>
        <v>0</v>
      </c>
      <c r="Z27" s="91" t="n">
        <f aca="false">IFERROR(Y27/Y$5,0)</f>
        <v>0</v>
      </c>
      <c r="AA27" s="139" t="n">
        <f aca="false">IFERROR((Y27/V27)-1,0)</f>
        <v>-1</v>
      </c>
      <c r="AB27" s="157" t="n">
        <f aca="false">AC27*AB6</f>
        <v>-5170</v>
      </c>
      <c r="AC27" s="91" t="n">
        <v>-0.047</v>
      </c>
      <c r="AE27" s="173" t="n">
        <f aca="false">SUMIFS('Dados Mov Financeira'!$N:$N,'Dados Mov Financeira'!$O:$O,'DRE 2024'!$B27,'Dados Mov Financeira'!$A:$A,'DRE 2024'!AE$1,'Dados Mov Financeira'!$B:$B,'DRE 2024'!AE$2)</f>
        <v>0</v>
      </c>
      <c r="AF27" s="91" t="n">
        <f aca="false">IFERROR(AE27/AE$5,0)</f>
        <v>0</v>
      </c>
      <c r="AG27" s="139" t="n">
        <f aca="false">IFERROR((AE27/AB27)-1,0)</f>
        <v>-1</v>
      </c>
      <c r="AH27" s="157" t="n">
        <f aca="false">AI27*AH6</f>
        <v>-5640</v>
      </c>
      <c r="AI27" s="91" t="n">
        <v>-0.047</v>
      </c>
      <c r="AK27" s="173" t="n">
        <f aca="false">SUMIFS('Dados Mov Financeira'!$N:$N,'Dados Mov Financeira'!$O:$O,'DRE 2024'!$B27,'Dados Mov Financeira'!$A:$A,'DRE 2024'!AK$1,'Dados Mov Financeira'!$B:$B,'DRE 2024'!AK$2)</f>
        <v>0</v>
      </c>
      <c r="AL27" s="91" t="n">
        <f aca="false">IFERROR(AK27/AK$5,0)</f>
        <v>0</v>
      </c>
      <c r="AM27" s="139" t="n">
        <f aca="false">IFERROR((AK27/AH27)-1,0)</f>
        <v>-1</v>
      </c>
      <c r="AN27" s="157" t="n">
        <f aca="false">AO27*AN6</f>
        <v>-6110</v>
      </c>
      <c r="AO27" s="91" t="n">
        <v>-0.047</v>
      </c>
      <c r="AQ27" s="173" t="n">
        <f aca="false">SUMIFS('Dados Mov Financeira'!$N:$N,'Dados Mov Financeira'!$O:$O,'DRE 2024'!$B27,'Dados Mov Financeira'!$A:$A,'DRE 2024'!AQ$1,'Dados Mov Financeira'!$B:$B,'DRE 2024'!AQ$2)</f>
        <v>0</v>
      </c>
      <c r="AR27" s="91" t="n">
        <f aca="false">IFERROR(AQ27/AQ$5,0)</f>
        <v>0</v>
      </c>
      <c r="AS27" s="139" t="n">
        <f aca="false">IFERROR((AQ27/AN27)-1,0)</f>
        <v>-1</v>
      </c>
      <c r="AT27" s="157" t="n">
        <f aca="false">AU27*AT6</f>
        <v>-6580</v>
      </c>
      <c r="AU27" s="91" t="n">
        <v>-0.047</v>
      </c>
      <c r="AW27" s="173" t="n">
        <f aca="false">SUMIFS('Dados Mov Financeira'!$N:$N,'Dados Mov Financeira'!$O:$O,'DRE 2024'!$B27,'Dados Mov Financeira'!$A:$A,'DRE 2024'!AW$1,'Dados Mov Financeira'!$B:$B,'DRE 2024'!AW$2)</f>
        <v>0</v>
      </c>
      <c r="AX27" s="91" t="n">
        <f aca="false">IFERROR(AW27/AW$5,0)</f>
        <v>0</v>
      </c>
      <c r="AY27" s="139" t="n">
        <f aca="false">IFERROR((AW27/AT27)-1,0)</f>
        <v>-1</v>
      </c>
      <c r="AZ27" s="157" t="n">
        <f aca="false">BA27*AZ6</f>
        <v>-7050</v>
      </c>
      <c r="BA27" s="91" t="n">
        <v>-0.047</v>
      </c>
      <c r="BC27" s="173" t="n">
        <f aca="false">SUMIFS('Dados Mov Financeira'!$N:$N,'Dados Mov Financeira'!$O:$O,'DRE 2024'!$B27,'Dados Mov Financeira'!$A:$A,'DRE 2024'!BC$1,'Dados Mov Financeira'!$B:$B,'DRE 2024'!BC$2)</f>
        <v>0</v>
      </c>
      <c r="BD27" s="91" t="n">
        <f aca="false">IFERROR(BC27/BC$5,0)</f>
        <v>0</v>
      </c>
      <c r="BE27" s="139" t="n">
        <f aca="false">IFERROR((BC27/AZ27)-1,0)</f>
        <v>-1</v>
      </c>
      <c r="BF27" s="157" t="n">
        <f aca="false">BG27*BF6</f>
        <v>-7050</v>
      </c>
      <c r="BG27" s="91" t="n">
        <v>-0.047</v>
      </c>
      <c r="BI27" s="173" t="n">
        <f aca="false">SUMIFS('Dados Mov Financeira'!$N:$N,'Dados Mov Financeira'!$O:$O,'DRE 2024'!$B27,'Dados Mov Financeira'!$A:$A,'DRE 2024'!BI$1,'Dados Mov Financeira'!$B:$B,'DRE 2024'!BI$2)</f>
        <v>0</v>
      </c>
      <c r="BJ27" s="91" t="n">
        <f aca="false">IFERROR(BI27/BI$5,0)</f>
        <v>0</v>
      </c>
      <c r="BK27" s="139" t="n">
        <f aca="false">IFERROR((BI27/BF27)-1,0)</f>
        <v>-1</v>
      </c>
      <c r="BL27" s="157" t="n">
        <f aca="false">BM27*BL6</f>
        <v>-7050</v>
      </c>
      <c r="BM27" s="91" t="n">
        <v>-0.047</v>
      </c>
      <c r="BO27" s="173" t="n">
        <f aca="false">SUMIFS('Dados Mov Financeira'!$N:$N,'Dados Mov Financeira'!$O:$O,'DRE 2024'!$B27,'Dados Mov Financeira'!$A:$A,'DRE 2024'!BO$1,'Dados Mov Financeira'!$B:$B,'DRE 2024'!BO$2)</f>
        <v>0</v>
      </c>
      <c r="BP27" s="91" t="n">
        <f aca="false">IFERROR(BO27/BO$5,0)</f>
        <v>0</v>
      </c>
      <c r="BQ27" s="139" t="n">
        <f aca="false">IFERROR((BO27/BL27)-1,0)</f>
        <v>-1</v>
      </c>
      <c r="BR27" s="157" t="n">
        <f aca="false">BS27*BR6</f>
        <v>-7050</v>
      </c>
      <c r="BS27" s="91" t="n">
        <v>-0.047</v>
      </c>
      <c r="BT27" s="171"/>
      <c r="BU27" s="173" t="n">
        <f aca="false">SUMIFS('Dados Mov Financeira'!$N:$N,'Dados Mov Financeira'!$O:$O,'DRE 2024'!$B27,'Dados Mov Financeira'!$A:$A,'DRE 2024'!BU$1,'Dados Mov Financeira'!$B:$B,'DRE 2024'!BU$2)</f>
        <v>0</v>
      </c>
      <c r="BV27" s="91" t="n">
        <f aca="false">IFERROR(BU27/BU$5,0)</f>
        <v>0</v>
      </c>
      <c r="BW27" s="139" t="n">
        <f aca="false">IFERROR((BU27/BR27)-1,0)</f>
        <v>-1</v>
      </c>
      <c r="BX27" s="172" t="n">
        <f aca="false">SUM(D27,J27,P27,V27,AB27,AH27,AN27,AT27,AZ27,BF27,BL27,BR27)</f>
        <v>-68385</v>
      </c>
      <c r="BY27" s="91" t="n">
        <f aca="false">IFERROR(BX27/BX$5,0)</f>
        <v>-0.047</v>
      </c>
      <c r="CA27" s="172" t="n">
        <f aca="false">SUM(G27,M27,S27,Y27,AE27,AK27,AQ27,AW27,BC27,BI27,BO27,BU27)</f>
        <v>0</v>
      </c>
      <c r="CB27" s="91" t="n">
        <f aca="false">IFERROR(CA27/CA$5,0)</f>
        <v>0</v>
      </c>
      <c r="CC27" s="139" t="n">
        <f aca="false">IFERROR((CA27/BX27)-1,0)</f>
        <v>-1</v>
      </c>
      <c r="CE27" s="174" t="n">
        <f aca="false">BX27/$CF$1</f>
        <v>-5698.75</v>
      </c>
      <c r="CF27" s="94" t="n">
        <f aca="false">IFERROR(CE27/CE$5,0)</f>
        <v>-0.047</v>
      </c>
      <c r="CH27" s="174" t="n">
        <f aca="false">CA27/$CI$1</f>
        <v>0</v>
      </c>
      <c r="CI27" s="94" t="n">
        <f aca="false">IFERROR(CH27/CH$5,0)</f>
        <v>0</v>
      </c>
    </row>
    <row r="28" customFormat="false" ht="14.25" hidden="false" customHeight="false" outlineLevel="1" collapsed="false">
      <c r="B28" s="169" t="s">
        <v>54</v>
      </c>
      <c r="D28" s="157" t="n">
        <v>0</v>
      </c>
      <c r="E28" s="91" t="n">
        <v>0</v>
      </c>
      <c r="G28" s="157" t="n">
        <f aca="false">SUMIFS('Dados Mov Financeira'!$N:$N,'Dados Mov Financeira'!$O:$O,'DRE 2024'!$B28,'Dados Mov Financeira'!$A:$A,'DRE 2024'!G$1,'Dados Mov Financeira'!$B:$B,'DRE 2024'!G$2)</f>
        <v>0</v>
      </c>
      <c r="H28" s="91" t="n">
        <f aca="false">IFERROR(G28/G$5,0)</f>
        <v>0</v>
      </c>
      <c r="I28" s="138" t="n">
        <f aca="false">IFERROR((G28/D28)-1,0)</f>
        <v>0</v>
      </c>
      <c r="J28" s="157" t="n">
        <v>0</v>
      </c>
      <c r="K28" s="91" t="n">
        <v>0</v>
      </c>
      <c r="M28" s="157" t="n">
        <f aca="false">SUMIFS('Dados Mov Financeira'!$N:$N,'Dados Mov Financeira'!$O:$O,'DRE 2024'!$B28,'Dados Mov Financeira'!$A:$A,'DRE 2024'!M$1,'Dados Mov Financeira'!$B:$B,'DRE 2024'!M$2)</f>
        <v>0</v>
      </c>
      <c r="N28" s="91" t="n">
        <f aca="false">IFERROR(M28/M$5,0)</f>
        <v>0</v>
      </c>
      <c r="O28" s="139" t="n">
        <f aca="false">IFERROR((M28/J28)-1,0)</f>
        <v>0</v>
      </c>
      <c r="P28" s="157" t="n">
        <v>0</v>
      </c>
      <c r="Q28" s="91" t="n">
        <v>0</v>
      </c>
      <c r="S28" s="157" t="n">
        <f aca="false">SUMIFS('Dados Mov Financeira'!$N:$N,'Dados Mov Financeira'!$O:$O,'DRE 2024'!$B28,'Dados Mov Financeira'!$A:$A,'DRE 2024'!S$1,'Dados Mov Financeira'!$B:$B,'DRE 2024'!S$2)</f>
        <v>0</v>
      </c>
      <c r="T28" s="91" t="n">
        <f aca="false">IFERROR(S28/S$5,0)</f>
        <v>0</v>
      </c>
      <c r="U28" s="139" t="n">
        <f aca="false">IFERROR((S28/P28)-1,0)</f>
        <v>0</v>
      </c>
      <c r="V28" s="157" t="n">
        <v>0</v>
      </c>
      <c r="W28" s="91" t="n">
        <v>0</v>
      </c>
      <c r="Y28" s="157" t="n">
        <f aca="false">SUMIFS('Dados Mov Financeira'!$N:$N,'Dados Mov Financeira'!$O:$O,'DRE 2024'!$B28,'Dados Mov Financeira'!$A:$A,'DRE 2024'!Y$1,'Dados Mov Financeira'!$B:$B,'DRE 2024'!Y$2)</f>
        <v>0</v>
      </c>
      <c r="Z28" s="91" t="n">
        <f aca="false">IFERROR(Y28/Y$5,0)</f>
        <v>0</v>
      </c>
      <c r="AA28" s="139" t="n">
        <f aca="false">IFERROR((Y28/V28)-1,0)</f>
        <v>0</v>
      </c>
      <c r="AB28" s="157" t="n">
        <v>0</v>
      </c>
      <c r="AC28" s="91" t="n">
        <v>0</v>
      </c>
      <c r="AE28" s="157" t="n">
        <f aca="false">SUMIFS('Dados Mov Financeira'!$N:$N,'Dados Mov Financeira'!$O:$O,'DRE 2024'!$B28,'Dados Mov Financeira'!$A:$A,'DRE 2024'!AE$1,'Dados Mov Financeira'!$B:$B,'DRE 2024'!AE$2)</f>
        <v>0</v>
      </c>
      <c r="AF28" s="91" t="n">
        <f aca="false">IFERROR(AE28/AE$5,0)</f>
        <v>0</v>
      </c>
      <c r="AG28" s="139" t="n">
        <f aca="false">IFERROR((AE28/AB28)-1,0)</f>
        <v>0</v>
      </c>
      <c r="AH28" s="157" t="n">
        <v>0</v>
      </c>
      <c r="AI28" s="91" t="n">
        <v>0</v>
      </c>
      <c r="AK28" s="157" t="n">
        <f aca="false">SUMIFS('Dados Mov Financeira'!$N:$N,'Dados Mov Financeira'!$O:$O,'DRE 2024'!$B28,'Dados Mov Financeira'!$A:$A,'DRE 2024'!AK$1,'Dados Mov Financeira'!$B:$B,'DRE 2024'!AK$2)</f>
        <v>0</v>
      </c>
      <c r="AL28" s="91" t="n">
        <f aca="false">IFERROR(AK28/AK$5,0)</f>
        <v>0</v>
      </c>
      <c r="AM28" s="139" t="n">
        <f aca="false">IFERROR((AK28/AH28)-1,0)</f>
        <v>0</v>
      </c>
      <c r="AN28" s="157" t="n">
        <v>0</v>
      </c>
      <c r="AO28" s="91" t="n">
        <v>0</v>
      </c>
      <c r="AQ28" s="157" t="n">
        <f aca="false">SUMIFS('Dados Mov Financeira'!$N:$N,'Dados Mov Financeira'!$O:$O,'DRE 2024'!$B28,'Dados Mov Financeira'!$A:$A,'DRE 2024'!AQ$1,'Dados Mov Financeira'!$B:$B,'DRE 2024'!AQ$2)</f>
        <v>0</v>
      </c>
      <c r="AR28" s="91" t="n">
        <f aca="false">IFERROR(AQ28/AQ$5,0)</f>
        <v>0</v>
      </c>
      <c r="AS28" s="139" t="n">
        <f aca="false">IFERROR((AQ28/AN28)-1,0)</f>
        <v>0</v>
      </c>
      <c r="AT28" s="157" t="n">
        <v>0</v>
      </c>
      <c r="AU28" s="91" t="n">
        <v>0</v>
      </c>
      <c r="AW28" s="157" t="n">
        <f aca="false">SUMIFS('Dados Mov Financeira'!$N:$N,'Dados Mov Financeira'!$O:$O,'DRE 2024'!$B28,'Dados Mov Financeira'!$A:$A,'DRE 2024'!AW$1,'Dados Mov Financeira'!$B:$B,'DRE 2024'!AW$2)</f>
        <v>0</v>
      </c>
      <c r="AX28" s="91" t="n">
        <f aca="false">IFERROR(AW28/AW$5,0)</f>
        <v>0</v>
      </c>
      <c r="AY28" s="139" t="n">
        <f aca="false">IFERROR((AW28/AT28)-1,0)</f>
        <v>0</v>
      </c>
      <c r="AZ28" s="157" t="n">
        <v>0</v>
      </c>
      <c r="BA28" s="91" t="n">
        <v>0</v>
      </c>
      <c r="BC28" s="157" t="n">
        <f aca="false">SUMIFS('Dados Mov Financeira'!$N:$N,'Dados Mov Financeira'!$O:$O,'DRE 2024'!$B28,'Dados Mov Financeira'!$A:$A,'DRE 2024'!BC$1,'Dados Mov Financeira'!$B:$B,'DRE 2024'!BC$2)</f>
        <v>0</v>
      </c>
      <c r="BD28" s="91" t="n">
        <f aca="false">IFERROR(BC28/BC$5,0)</f>
        <v>0</v>
      </c>
      <c r="BE28" s="139" t="n">
        <f aca="false">IFERROR((BC28/AZ28)-1,0)</f>
        <v>0</v>
      </c>
      <c r="BF28" s="157" t="n">
        <v>0</v>
      </c>
      <c r="BG28" s="91" t="n">
        <v>0</v>
      </c>
      <c r="BI28" s="157" t="n">
        <f aca="false">SUMIFS('Dados Mov Financeira'!$N:$N,'Dados Mov Financeira'!$O:$O,'DRE 2024'!$B28,'Dados Mov Financeira'!$A:$A,'DRE 2024'!BI$1,'Dados Mov Financeira'!$B:$B,'DRE 2024'!BI$2)</f>
        <v>0</v>
      </c>
      <c r="BJ28" s="91" t="n">
        <f aca="false">IFERROR(BI28/BI$5,0)</f>
        <v>0</v>
      </c>
      <c r="BK28" s="139" t="n">
        <f aca="false">IFERROR((BI28/BF28)-1,0)</f>
        <v>0</v>
      </c>
      <c r="BL28" s="157" t="n">
        <v>0</v>
      </c>
      <c r="BM28" s="91" t="n">
        <v>0</v>
      </c>
      <c r="BO28" s="157" t="n">
        <f aca="false">SUMIFS('Dados Mov Financeira'!$N:$N,'Dados Mov Financeira'!$O:$O,'DRE 2024'!$B28,'Dados Mov Financeira'!$A:$A,'DRE 2024'!BO$1,'Dados Mov Financeira'!$B:$B,'DRE 2024'!BO$2)</f>
        <v>0</v>
      </c>
      <c r="BP28" s="91" t="n">
        <f aca="false">IFERROR(BO28/BO$5,0)</f>
        <v>0</v>
      </c>
      <c r="BQ28" s="139" t="n">
        <f aca="false">IFERROR((BO28/BL28)-1,0)</f>
        <v>0</v>
      </c>
      <c r="BR28" s="157" t="n">
        <v>0</v>
      </c>
      <c r="BS28" s="91" t="n">
        <v>0</v>
      </c>
      <c r="BT28" s="171"/>
      <c r="BU28" s="157" t="n">
        <f aca="false">SUMIFS('Dados Mov Financeira'!$N:$N,'Dados Mov Financeira'!$O:$O,'DRE 2024'!$B28,'Dados Mov Financeira'!$A:$A,'DRE 2024'!BU$1,'Dados Mov Financeira'!$B:$B,'DRE 2024'!BU$2)</f>
        <v>0</v>
      </c>
      <c r="BV28" s="91" t="n">
        <f aca="false">IFERROR(BU28/BU$5,0)</f>
        <v>0</v>
      </c>
      <c r="BW28" s="139" t="n">
        <f aca="false">IFERROR((BU28/BR28)-1,0)</f>
        <v>0</v>
      </c>
      <c r="BX28" s="172" t="n">
        <f aca="false">SUM(D28,J28,P28,V28,AB28,AH28,AN28,AT28,AZ28,BF28,BL28,BR28)</f>
        <v>0</v>
      </c>
      <c r="BY28" s="91" t="n">
        <f aca="false">IFERROR(BX28/BX$5,0)</f>
        <v>0</v>
      </c>
      <c r="CA28" s="172" t="n">
        <f aca="false">SUM(G28,M28,S28,Y28,AE28,AK28,AQ28,AW28,BC28,BI28,BO28,BU28)</f>
        <v>0</v>
      </c>
      <c r="CB28" s="91" t="n">
        <f aca="false">IFERROR(CA28/CA$5,0)</f>
        <v>0</v>
      </c>
      <c r="CC28" s="139" t="n">
        <f aca="false">IFERROR((CA28/BX28)-1,0)</f>
        <v>0</v>
      </c>
      <c r="CE28" s="174" t="n">
        <f aca="false">BX28/$CF$1</f>
        <v>0</v>
      </c>
      <c r="CF28" s="94" t="n">
        <f aca="false">IFERROR(CE28/CE$5,0)</f>
        <v>0</v>
      </c>
      <c r="CH28" s="174" t="n">
        <f aca="false">CA28/$CI$1</f>
        <v>0</v>
      </c>
      <c r="CI28" s="94" t="n">
        <f aca="false">IFERROR(CH28/CH$5,0)</f>
        <v>0</v>
      </c>
    </row>
    <row r="29" s="150" customFormat="true" ht="14.25" hidden="false" customHeight="false" outlineLevel="0" collapsed="false">
      <c r="B29" s="166" t="s">
        <v>55</v>
      </c>
      <c r="C29" s="187"/>
      <c r="D29" s="157" t="n">
        <f aca="false">SUM(D30:D30)</f>
        <v>-13600</v>
      </c>
      <c r="E29" s="88" t="n">
        <f aca="false">IFERROR(D29/D$5,0)</f>
        <v>-0.17</v>
      </c>
      <c r="F29" s="187"/>
      <c r="G29" s="157" t="n">
        <f aca="false">SUM(G30:G30)</f>
        <v>0</v>
      </c>
      <c r="H29" s="88" t="n">
        <f aca="false">IFERROR(G29/G$5,0)</f>
        <v>0</v>
      </c>
      <c r="I29" s="138" t="n">
        <f aca="false">IFERROR((G29/D29)-1,0)</f>
        <v>-1</v>
      </c>
      <c r="J29" s="157" t="n">
        <f aca="false">SUM(J30:J30)</f>
        <v>-14450</v>
      </c>
      <c r="K29" s="88" t="n">
        <f aca="false">IFERROR(J29/J$5,0)</f>
        <v>-0.17</v>
      </c>
      <c r="L29" s="187"/>
      <c r="M29" s="157" t="n">
        <f aca="false">SUM(M30:M30)</f>
        <v>0</v>
      </c>
      <c r="N29" s="88" t="n">
        <f aca="false">IFERROR(M29/M$5,0)</f>
        <v>0</v>
      </c>
      <c r="O29" s="139" t="n">
        <f aca="false">IFERROR((M29/J29)-1,0)</f>
        <v>-1</v>
      </c>
      <c r="P29" s="157" t="n">
        <f aca="false">SUM(P30:P30)</f>
        <v>-15300</v>
      </c>
      <c r="Q29" s="88" t="n">
        <f aca="false">IFERROR(P29/P$5,0)</f>
        <v>-0.17</v>
      </c>
      <c r="R29" s="187"/>
      <c r="S29" s="157" t="n">
        <f aca="false">SUM(S30:S30)</f>
        <v>0</v>
      </c>
      <c r="T29" s="88" t="n">
        <f aca="false">IFERROR(S29/S$5,0)</f>
        <v>0</v>
      </c>
      <c r="U29" s="139" t="n">
        <f aca="false">IFERROR((S29/P29)-1,0)</f>
        <v>-1</v>
      </c>
      <c r="V29" s="157" t="n">
        <f aca="false">SUM(V30:V30)</f>
        <v>-17000</v>
      </c>
      <c r="W29" s="88" t="n">
        <f aca="false">IFERROR(V29/V$5,0)</f>
        <v>-0.17</v>
      </c>
      <c r="X29" s="187"/>
      <c r="Y29" s="157" t="n">
        <f aca="false">SUM(Y30:Y30)</f>
        <v>0</v>
      </c>
      <c r="Z29" s="88" t="n">
        <f aca="false">IFERROR(Y29/Y$5,0)</f>
        <v>0</v>
      </c>
      <c r="AA29" s="139" t="n">
        <f aca="false">IFERROR((Y29/V29)-1,0)</f>
        <v>-1</v>
      </c>
      <c r="AB29" s="157" t="n">
        <f aca="false">SUM(AB30:AB30)</f>
        <v>-18700</v>
      </c>
      <c r="AC29" s="88" t="n">
        <f aca="false">IFERROR(AB29/AB$5,0)</f>
        <v>-0.17</v>
      </c>
      <c r="AD29" s="187"/>
      <c r="AE29" s="157" t="n">
        <f aca="false">SUM(AE30:AE30)</f>
        <v>0</v>
      </c>
      <c r="AF29" s="88" t="n">
        <f aca="false">IFERROR(AE29/AE$5,0)</f>
        <v>0</v>
      </c>
      <c r="AG29" s="139" t="n">
        <f aca="false">IFERROR((AE29/AB29)-1,0)</f>
        <v>-1</v>
      </c>
      <c r="AH29" s="157" t="n">
        <f aca="false">SUM(AH30:AH30)</f>
        <v>-20400</v>
      </c>
      <c r="AI29" s="88" t="n">
        <f aca="false">IFERROR(AH29/AH$5,0)</f>
        <v>-0.17</v>
      </c>
      <c r="AJ29" s="187"/>
      <c r="AK29" s="157" t="n">
        <f aca="false">SUM(AK30:AK30)</f>
        <v>0</v>
      </c>
      <c r="AL29" s="88" t="n">
        <f aca="false">IFERROR(AK29/AK$5,0)</f>
        <v>0</v>
      </c>
      <c r="AM29" s="139" t="n">
        <f aca="false">IFERROR((AK29/AH29)-1,0)</f>
        <v>-1</v>
      </c>
      <c r="AN29" s="157" t="n">
        <f aca="false">SUM(AN30:AN30)</f>
        <v>-22100</v>
      </c>
      <c r="AO29" s="88" t="n">
        <f aca="false">IFERROR(AN29/AN$5,0)</f>
        <v>-0.17</v>
      </c>
      <c r="AP29" s="187"/>
      <c r="AQ29" s="157" t="n">
        <f aca="false">SUM(AQ30:AQ30)</f>
        <v>0</v>
      </c>
      <c r="AR29" s="88" t="n">
        <f aca="false">IFERROR(AQ29/AQ$5,0)</f>
        <v>0</v>
      </c>
      <c r="AS29" s="139" t="n">
        <f aca="false">IFERROR((AQ29/AN29)-1,0)</f>
        <v>-1</v>
      </c>
      <c r="AT29" s="157" t="n">
        <f aca="false">SUM(AT30:AT30)</f>
        <v>-23800</v>
      </c>
      <c r="AU29" s="88" t="n">
        <f aca="false">IFERROR(AT29/AT$5,0)</f>
        <v>-0.17</v>
      </c>
      <c r="AV29" s="187"/>
      <c r="AW29" s="157" t="n">
        <f aca="false">SUM(AW30:AW30)</f>
        <v>0</v>
      </c>
      <c r="AX29" s="88" t="n">
        <f aca="false">IFERROR(AW29/AW$5,0)</f>
        <v>0</v>
      </c>
      <c r="AY29" s="139" t="n">
        <f aca="false">IFERROR((AW29/AT29)-1,0)</f>
        <v>-1</v>
      </c>
      <c r="AZ29" s="157" t="n">
        <f aca="false">SUM(AZ30:AZ30)</f>
        <v>-25500</v>
      </c>
      <c r="BA29" s="88" t="n">
        <f aca="false">IFERROR(AZ29/AZ$5,0)</f>
        <v>-0.17</v>
      </c>
      <c r="BB29" s="187"/>
      <c r="BC29" s="157" t="n">
        <f aca="false">SUM(BC30:BC30)</f>
        <v>0</v>
      </c>
      <c r="BD29" s="88" t="n">
        <f aca="false">IFERROR(BC29/BC$5,0)</f>
        <v>0</v>
      </c>
      <c r="BE29" s="139" t="n">
        <f aca="false">IFERROR((BC29/AZ29)-1,0)</f>
        <v>-1</v>
      </c>
      <c r="BF29" s="157" t="n">
        <f aca="false">SUM(BF30:BF30)</f>
        <v>-25500</v>
      </c>
      <c r="BG29" s="88" t="n">
        <f aca="false">IFERROR(BF29/BF$5,0)</f>
        <v>-0.17</v>
      </c>
      <c r="BH29" s="187"/>
      <c r="BI29" s="157" t="n">
        <f aca="false">SUM(BI30:BI30)</f>
        <v>0</v>
      </c>
      <c r="BJ29" s="88" t="n">
        <f aca="false">IFERROR(BI29/BI$5,0)</f>
        <v>0</v>
      </c>
      <c r="BK29" s="139" t="n">
        <f aca="false">IFERROR((BI29/BF29)-1,0)</f>
        <v>-1</v>
      </c>
      <c r="BL29" s="157" t="n">
        <f aca="false">SUM(BL30:BL30)</f>
        <v>-25500</v>
      </c>
      <c r="BM29" s="88" t="n">
        <f aca="false">IFERROR(BL29/BL$5,0)</f>
        <v>-0.17</v>
      </c>
      <c r="BN29" s="187"/>
      <c r="BO29" s="157" t="n">
        <f aca="false">SUM(BO30:BO30)</f>
        <v>0</v>
      </c>
      <c r="BP29" s="88" t="n">
        <f aca="false">IFERROR(BO29/BO$5,0)</f>
        <v>0</v>
      </c>
      <c r="BQ29" s="139" t="n">
        <f aca="false">IFERROR((BO29/BL29)-1,0)</f>
        <v>-1</v>
      </c>
      <c r="BR29" s="157" t="n">
        <f aca="false">SUM(BR30:BR30)</f>
        <v>-25500</v>
      </c>
      <c r="BS29" s="88" t="n">
        <f aca="false">IFERROR(BR29/BR$5,0)</f>
        <v>-0.17</v>
      </c>
      <c r="BT29" s="158"/>
      <c r="BU29" s="157" t="n">
        <f aca="false">SUM(BU30:BU30)</f>
        <v>0</v>
      </c>
      <c r="BV29" s="88" t="n">
        <f aca="false">IFERROR(BU29/BU$5,0)</f>
        <v>0</v>
      </c>
      <c r="BW29" s="139" t="n">
        <f aca="false">IFERROR((BU29/BR29)-1,0)</f>
        <v>-1</v>
      </c>
      <c r="BX29" s="157" t="n">
        <f aca="false">SUM(BX30:BX30)</f>
        <v>-247350</v>
      </c>
      <c r="BY29" s="88" t="n">
        <f aca="false">IFERROR(BX29/BX$5,0)</f>
        <v>-0.17</v>
      </c>
      <c r="BZ29" s="187"/>
      <c r="CA29" s="157" t="n">
        <f aca="false">SUM(CA30:CA30)</f>
        <v>0</v>
      </c>
      <c r="CB29" s="88" t="n">
        <f aca="false">IFERROR(CA29/CA$5,0)</f>
        <v>0</v>
      </c>
      <c r="CC29" s="139" t="n">
        <f aca="false">IFERROR((CA29/BX29)-1,0)</f>
        <v>-1</v>
      </c>
      <c r="CD29" s="187"/>
      <c r="CE29" s="157" t="n">
        <f aca="false">SUM(CE30:CE30)</f>
        <v>-20612.5</v>
      </c>
      <c r="CF29" s="76" t="n">
        <f aca="false">IFERROR(CE29/CE$5,0)</f>
        <v>-0.17</v>
      </c>
      <c r="CG29" s="187"/>
      <c r="CH29" s="157" t="n">
        <f aca="false">SUM(CH30:CH30)</f>
        <v>0</v>
      </c>
      <c r="CI29" s="76" t="n">
        <f aca="false">IFERROR(CH29/CH$5,0)</f>
        <v>0</v>
      </c>
    </row>
    <row r="30" s="178" customFormat="true" ht="14.25" hidden="false" customHeight="false" outlineLevel="1" collapsed="false">
      <c r="B30" s="179" t="s">
        <v>57</v>
      </c>
      <c r="C30" s="180"/>
      <c r="D30" s="181" t="n">
        <f aca="false">D5*E30</f>
        <v>-13600</v>
      </c>
      <c r="E30" s="182" t="n">
        <v>-0.17</v>
      </c>
      <c r="F30" s="180"/>
      <c r="G30" s="181" t="n">
        <f aca="false">SUMIFS('Dados Mov Financeira'!$N:$N,'Dados Mov Financeira'!$O:$O,'DRE 2024'!$B30,'Dados Mov Financeira'!$A:$A,'DRE 2024'!G$1,'Dados Mov Financeira'!$B:$B,'DRE 2024'!G$2)</f>
        <v>0</v>
      </c>
      <c r="H30" s="182" t="n">
        <f aca="false">IFERROR(G30/G$5,0)</f>
        <v>0</v>
      </c>
      <c r="I30" s="138" t="n">
        <f aca="false">IFERROR((G30/D30)-1,0)</f>
        <v>-1</v>
      </c>
      <c r="J30" s="181" t="n">
        <f aca="false">J5*K30</f>
        <v>-14450</v>
      </c>
      <c r="K30" s="182" t="n">
        <v>-0.17</v>
      </c>
      <c r="L30" s="180"/>
      <c r="M30" s="181" t="n">
        <f aca="false">SUMIFS('Dados Mov Financeira'!$N:$N,'Dados Mov Financeira'!$O:$O,'DRE 2024'!$B30,'Dados Mov Financeira'!$A:$A,'DRE 2024'!M$1,'Dados Mov Financeira'!$B:$B,'DRE 2024'!M$2)</f>
        <v>0</v>
      </c>
      <c r="N30" s="182" t="n">
        <f aca="false">IFERROR(M30/M$5,0)</f>
        <v>0</v>
      </c>
      <c r="O30" s="183" t="n">
        <f aca="false">IFERROR((M30/J30)-1,0)</f>
        <v>-1</v>
      </c>
      <c r="P30" s="181" t="n">
        <f aca="false">P5*Q30</f>
        <v>-15300</v>
      </c>
      <c r="Q30" s="182" t="n">
        <v>-0.17</v>
      </c>
      <c r="R30" s="180"/>
      <c r="S30" s="181" t="n">
        <f aca="false">SUMIFS('Dados Mov Financeira'!$N:$N,'Dados Mov Financeira'!$O:$O,'DRE 2024'!$B30,'Dados Mov Financeira'!$A:$A,'DRE 2024'!S$1,'Dados Mov Financeira'!$B:$B,'DRE 2024'!S$2)</f>
        <v>0</v>
      </c>
      <c r="T30" s="182" t="n">
        <f aca="false">IFERROR(S30/S$5,0)</f>
        <v>0</v>
      </c>
      <c r="U30" s="183" t="n">
        <f aca="false">IFERROR((S30/P30)-1,0)</f>
        <v>-1</v>
      </c>
      <c r="V30" s="181" t="n">
        <f aca="false">V5*W30</f>
        <v>-17000</v>
      </c>
      <c r="W30" s="182" t="n">
        <v>-0.17</v>
      </c>
      <c r="X30" s="180"/>
      <c r="Y30" s="181" t="n">
        <f aca="false">SUMIFS('Dados Mov Financeira'!$N:$N,'Dados Mov Financeira'!$O:$O,'DRE 2024'!$B30,'Dados Mov Financeira'!$A:$A,'DRE 2024'!Y$1,'Dados Mov Financeira'!$B:$B,'DRE 2024'!Y$2)</f>
        <v>0</v>
      </c>
      <c r="Z30" s="182" t="n">
        <f aca="false">IFERROR(Y30/Y$5,0)</f>
        <v>0</v>
      </c>
      <c r="AA30" s="183" t="n">
        <f aca="false">IFERROR((Y30/V30)-1,0)</f>
        <v>-1</v>
      </c>
      <c r="AB30" s="181" t="n">
        <f aca="false">AB5*AC30</f>
        <v>-18700</v>
      </c>
      <c r="AC30" s="182" t="n">
        <v>-0.17</v>
      </c>
      <c r="AD30" s="180"/>
      <c r="AE30" s="181" t="n">
        <f aca="false">SUMIFS('Dados Mov Financeira'!$N:$N,'Dados Mov Financeira'!$O:$O,'DRE 2024'!$B30,'Dados Mov Financeira'!$A:$A,'DRE 2024'!AE$1,'Dados Mov Financeira'!$B:$B,'DRE 2024'!AE$2)</f>
        <v>0</v>
      </c>
      <c r="AF30" s="182" t="n">
        <f aca="false">IFERROR(AE30/AE$5,0)</f>
        <v>0</v>
      </c>
      <c r="AG30" s="183" t="n">
        <f aca="false">IFERROR((AE30/AB30)-1,0)</f>
        <v>-1</v>
      </c>
      <c r="AH30" s="181" t="n">
        <f aca="false">AH5*AI30</f>
        <v>-20400</v>
      </c>
      <c r="AI30" s="182" t="n">
        <v>-0.17</v>
      </c>
      <c r="AJ30" s="180"/>
      <c r="AK30" s="181" t="n">
        <f aca="false">SUMIFS('Dados Mov Financeira'!$N:$N,'Dados Mov Financeira'!$O:$O,'DRE 2024'!$B30,'Dados Mov Financeira'!$A:$A,'DRE 2024'!AK$1,'Dados Mov Financeira'!$B:$B,'DRE 2024'!AK$2)</f>
        <v>0</v>
      </c>
      <c r="AL30" s="182" t="n">
        <f aca="false">IFERROR(AK30/AK$5,0)</f>
        <v>0</v>
      </c>
      <c r="AM30" s="183" t="n">
        <f aca="false">IFERROR((AK30/AH30)-1,0)</f>
        <v>-1</v>
      </c>
      <c r="AN30" s="181" t="n">
        <f aca="false">AN5*AO30</f>
        <v>-22100</v>
      </c>
      <c r="AO30" s="182" t="n">
        <v>-0.17</v>
      </c>
      <c r="AP30" s="180"/>
      <c r="AQ30" s="181" t="n">
        <f aca="false">SUMIFS('Dados Mov Financeira'!$N:$N,'Dados Mov Financeira'!$O:$O,'DRE 2024'!$B30,'Dados Mov Financeira'!$A:$A,'DRE 2024'!AQ$1,'Dados Mov Financeira'!$B:$B,'DRE 2024'!AQ$2)</f>
        <v>0</v>
      </c>
      <c r="AR30" s="182" t="n">
        <f aca="false">IFERROR(AQ30/AQ$5,0)</f>
        <v>0</v>
      </c>
      <c r="AS30" s="183" t="n">
        <f aca="false">IFERROR((AQ30/AN30)-1,0)</f>
        <v>-1</v>
      </c>
      <c r="AT30" s="181" t="n">
        <f aca="false">AT5*AU30</f>
        <v>-23800</v>
      </c>
      <c r="AU30" s="182" t="n">
        <v>-0.17</v>
      </c>
      <c r="AV30" s="180"/>
      <c r="AW30" s="181" t="n">
        <f aca="false">SUMIFS('Dados Mov Financeira'!$N:$N,'Dados Mov Financeira'!$O:$O,'DRE 2024'!$B30,'Dados Mov Financeira'!$A:$A,'DRE 2024'!AW$1,'Dados Mov Financeira'!$B:$B,'DRE 2024'!AW$2)</f>
        <v>0</v>
      </c>
      <c r="AX30" s="182" t="n">
        <f aca="false">IFERROR(AW30/AW$5,0)</f>
        <v>0</v>
      </c>
      <c r="AY30" s="183" t="n">
        <f aca="false">IFERROR((AW30/AT30)-1,0)</f>
        <v>-1</v>
      </c>
      <c r="AZ30" s="181" t="n">
        <f aca="false">AZ5*BA30</f>
        <v>-25500</v>
      </c>
      <c r="BA30" s="182" t="n">
        <v>-0.17</v>
      </c>
      <c r="BB30" s="180"/>
      <c r="BC30" s="181" t="n">
        <f aca="false">SUMIFS('Dados Mov Financeira'!$N:$N,'Dados Mov Financeira'!$O:$O,'DRE 2024'!$B30,'Dados Mov Financeira'!$A:$A,'DRE 2024'!BC$1,'Dados Mov Financeira'!$B:$B,'DRE 2024'!BC$2)</f>
        <v>0</v>
      </c>
      <c r="BD30" s="182" t="n">
        <f aca="false">IFERROR(BC30/BC$5,0)</f>
        <v>0</v>
      </c>
      <c r="BE30" s="183" t="n">
        <f aca="false">IFERROR((BC30/AZ30)-1,0)</f>
        <v>-1</v>
      </c>
      <c r="BF30" s="181" t="n">
        <f aca="false">BF5*BG30</f>
        <v>-25500</v>
      </c>
      <c r="BG30" s="182" t="n">
        <v>-0.17</v>
      </c>
      <c r="BH30" s="180"/>
      <c r="BI30" s="181" t="n">
        <f aca="false">SUMIFS('Dados Mov Financeira'!$N:$N,'Dados Mov Financeira'!$O:$O,'DRE 2024'!$B30,'Dados Mov Financeira'!$A:$A,'DRE 2024'!BI$1,'Dados Mov Financeira'!$B:$B,'DRE 2024'!BI$2)</f>
        <v>0</v>
      </c>
      <c r="BJ30" s="182" t="n">
        <f aca="false">IFERROR(BI30/BI$5,0)</f>
        <v>0</v>
      </c>
      <c r="BK30" s="183" t="n">
        <f aca="false">IFERROR((BI30/BF30)-1,0)</f>
        <v>-1</v>
      </c>
      <c r="BL30" s="181" t="n">
        <f aca="false">BL5*BM30</f>
        <v>-25500</v>
      </c>
      <c r="BM30" s="182" t="n">
        <v>-0.17</v>
      </c>
      <c r="BN30" s="180"/>
      <c r="BO30" s="181" t="n">
        <f aca="false">SUMIFS('Dados Mov Financeira'!$N:$N,'Dados Mov Financeira'!$O:$O,'DRE 2024'!$B30,'Dados Mov Financeira'!$A:$A,'DRE 2024'!BO$1,'Dados Mov Financeira'!$B:$B,'DRE 2024'!BO$2)</f>
        <v>0</v>
      </c>
      <c r="BP30" s="182" t="n">
        <f aca="false">IFERROR(BO30/BO$5,0)</f>
        <v>0</v>
      </c>
      <c r="BQ30" s="183" t="n">
        <f aca="false">IFERROR((BO30/BL30)-1,0)</f>
        <v>-1</v>
      </c>
      <c r="BR30" s="181" t="n">
        <f aca="false">BR5*BS30</f>
        <v>-25500</v>
      </c>
      <c r="BS30" s="182" t="n">
        <v>-0.17</v>
      </c>
      <c r="BT30" s="184"/>
      <c r="BU30" s="181" t="n">
        <f aca="false">SUMIFS('Dados Mov Financeira'!$N:$N,'Dados Mov Financeira'!$O:$O,'DRE 2024'!$B30,'Dados Mov Financeira'!$A:$A,'DRE 2024'!BU$1,'Dados Mov Financeira'!$B:$B,'DRE 2024'!BU$2)</f>
        <v>0</v>
      </c>
      <c r="BV30" s="182" t="n">
        <f aca="false">IFERROR(BU30/BU$5,0)</f>
        <v>0</v>
      </c>
      <c r="BW30" s="183" t="n">
        <f aca="false">IFERROR((BU30/BR30)-1,0)</f>
        <v>-1</v>
      </c>
      <c r="BX30" s="185" t="n">
        <f aca="false">SUM(D30,J30,P30,V30,AB30,AH30,AN30,AT30,AZ30,BF30,BL30,BR30)</f>
        <v>-247350</v>
      </c>
      <c r="BY30" s="182" t="n">
        <f aca="false">IFERROR(BX30/BX$5,0)</f>
        <v>-0.17</v>
      </c>
      <c r="BZ30" s="180"/>
      <c r="CA30" s="185" t="n">
        <f aca="false">SUM(G30,M30,S30,Y30,AE30,AK30,AQ30,AW30,BC30,BI30,BO30,BU30)</f>
        <v>0</v>
      </c>
      <c r="CB30" s="182" t="n">
        <f aca="false">IFERROR(CA30/CA$5,0)</f>
        <v>0</v>
      </c>
      <c r="CC30" s="183" t="n">
        <f aca="false">IFERROR((CA30/BX30)-1,0)</f>
        <v>-1</v>
      </c>
      <c r="CD30" s="180"/>
      <c r="CE30" s="186" t="n">
        <f aca="false">BX30/$CF$1</f>
        <v>-20612.5</v>
      </c>
      <c r="CF30" s="182" t="n">
        <f aca="false">IFERROR(CE30/CE$5,0)</f>
        <v>-0.17</v>
      </c>
      <c r="CG30" s="180"/>
      <c r="CH30" s="186" t="n">
        <f aca="false">CA30/$CI$1</f>
        <v>0</v>
      </c>
      <c r="CI30" s="182" t="n">
        <f aca="false">IFERROR(CH30/CH$5,0)</f>
        <v>0</v>
      </c>
    </row>
    <row r="31" s="128" customFormat="true" ht="7.5" hidden="false" customHeight="true" outlineLevel="0" collapsed="false">
      <c r="B31" s="135"/>
      <c r="C31" s="145"/>
      <c r="D31" s="161"/>
      <c r="E31" s="60"/>
      <c r="F31" s="145"/>
      <c r="G31" s="161"/>
      <c r="H31" s="60"/>
      <c r="I31" s="60"/>
      <c r="J31" s="161"/>
      <c r="K31" s="60"/>
      <c r="L31" s="145"/>
      <c r="M31" s="161"/>
      <c r="N31" s="60"/>
      <c r="O31" s="149"/>
      <c r="P31" s="161"/>
      <c r="Q31" s="60"/>
      <c r="R31" s="145"/>
      <c r="S31" s="161"/>
      <c r="T31" s="60"/>
      <c r="U31" s="149"/>
      <c r="V31" s="161"/>
      <c r="W31" s="60"/>
      <c r="X31" s="145"/>
      <c r="Y31" s="161"/>
      <c r="Z31" s="60"/>
      <c r="AA31" s="149"/>
      <c r="AB31" s="161"/>
      <c r="AC31" s="60"/>
      <c r="AD31" s="145"/>
      <c r="AE31" s="161"/>
      <c r="AF31" s="60"/>
      <c r="AG31" s="149"/>
      <c r="AH31" s="161"/>
      <c r="AI31" s="60"/>
      <c r="AJ31" s="145"/>
      <c r="AK31" s="161"/>
      <c r="AL31" s="60"/>
      <c r="AM31" s="149"/>
      <c r="AN31" s="161"/>
      <c r="AO31" s="60"/>
      <c r="AP31" s="145"/>
      <c r="AQ31" s="161"/>
      <c r="AR31" s="60"/>
      <c r="AS31" s="149"/>
      <c r="AT31" s="161"/>
      <c r="AU31" s="60"/>
      <c r="AV31" s="145"/>
      <c r="AW31" s="161"/>
      <c r="AX31" s="60"/>
      <c r="AY31" s="149"/>
      <c r="AZ31" s="161"/>
      <c r="BA31" s="60"/>
      <c r="BB31" s="145"/>
      <c r="BC31" s="161"/>
      <c r="BD31" s="60"/>
      <c r="BE31" s="149"/>
      <c r="BF31" s="161"/>
      <c r="BG31" s="60"/>
      <c r="BH31" s="145"/>
      <c r="BI31" s="161"/>
      <c r="BJ31" s="60"/>
      <c r="BK31" s="149"/>
      <c r="BL31" s="161"/>
      <c r="BM31" s="60"/>
      <c r="BN31" s="145"/>
      <c r="BO31" s="161"/>
      <c r="BP31" s="60"/>
      <c r="BQ31" s="149"/>
      <c r="BR31" s="161"/>
      <c r="BS31" s="60"/>
      <c r="BT31" s="149"/>
      <c r="BU31" s="161"/>
      <c r="BV31" s="60"/>
      <c r="BW31" s="149"/>
      <c r="BX31" s="161"/>
      <c r="BY31" s="60"/>
      <c r="BZ31" s="145"/>
      <c r="CA31" s="161"/>
      <c r="CB31" s="60"/>
      <c r="CC31" s="149"/>
      <c r="CD31" s="145"/>
      <c r="CE31" s="162"/>
      <c r="CF31" s="60"/>
      <c r="CG31" s="145"/>
      <c r="CH31" s="162"/>
      <c r="CI31" s="60"/>
    </row>
    <row r="32" s="150" customFormat="true" ht="14.25" hidden="false" customHeight="false" outlineLevel="0" collapsed="false">
      <c r="A32" s="126"/>
      <c r="B32" s="188" t="s">
        <v>58</v>
      </c>
      <c r="D32" s="189" t="n">
        <f aca="false">SUM(D21,D23)</f>
        <v>50420</v>
      </c>
      <c r="E32" s="104" t="n">
        <f aca="false">IFERROR(D32/D$5,0)</f>
        <v>0.63025</v>
      </c>
      <c r="G32" s="189" t="n">
        <f aca="false">SUM(G21,G23)</f>
        <v>0</v>
      </c>
      <c r="H32" s="104" t="n">
        <f aca="false">IFERROR(G32/G$5,0)</f>
        <v>0</v>
      </c>
      <c r="I32" s="138" t="n">
        <f aca="false">IFERROR(G32/D32,0)</f>
        <v>0</v>
      </c>
      <c r="J32" s="189" t="n">
        <f aca="false">SUM(J21,J23)</f>
        <v>52595</v>
      </c>
      <c r="K32" s="104" t="n">
        <f aca="false">IFERROR(J32/J$5,0)</f>
        <v>0.618764705882353</v>
      </c>
      <c r="M32" s="189" t="n">
        <f aca="false">SUM(M21,M23)</f>
        <v>0</v>
      </c>
      <c r="N32" s="104" t="n">
        <f aca="false">IFERROR(M32/M$5,0)</f>
        <v>0</v>
      </c>
      <c r="O32" s="139" t="n">
        <f aca="false">IFERROR(M32/J32,0)</f>
        <v>0</v>
      </c>
      <c r="P32" s="189" t="n">
        <f aca="false">SUM(P21,P23)</f>
        <v>55730</v>
      </c>
      <c r="Q32" s="104" t="n">
        <f aca="false">IFERROR(P32/P$5,0)</f>
        <v>0.619222222222222</v>
      </c>
      <c r="S32" s="189" t="n">
        <f aca="false">SUM(S21,S23)</f>
        <v>0</v>
      </c>
      <c r="T32" s="104" t="n">
        <f aca="false">IFERROR(S32/S$5,0)</f>
        <v>0</v>
      </c>
      <c r="U32" s="139" t="n">
        <f aca="false">IFERROR(S32/P32,0)</f>
        <v>0</v>
      </c>
      <c r="V32" s="189" t="n">
        <f aca="false">SUM(V21,V23)</f>
        <v>62000</v>
      </c>
      <c r="W32" s="104" t="n">
        <f aca="false">IFERROR(V32/V$5,0)</f>
        <v>0.62</v>
      </c>
      <c r="Y32" s="189" t="n">
        <f aca="false">SUM(Y21,Y23)</f>
        <v>0</v>
      </c>
      <c r="Z32" s="104" t="n">
        <f aca="false">IFERROR(Y32/Y$5,0)</f>
        <v>0</v>
      </c>
      <c r="AA32" s="139" t="n">
        <f aca="false">IFERROR(Y32/V32,0)</f>
        <v>0</v>
      </c>
      <c r="AB32" s="189" t="n">
        <f aca="false">SUM(AB21,AB23)</f>
        <v>68270</v>
      </c>
      <c r="AC32" s="104" t="n">
        <f aca="false">IFERROR(AB32/AB$5,0)</f>
        <v>0.620636363636364</v>
      </c>
      <c r="AE32" s="189" t="n">
        <f aca="false">SUM(AE21,AE23)</f>
        <v>0</v>
      </c>
      <c r="AF32" s="104" t="n">
        <f aca="false">IFERROR(AE32/AE$5,0)</f>
        <v>0</v>
      </c>
      <c r="AG32" s="139" t="n">
        <f aca="false">IFERROR(AE32/AB32,0)</f>
        <v>0</v>
      </c>
      <c r="AH32" s="189" t="n">
        <f aca="false">SUM(AH21,AH23)</f>
        <v>74540</v>
      </c>
      <c r="AI32" s="104" t="n">
        <f aca="false">IFERROR(AH32/AH$5,0)</f>
        <v>0.621166666666667</v>
      </c>
      <c r="AK32" s="189" t="n">
        <f aca="false">SUM(AK21,AK23)</f>
        <v>0</v>
      </c>
      <c r="AL32" s="104" t="n">
        <f aca="false">IFERROR(AK32/AK$5,0)</f>
        <v>0</v>
      </c>
      <c r="AM32" s="139" t="n">
        <f aca="false">IFERROR(AK32/AH32,0)</f>
        <v>0</v>
      </c>
      <c r="AN32" s="189" t="n">
        <f aca="false">SUM(AN21,AN23)</f>
        <v>80810</v>
      </c>
      <c r="AO32" s="104" t="n">
        <f aca="false">IFERROR(AN32/AN$5,0)</f>
        <v>0.621615384615385</v>
      </c>
      <c r="AQ32" s="189" t="n">
        <f aca="false">SUM(AQ21,AQ23)</f>
        <v>0</v>
      </c>
      <c r="AR32" s="104" t="n">
        <f aca="false">IFERROR(AQ32/AQ$5,0)</f>
        <v>0</v>
      </c>
      <c r="AS32" s="139" t="n">
        <f aca="false">IFERROR(AQ32/AN32,0)</f>
        <v>0</v>
      </c>
      <c r="AT32" s="189" t="n">
        <f aca="false">SUM(AT21,AT23)</f>
        <v>87080</v>
      </c>
      <c r="AU32" s="104" t="n">
        <f aca="false">IFERROR(AT32/AT$5,0)</f>
        <v>0.622</v>
      </c>
      <c r="AW32" s="189" t="n">
        <f aca="false">SUM(AW21,AW23)</f>
        <v>0</v>
      </c>
      <c r="AX32" s="104" t="n">
        <f aca="false">IFERROR(AW32/AW$5,0)</f>
        <v>0</v>
      </c>
      <c r="AY32" s="139" t="n">
        <f aca="false">IFERROR(AW32/AT32,0)</f>
        <v>0</v>
      </c>
      <c r="AZ32" s="189" t="n">
        <f aca="false">SUM(AZ21,AZ23)</f>
        <v>93350</v>
      </c>
      <c r="BA32" s="104" t="n">
        <f aca="false">IFERROR(AZ32/AZ$5,0)</f>
        <v>0.622333333333333</v>
      </c>
      <c r="BC32" s="189" t="n">
        <f aca="false">SUM(BC21,BC23)</f>
        <v>0</v>
      </c>
      <c r="BD32" s="104" t="n">
        <f aca="false">IFERROR(BC32/BC$5,0)</f>
        <v>0</v>
      </c>
      <c r="BE32" s="139" t="n">
        <f aca="false">IFERROR(BC32/AZ32,0)</f>
        <v>0</v>
      </c>
      <c r="BF32" s="189" t="n">
        <f aca="false">SUM(BF21,BF23)</f>
        <v>93350</v>
      </c>
      <c r="BG32" s="104" t="n">
        <f aca="false">IFERROR(BF32/BF$5,0)</f>
        <v>0.622333333333333</v>
      </c>
      <c r="BI32" s="189" t="n">
        <f aca="false">SUM(BI21,BI23)</f>
        <v>0</v>
      </c>
      <c r="BJ32" s="104" t="n">
        <f aca="false">IFERROR(BI32/BI$5,0)</f>
        <v>0</v>
      </c>
      <c r="BK32" s="139" t="n">
        <f aca="false">IFERROR(BI32/BF32,0)</f>
        <v>0</v>
      </c>
      <c r="BL32" s="189" t="n">
        <f aca="false">SUM(BL21,BL23)</f>
        <v>93350</v>
      </c>
      <c r="BM32" s="104" t="n">
        <f aca="false">IFERROR(BL32/BL$5,0)</f>
        <v>0.622333333333333</v>
      </c>
      <c r="BO32" s="189" t="n">
        <f aca="false">SUM(BO21,BO23)</f>
        <v>0</v>
      </c>
      <c r="BP32" s="104" t="n">
        <f aca="false">IFERROR(BO32/BO$5,0)</f>
        <v>0</v>
      </c>
      <c r="BQ32" s="139" t="n">
        <f aca="false">IFERROR(BO32/BL32,0)</f>
        <v>0</v>
      </c>
      <c r="BR32" s="189" t="n">
        <f aca="false">SUM(BR21,BR23)</f>
        <v>93350</v>
      </c>
      <c r="BS32" s="104" t="n">
        <f aca="false">IFERROR(BR32/BR$5,0)</f>
        <v>0.622333333333333</v>
      </c>
      <c r="BT32" s="140"/>
      <c r="BU32" s="189" t="n">
        <f aca="false">SUM(BU21,BU23)</f>
        <v>0</v>
      </c>
      <c r="BV32" s="104" t="n">
        <f aca="false">IFERROR(BU32/BU$5,0)</f>
        <v>0</v>
      </c>
      <c r="BW32" s="139" t="n">
        <f aca="false">IFERROR(BU32/BR32,0)</f>
        <v>0</v>
      </c>
      <c r="BX32" s="189" t="n">
        <f aca="false">SUM(BX21,BX23)</f>
        <v>904845</v>
      </c>
      <c r="BY32" s="104" t="n">
        <f aca="false">IFERROR(BX32/BX$5,0)</f>
        <v>0.621886597938144</v>
      </c>
      <c r="CA32" s="189" t="n">
        <f aca="false">SUM(CA21,CA23)</f>
        <v>0</v>
      </c>
      <c r="CB32" s="104" t="n">
        <f aca="false">IFERROR(CA32/CA$5,0)</f>
        <v>0</v>
      </c>
      <c r="CC32" s="139" t="n">
        <f aca="false">IFERROR(CA32/BX32,0)</f>
        <v>0</v>
      </c>
      <c r="CE32" s="189" t="n">
        <f aca="false">SUM(CE21,CE23)</f>
        <v>75403.75</v>
      </c>
      <c r="CF32" s="104" t="n">
        <f aca="false">IFERROR(CE32/CE$5,0)</f>
        <v>0.621886597938144</v>
      </c>
      <c r="CH32" s="189" t="n">
        <f aca="false">SUM(CH21,CH23)</f>
        <v>0</v>
      </c>
      <c r="CI32" s="104" t="n">
        <f aca="false">IFERROR(CH32/CH$5,0)</f>
        <v>0</v>
      </c>
    </row>
    <row r="33" s="128" customFormat="true" ht="6" hidden="false" customHeight="true" outlineLevel="0" collapsed="false">
      <c r="B33" s="135"/>
      <c r="C33" s="145"/>
      <c r="D33" s="161"/>
      <c r="E33" s="60"/>
      <c r="F33" s="145"/>
      <c r="G33" s="161"/>
      <c r="H33" s="60"/>
      <c r="I33" s="60"/>
      <c r="J33" s="161"/>
      <c r="K33" s="60"/>
      <c r="L33" s="145"/>
      <c r="M33" s="161"/>
      <c r="N33" s="60"/>
      <c r="O33" s="149"/>
      <c r="P33" s="161"/>
      <c r="Q33" s="60"/>
      <c r="R33" s="145"/>
      <c r="S33" s="161"/>
      <c r="T33" s="60"/>
      <c r="U33" s="149"/>
      <c r="V33" s="161"/>
      <c r="W33" s="60"/>
      <c r="X33" s="145"/>
      <c r="Y33" s="161"/>
      <c r="Z33" s="60"/>
      <c r="AA33" s="149"/>
      <c r="AB33" s="161"/>
      <c r="AC33" s="60"/>
      <c r="AD33" s="145"/>
      <c r="AE33" s="161"/>
      <c r="AF33" s="60"/>
      <c r="AG33" s="149"/>
      <c r="AH33" s="161"/>
      <c r="AI33" s="60"/>
      <c r="AJ33" s="145"/>
      <c r="AK33" s="161"/>
      <c r="AL33" s="60"/>
      <c r="AM33" s="149"/>
      <c r="AN33" s="161"/>
      <c r="AO33" s="60"/>
      <c r="AP33" s="145"/>
      <c r="AQ33" s="161"/>
      <c r="AR33" s="60"/>
      <c r="AS33" s="149"/>
      <c r="AT33" s="161"/>
      <c r="AU33" s="60"/>
      <c r="AV33" s="145"/>
      <c r="AW33" s="161"/>
      <c r="AX33" s="60"/>
      <c r="AY33" s="149"/>
      <c r="AZ33" s="161"/>
      <c r="BA33" s="60"/>
      <c r="BB33" s="145"/>
      <c r="BC33" s="161"/>
      <c r="BD33" s="60"/>
      <c r="BE33" s="149"/>
      <c r="BF33" s="161"/>
      <c r="BG33" s="60"/>
      <c r="BH33" s="145"/>
      <c r="BI33" s="161"/>
      <c r="BJ33" s="60"/>
      <c r="BK33" s="149"/>
      <c r="BL33" s="161"/>
      <c r="BM33" s="60"/>
      <c r="BN33" s="145"/>
      <c r="BO33" s="161"/>
      <c r="BP33" s="60"/>
      <c r="BQ33" s="149"/>
      <c r="BR33" s="161"/>
      <c r="BS33" s="60"/>
      <c r="BT33" s="149"/>
      <c r="BU33" s="161"/>
      <c r="BV33" s="60"/>
      <c r="BW33" s="149"/>
      <c r="BX33" s="161"/>
      <c r="BY33" s="60"/>
      <c r="BZ33" s="145"/>
      <c r="CA33" s="161"/>
      <c r="CB33" s="60"/>
      <c r="CC33" s="149"/>
      <c r="CD33" s="145"/>
      <c r="CE33" s="162"/>
      <c r="CF33" s="60"/>
      <c r="CG33" s="145"/>
      <c r="CH33" s="162"/>
      <c r="CI33" s="60"/>
    </row>
    <row r="34" s="150" customFormat="true" ht="14.25" hidden="false" customHeight="false" outlineLevel="0" collapsed="false">
      <c r="A34" s="126"/>
      <c r="B34" s="163" t="s">
        <v>59</v>
      </c>
      <c r="D34" s="164" t="n">
        <f aca="false">SUM(D35)</f>
        <v>-7200</v>
      </c>
      <c r="E34" s="81" t="n">
        <f aca="false">IFERROR(D34/D$5,0)</f>
        <v>-0.09</v>
      </c>
      <c r="G34" s="164" t="n">
        <f aca="false">SUM(G35)</f>
        <v>0</v>
      </c>
      <c r="H34" s="81" t="n">
        <f aca="false">IFERROR(G34/G$5,0)</f>
        <v>0</v>
      </c>
      <c r="I34" s="138" t="n">
        <f aca="false">IFERROR((G34/D34)-1,0)</f>
        <v>-1</v>
      </c>
      <c r="J34" s="164" t="n">
        <f aca="false">SUM(J35)</f>
        <v>-13600</v>
      </c>
      <c r="K34" s="81" t="n">
        <f aca="false">IFERROR(J34/J$5,0)</f>
        <v>-0.16</v>
      </c>
      <c r="M34" s="164" t="n">
        <f aca="false">SUM(M35)</f>
        <v>0</v>
      </c>
      <c r="N34" s="81" t="n">
        <f aca="false">IFERROR(M34/M$5,0)</f>
        <v>0</v>
      </c>
      <c r="O34" s="139" t="n">
        <f aca="false">IFERROR((M34/J34)-1,0)</f>
        <v>-1</v>
      </c>
      <c r="P34" s="164" t="n">
        <f aca="false">SUM(P35)</f>
        <v>-14400</v>
      </c>
      <c r="Q34" s="81" t="n">
        <f aca="false">IFERROR(P34/P$5,0)</f>
        <v>-0.16</v>
      </c>
      <c r="S34" s="164" t="n">
        <f aca="false">SUM(S35)</f>
        <v>0</v>
      </c>
      <c r="T34" s="81" t="n">
        <f aca="false">IFERROR(S34/S$5,0)</f>
        <v>0</v>
      </c>
      <c r="U34" s="139" t="n">
        <f aca="false">IFERROR((S34/P34)-1,0)</f>
        <v>-1</v>
      </c>
      <c r="V34" s="164" t="n">
        <f aca="false">SUM(V35)</f>
        <v>-16000</v>
      </c>
      <c r="W34" s="81" t="n">
        <f aca="false">IFERROR(V34/V$5,0)</f>
        <v>-0.16</v>
      </c>
      <c r="Y34" s="164" t="n">
        <f aca="false">SUM(Y35)</f>
        <v>0</v>
      </c>
      <c r="Z34" s="81" t="n">
        <f aca="false">IFERROR(Y34/Y$5,0)</f>
        <v>0</v>
      </c>
      <c r="AA34" s="139" t="n">
        <f aca="false">IFERROR((Y34/V34)-1,0)</f>
        <v>-1</v>
      </c>
      <c r="AB34" s="164" t="n">
        <f aca="false">SUM(AB35)</f>
        <v>-16500</v>
      </c>
      <c r="AC34" s="81" t="n">
        <f aca="false">IFERROR(AB34/AB$5,0)</f>
        <v>-0.15</v>
      </c>
      <c r="AE34" s="164" t="n">
        <f aca="false">SUM(AE35)</f>
        <v>0</v>
      </c>
      <c r="AF34" s="81" t="n">
        <f aca="false">IFERROR(AE34/AE$5,0)</f>
        <v>0</v>
      </c>
      <c r="AG34" s="139" t="n">
        <f aca="false">IFERROR((AE34/AB34)-1,0)</f>
        <v>-1</v>
      </c>
      <c r="AH34" s="164" t="n">
        <f aca="false">SUM(AH35)</f>
        <v>-16680</v>
      </c>
      <c r="AI34" s="81" t="n">
        <f aca="false">IFERROR(AH34/AH$5,0)</f>
        <v>-0.139</v>
      </c>
      <c r="AK34" s="164" t="n">
        <f aca="false">SUM(AK35)</f>
        <v>0</v>
      </c>
      <c r="AL34" s="81" t="n">
        <f aca="false">IFERROR(AK34/AK$5,0)</f>
        <v>0</v>
      </c>
      <c r="AM34" s="139" t="n">
        <f aca="false">IFERROR((AK34/AH34)-1,0)</f>
        <v>-1</v>
      </c>
      <c r="AN34" s="164" t="n">
        <f aca="false">SUM(AN35)</f>
        <v>-18070</v>
      </c>
      <c r="AO34" s="81" t="n">
        <f aca="false">IFERROR(AN34/AN$5,0)</f>
        <v>-0.139</v>
      </c>
      <c r="AQ34" s="164" t="n">
        <f aca="false">SUM(AQ35)</f>
        <v>0</v>
      </c>
      <c r="AR34" s="81" t="n">
        <f aca="false">IFERROR(AQ34/AQ$5,0)</f>
        <v>0</v>
      </c>
      <c r="AS34" s="139" t="n">
        <f aca="false">IFERROR((AQ34/AN34)-1,0)</f>
        <v>-1</v>
      </c>
      <c r="AT34" s="164" t="n">
        <f aca="false">SUM(AT35)</f>
        <v>-18060</v>
      </c>
      <c r="AU34" s="81" t="n">
        <f aca="false">IFERROR(AT34/AT$5,0)</f>
        <v>-0.129</v>
      </c>
      <c r="AW34" s="164" t="n">
        <f aca="false">SUM(AW35)</f>
        <v>0</v>
      </c>
      <c r="AX34" s="81" t="n">
        <f aca="false">IFERROR(AW34/AW$5,0)</f>
        <v>0</v>
      </c>
      <c r="AY34" s="139" t="n">
        <f aca="false">IFERROR((AW34/AT34)-1,0)</f>
        <v>-1</v>
      </c>
      <c r="AZ34" s="164" t="n">
        <f aca="false">SUM(AZ35)</f>
        <v>-19200</v>
      </c>
      <c r="BA34" s="81" t="n">
        <f aca="false">IFERROR(AZ34/AZ$5,0)</f>
        <v>-0.128</v>
      </c>
      <c r="BC34" s="164" t="n">
        <f aca="false">SUM(BC35)</f>
        <v>0</v>
      </c>
      <c r="BD34" s="81" t="n">
        <f aca="false">IFERROR(BC34/BC$5,0)</f>
        <v>0</v>
      </c>
      <c r="BE34" s="139" t="n">
        <f aca="false">IFERROR((BC34/AZ34)-1,0)</f>
        <v>-1</v>
      </c>
      <c r="BF34" s="164" t="n">
        <f aca="false">SUM(BF35)</f>
        <v>-18750</v>
      </c>
      <c r="BG34" s="81" t="n">
        <f aca="false">IFERROR(BF34/BF$5,0)</f>
        <v>-0.125</v>
      </c>
      <c r="BI34" s="164" t="n">
        <f aca="false">SUM(BI35)</f>
        <v>0</v>
      </c>
      <c r="BJ34" s="81" t="n">
        <f aca="false">IFERROR(BI34/BI$5,0)</f>
        <v>0</v>
      </c>
      <c r="BK34" s="139" t="n">
        <f aca="false">IFERROR((BI34/BF34)-1,0)</f>
        <v>-1</v>
      </c>
      <c r="BL34" s="164" t="n">
        <f aca="false">SUM(BL35)</f>
        <v>-18750</v>
      </c>
      <c r="BM34" s="81" t="n">
        <f aca="false">IFERROR(BL34/BL$5,0)</f>
        <v>-0.125</v>
      </c>
      <c r="BO34" s="164" t="n">
        <f aca="false">SUM(BO35)</f>
        <v>0</v>
      </c>
      <c r="BP34" s="81" t="n">
        <f aca="false">IFERROR(BO34/BO$5,0)</f>
        <v>0</v>
      </c>
      <c r="BQ34" s="139" t="n">
        <f aca="false">IFERROR((BO34/BL34)-1,0)</f>
        <v>-1</v>
      </c>
      <c r="BR34" s="164" t="n">
        <f aca="false">SUM(BR35)</f>
        <v>-18750</v>
      </c>
      <c r="BS34" s="81" t="n">
        <f aca="false">IFERROR(BR34/BR$5,0)</f>
        <v>-0.125</v>
      </c>
      <c r="BT34" s="140"/>
      <c r="BU34" s="164" t="n">
        <f aca="false">SUM(BU35)</f>
        <v>0</v>
      </c>
      <c r="BV34" s="81" t="n">
        <f aca="false">IFERROR(BU34/BU$5,0)</f>
        <v>0</v>
      </c>
      <c r="BW34" s="139" t="n">
        <f aca="false">IFERROR((BU34/BR34)-1,0)</f>
        <v>-1</v>
      </c>
      <c r="BX34" s="164" t="n">
        <f aca="false">SUM(BX35)</f>
        <v>-195960</v>
      </c>
      <c r="BY34" s="81" t="n">
        <f aca="false">IFERROR(BX34/BX$5,0)</f>
        <v>-0.134680412371134</v>
      </c>
      <c r="CA34" s="164" t="n">
        <f aca="false">SUM(CA35)</f>
        <v>0</v>
      </c>
      <c r="CB34" s="81" t="n">
        <f aca="false">IFERROR(CA34/CA$5,0)</f>
        <v>0</v>
      </c>
      <c r="CC34" s="139" t="n">
        <f aca="false">IFERROR((CA34/BX34)-1,0)</f>
        <v>-1</v>
      </c>
      <c r="CE34" s="165" t="n">
        <f aca="false">SUM(CE35)</f>
        <v>-16330</v>
      </c>
      <c r="CF34" s="83" t="n">
        <f aca="false">IFERROR(CE34/CE$5,0)</f>
        <v>-0.134680412371134</v>
      </c>
      <c r="CH34" s="165" t="n">
        <f aca="false">SUM(CH35)</f>
        <v>0</v>
      </c>
      <c r="CI34" s="83" t="n">
        <f aca="false">IFERROR(CH34/CH$5,0)</f>
        <v>0</v>
      </c>
    </row>
    <row r="35" s="150" customFormat="true" ht="14.25" hidden="false" customHeight="false" outlineLevel="0" collapsed="false">
      <c r="B35" s="190" t="s">
        <v>60</v>
      </c>
      <c r="D35" s="157" t="n">
        <f aca="false">SUM(D36:D39)</f>
        <v>-7200</v>
      </c>
      <c r="E35" s="88" t="n">
        <f aca="false">IFERROR(D35/D$5,0)</f>
        <v>-0.09</v>
      </c>
      <c r="G35" s="157" t="n">
        <f aca="false">SUM(G36:G39)</f>
        <v>0</v>
      </c>
      <c r="H35" s="88" t="n">
        <f aca="false">IFERROR(G35/G$5,0)</f>
        <v>0</v>
      </c>
      <c r="I35" s="138" t="n">
        <f aca="false">IFERROR((G35/D35)-1,0)</f>
        <v>-1</v>
      </c>
      <c r="J35" s="157" t="n">
        <f aca="false">SUM(J36:J39)</f>
        <v>-13600</v>
      </c>
      <c r="K35" s="88" t="n">
        <f aca="false">IFERROR(J35/J$5,0)</f>
        <v>-0.16</v>
      </c>
      <c r="M35" s="157" t="n">
        <f aca="false">SUM(M36:M39)</f>
        <v>0</v>
      </c>
      <c r="N35" s="88" t="n">
        <f aca="false">IFERROR(M35/M$5,0)</f>
        <v>0</v>
      </c>
      <c r="O35" s="139" t="n">
        <f aca="false">IFERROR((M35/J35)-1,0)</f>
        <v>-1</v>
      </c>
      <c r="P35" s="157" t="n">
        <f aca="false">SUM(P36:P39)</f>
        <v>-14400</v>
      </c>
      <c r="Q35" s="88" t="n">
        <f aca="false">IFERROR(P35/P$5,0)</f>
        <v>-0.16</v>
      </c>
      <c r="S35" s="157" t="n">
        <f aca="false">SUM(S36:S39)</f>
        <v>0</v>
      </c>
      <c r="T35" s="88" t="n">
        <f aca="false">IFERROR(S35/S$5,0)</f>
        <v>0</v>
      </c>
      <c r="U35" s="139" t="n">
        <f aca="false">IFERROR((S35/P35)-1,0)</f>
        <v>-1</v>
      </c>
      <c r="V35" s="157" t="n">
        <f aca="false">SUM(V36:V39)</f>
        <v>-16000</v>
      </c>
      <c r="W35" s="88" t="n">
        <f aca="false">IFERROR(V35/V$5,0)</f>
        <v>-0.16</v>
      </c>
      <c r="Y35" s="157" t="n">
        <f aca="false">SUM(Y36:Y39)</f>
        <v>0</v>
      </c>
      <c r="Z35" s="88" t="n">
        <f aca="false">IFERROR(Y35/Y$5,0)</f>
        <v>0</v>
      </c>
      <c r="AA35" s="139" t="n">
        <f aca="false">IFERROR((Y35/V35)-1,0)</f>
        <v>-1</v>
      </c>
      <c r="AB35" s="157" t="n">
        <f aca="false">SUM(AB36:AB39)</f>
        <v>-16500</v>
      </c>
      <c r="AC35" s="88" t="n">
        <f aca="false">IFERROR(AB35/AB$5,0)</f>
        <v>-0.15</v>
      </c>
      <c r="AE35" s="157" t="n">
        <f aca="false">SUM(AE36:AE39)</f>
        <v>0</v>
      </c>
      <c r="AF35" s="88" t="n">
        <f aca="false">IFERROR(AE35/AE$5,0)</f>
        <v>0</v>
      </c>
      <c r="AG35" s="139" t="n">
        <f aca="false">IFERROR((AE35/AB35)-1,0)</f>
        <v>-1</v>
      </c>
      <c r="AH35" s="157" t="n">
        <f aca="false">SUM(AH36:AH39)</f>
        <v>-16680</v>
      </c>
      <c r="AI35" s="88" t="n">
        <f aca="false">IFERROR(AH35/AH$5,0)</f>
        <v>-0.139</v>
      </c>
      <c r="AK35" s="157" t="n">
        <f aca="false">SUM(AK36:AK39)</f>
        <v>0</v>
      </c>
      <c r="AL35" s="88" t="n">
        <f aca="false">IFERROR(AK35/AK$5,0)</f>
        <v>0</v>
      </c>
      <c r="AM35" s="139" t="n">
        <f aca="false">IFERROR((AK35/AH35)-1,0)</f>
        <v>-1</v>
      </c>
      <c r="AN35" s="157" t="n">
        <f aca="false">SUM(AN36:AN39)</f>
        <v>-18070</v>
      </c>
      <c r="AO35" s="88" t="n">
        <f aca="false">IFERROR(AN35/AN$5,0)</f>
        <v>-0.139</v>
      </c>
      <c r="AQ35" s="157" t="n">
        <f aca="false">SUM(AQ36:AQ39)</f>
        <v>0</v>
      </c>
      <c r="AR35" s="88" t="n">
        <f aca="false">IFERROR(AQ35/AQ$5,0)</f>
        <v>0</v>
      </c>
      <c r="AS35" s="139" t="n">
        <f aca="false">IFERROR((AQ35/AN35)-1,0)</f>
        <v>-1</v>
      </c>
      <c r="AT35" s="157" t="n">
        <f aca="false">SUM(AT36:AT39)</f>
        <v>-18060</v>
      </c>
      <c r="AU35" s="88" t="n">
        <f aca="false">IFERROR(AT35/AT$5,0)</f>
        <v>-0.129</v>
      </c>
      <c r="AW35" s="157" t="n">
        <f aca="false">SUM(AW36:AW39)</f>
        <v>0</v>
      </c>
      <c r="AX35" s="88" t="n">
        <f aca="false">IFERROR(AW35/AW$5,0)</f>
        <v>0</v>
      </c>
      <c r="AY35" s="139" t="n">
        <f aca="false">IFERROR((AW35/AT35)-1,0)</f>
        <v>-1</v>
      </c>
      <c r="AZ35" s="157" t="n">
        <f aca="false">SUM(AZ36:AZ39)</f>
        <v>-19200</v>
      </c>
      <c r="BA35" s="88" t="n">
        <f aca="false">IFERROR(AZ35/AZ$5,0)</f>
        <v>-0.128</v>
      </c>
      <c r="BC35" s="157" t="n">
        <f aca="false">SUM(BC36:BC39)</f>
        <v>0</v>
      </c>
      <c r="BD35" s="88" t="n">
        <f aca="false">IFERROR(BC35/BC$5,0)</f>
        <v>0</v>
      </c>
      <c r="BE35" s="139" t="n">
        <f aca="false">IFERROR((BC35/AZ35)-1,0)</f>
        <v>-1</v>
      </c>
      <c r="BF35" s="157" t="n">
        <f aca="false">SUM(BF36:BF39)</f>
        <v>-18750</v>
      </c>
      <c r="BG35" s="88" t="n">
        <f aca="false">IFERROR(BF35/BF$5,0)</f>
        <v>-0.125</v>
      </c>
      <c r="BI35" s="157" t="n">
        <f aca="false">SUM(BI36:BI39)</f>
        <v>0</v>
      </c>
      <c r="BJ35" s="88" t="n">
        <f aca="false">IFERROR(BI35/BI$5,0)</f>
        <v>0</v>
      </c>
      <c r="BK35" s="139" t="n">
        <f aca="false">IFERROR((BI35/BF35)-1,0)</f>
        <v>-1</v>
      </c>
      <c r="BL35" s="157" t="n">
        <f aca="false">SUM(BL36:BL39)</f>
        <v>-18750</v>
      </c>
      <c r="BM35" s="88" t="n">
        <f aca="false">IFERROR(BL35/BL$5,0)</f>
        <v>-0.125</v>
      </c>
      <c r="BO35" s="157" t="n">
        <f aca="false">SUM(BO36:BO39)</f>
        <v>0</v>
      </c>
      <c r="BP35" s="88" t="n">
        <f aca="false">IFERROR(BO35/BO$5,0)</f>
        <v>0</v>
      </c>
      <c r="BQ35" s="139" t="n">
        <f aca="false">IFERROR((BO35/BL35)-1,0)</f>
        <v>-1</v>
      </c>
      <c r="BR35" s="157" t="n">
        <f aca="false">SUM(BR36:BR39)</f>
        <v>-18750</v>
      </c>
      <c r="BS35" s="88" t="n">
        <f aca="false">IFERROR(BR35/BR$5,0)</f>
        <v>-0.125</v>
      </c>
      <c r="BT35" s="158"/>
      <c r="BU35" s="157" t="n">
        <f aca="false">SUM(BU36:BU39)</f>
        <v>0</v>
      </c>
      <c r="BV35" s="88" t="n">
        <f aca="false">IFERROR(BU35/BU$5,0)</f>
        <v>0</v>
      </c>
      <c r="BW35" s="139" t="n">
        <f aca="false">IFERROR((BU35/BR35)-1,0)</f>
        <v>-1</v>
      </c>
      <c r="BX35" s="157" t="n">
        <f aca="false">SUM(BX36:BX39)</f>
        <v>-195960</v>
      </c>
      <c r="BY35" s="88" t="n">
        <f aca="false">IFERROR(BX35/BX$5,0)</f>
        <v>-0.134680412371134</v>
      </c>
      <c r="CA35" s="157" t="n">
        <f aca="false">SUM(CA36:CA39)</f>
        <v>0</v>
      </c>
      <c r="CB35" s="88" t="n">
        <f aca="false">IFERROR(CA35/CA$5,0)</f>
        <v>0</v>
      </c>
      <c r="CC35" s="139" t="n">
        <f aca="false">IFERROR((CA35/BX35)-1,0)</f>
        <v>-1</v>
      </c>
      <c r="CE35" s="157" t="n">
        <f aca="false">SUM(CE36:CE39)</f>
        <v>-16330</v>
      </c>
      <c r="CF35" s="76" t="n">
        <f aca="false">IFERROR(CE35/CE$5,0)</f>
        <v>-0.134680412371134</v>
      </c>
      <c r="CH35" s="157" t="n">
        <f aca="false">SUM(CH36:CH39)</f>
        <v>0</v>
      </c>
      <c r="CI35" s="76" t="n">
        <f aca="false">IFERROR(CH35/CH$5,0)</f>
        <v>0</v>
      </c>
    </row>
    <row r="36" customFormat="false" ht="14.25" hidden="false" customHeight="false" outlineLevel="1" collapsed="false">
      <c r="B36" s="169" t="s">
        <v>171</v>
      </c>
      <c r="D36" s="157" t="n">
        <f aca="false">E36*D6</f>
        <v>-800</v>
      </c>
      <c r="E36" s="91" t="n">
        <v>-0.01</v>
      </c>
      <c r="G36" s="157" t="n">
        <f aca="false">SUMIFS('Dados Mov Financeira'!$N:$N,'Dados Mov Financeira'!$O:$O,'DRE 2024'!$B36,'Dados Mov Financeira'!$A:$A,'DRE 2024'!G$1,'Dados Mov Financeira'!$B:$B,'DRE 2024'!G$2)</f>
        <v>0</v>
      </c>
      <c r="H36" s="91" t="n">
        <f aca="false">IFERROR(G36/G$5,0)</f>
        <v>0</v>
      </c>
      <c r="I36" s="138" t="n">
        <f aca="false">IFERROR((G36/D36)-1,0)</f>
        <v>-1</v>
      </c>
      <c r="J36" s="157" t="n">
        <f aca="false">K36*J6</f>
        <v>-850</v>
      </c>
      <c r="K36" s="91" t="n">
        <v>-0.01</v>
      </c>
      <c r="M36" s="157" t="n">
        <f aca="false">SUMIFS('Dados Mov Financeira'!$N:$N,'Dados Mov Financeira'!$O:$O,'DRE 2024'!$B36,'Dados Mov Financeira'!$A:$A,'DRE 2024'!M$1,'Dados Mov Financeira'!$B:$B,'DRE 2024'!M$2)</f>
        <v>0</v>
      </c>
      <c r="N36" s="91" t="n">
        <f aca="false">IFERROR(M36/M$5,0)</f>
        <v>0</v>
      </c>
      <c r="O36" s="139" t="n">
        <f aca="false">IFERROR((M36/J36)-1,0)</f>
        <v>-1</v>
      </c>
      <c r="P36" s="157" t="n">
        <f aca="false">Q36*P6</f>
        <v>-900</v>
      </c>
      <c r="Q36" s="91" t="n">
        <v>-0.01</v>
      </c>
      <c r="S36" s="157" t="n">
        <f aca="false">SUMIFS('Dados Mov Financeira'!$N:$N,'Dados Mov Financeira'!$O:$O,'DRE 2024'!$B36,'Dados Mov Financeira'!$A:$A,'DRE 2024'!S$1,'Dados Mov Financeira'!$B:$B,'DRE 2024'!S$2)</f>
        <v>0</v>
      </c>
      <c r="T36" s="91" t="n">
        <f aca="false">IFERROR(S36/S$5,0)</f>
        <v>0</v>
      </c>
      <c r="U36" s="139" t="n">
        <f aca="false">IFERROR((S36/P36)-1,0)</f>
        <v>-1</v>
      </c>
      <c r="V36" s="157" t="n">
        <f aca="false">W36*V6</f>
        <v>-1000</v>
      </c>
      <c r="W36" s="91" t="n">
        <v>-0.01</v>
      </c>
      <c r="Y36" s="157" t="n">
        <f aca="false">SUMIFS('Dados Mov Financeira'!$N:$N,'Dados Mov Financeira'!$O:$O,'DRE 2024'!$B36,'Dados Mov Financeira'!$A:$A,'DRE 2024'!Y$1,'Dados Mov Financeira'!$B:$B,'DRE 2024'!Y$2)</f>
        <v>0</v>
      </c>
      <c r="Z36" s="91" t="n">
        <f aca="false">IFERROR(Y36/Y$5,0)</f>
        <v>0</v>
      </c>
      <c r="AA36" s="139" t="n">
        <f aca="false">IFERROR((Y36/V36)-1,0)</f>
        <v>-1</v>
      </c>
      <c r="AB36" s="157" t="n">
        <f aca="false">AC36*AB6</f>
        <v>-1100</v>
      </c>
      <c r="AC36" s="91" t="n">
        <v>-0.01</v>
      </c>
      <c r="AE36" s="157" t="n">
        <f aca="false">SUMIFS('Dados Mov Financeira'!$N:$N,'Dados Mov Financeira'!$O:$O,'DRE 2024'!$B36,'Dados Mov Financeira'!$A:$A,'DRE 2024'!AE$1,'Dados Mov Financeira'!$B:$B,'DRE 2024'!AE$2)</f>
        <v>0</v>
      </c>
      <c r="AF36" s="91" t="n">
        <f aca="false">IFERROR(AE36/AE$5,0)</f>
        <v>0</v>
      </c>
      <c r="AG36" s="139" t="n">
        <f aca="false">IFERROR((AE36/AB36)-1,0)</f>
        <v>-1</v>
      </c>
      <c r="AH36" s="157" t="n">
        <f aca="false">AI36*AH6</f>
        <v>-1080</v>
      </c>
      <c r="AI36" s="91" t="n">
        <v>-0.009</v>
      </c>
      <c r="AK36" s="157" t="n">
        <f aca="false">SUMIFS('Dados Mov Financeira'!$N:$N,'Dados Mov Financeira'!$O:$O,'DRE 2024'!$B36,'Dados Mov Financeira'!$A:$A,'DRE 2024'!AK$1,'Dados Mov Financeira'!$B:$B,'DRE 2024'!AK$2)</f>
        <v>0</v>
      </c>
      <c r="AL36" s="91" t="n">
        <f aca="false">IFERROR(AK36/AK$5,0)</f>
        <v>0</v>
      </c>
      <c r="AM36" s="139" t="n">
        <f aca="false">IFERROR((AK36/AH36)-1,0)</f>
        <v>-1</v>
      </c>
      <c r="AN36" s="157" t="n">
        <f aca="false">AO36*AN6</f>
        <v>-1170</v>
      </c>
      <c r="AO36" s="91" t="n">
        <v>-0.009</v>
      </c>
      <c r="AQ36" s="157" t="n">
        <f aca="false">SUMIFS('Dados Mov Financeira'!$N:$N,'Dados Mov Financeira'!$O:$O,'DRE 2024'!$B36,'Dados Mov Financeira'!$A:$A,'DRE 2024'!AQ$1,'Dados Mov Financeira'!$B:$B,'DRE 2024'!AQ$2)</f>
        <v>0</v>
      </c>
      <c r="AR36" s="91" t="n">
        <f aca="false">IFERROR(AQ36/AQ$5,0)</f>
        <v>0</v>
      </c>
      <c r="AS36" s="139" t="n">
        <f aca="false">IFERROR((AQ36/AN36)-1,0)</f>
        <v>-1</v>
      </c>
      <c r="AT36" s="157" t="n">
        <f aca="false">AU36*AT6</f>
        <v>-1260</v>
      </c>
      <c r="AU36" s="91" t="n">
        <v>-0.009</v>
      </c>
      <c r="AW36" s="157" t="n">
        <f aca="false">SUMIFS('Dados Mov Financeira'!$N:$N,'Dados Mov Financeira'!$O:$O,'DRE 2024'!$B36,'Dados Mov Financeira'!$A:$A,'DRE 2024'!AW$1,'Dados Mov Financeira'!$B:$B,'DRE 2024'!AW$2)</f>
        <v>0</v>
      </c>
      <c r="AX36" s="91" t="n">
        <f aca="false">IFERROR(AW36/AW$5,0)</f>
        <v>0</v>
      </c>
      <c r="AY36" s="139" t="n">
        <f aca="false">IFERROR((AW36/AT36)-1,0)</f>
        <v>-1</v>
      </c>
      <c r="AZ36" s="157" t="n">
        <f aca="false">BA36*AZ6</f>
        <v>-1200</v>
      </c>
      <c r="BA36" s="91" t="n">
        <v>-0.008</v>
      </c>
      <c r="BC36" s="157" t="n">
        <f aca="false">SUMIFS('Dados Mov Financeira'!$N:$N,'Dados Mov Financeira'!$O:$O,'DRE 2024'!$B36,'Dados Mov Financeira'!$A:$A,'DRE 2024'!BC$1,'Dados Mov Financeira'!$B:$B,'DRE 2024'!BC$2)</f>
        <v>0</v>
      </c>
      <c r="BD36" s="91" t="n">
        <f aca="false">IFERROR(BC36/BC$5,0)</f>
        <v>0</v>
      </c>
      <c r="BE36" s="139" t="n">
        <f aca="false">IFERROR((BC36/AZ36)-1,0)</f>
        <v>-1</v>
      </c>
      <c r="BF36" s="157" t="n">
        <f aca="false">BG36*BF6</f>
        <v>-750</v>
      </c>
      <c r="BG36" s="91" t="n">
        <v>-0.005</v>
      </c>
      <c r="BI36" s="157" t="n">
        <f aca="false">SUMIFS('Dados Mov Financeira'!$N:$N,'Dados Mov Financeira'!$O:$O,'DRE 2024'!$B36,'Dados Mov Financeira'!$A:$A,'DRE 2024'!BI$1,'Dados Mov Financeira'!$B:$B,'DRE 2024'!BI$2)</f>
        <v>0</v>
      </c>
      <c r="BJ36" s="91" t="n">
        <f aca="false">IFERROR(BI36/BI$5,0)</f>
        <v>0</v>
      </c>
      <c r="BK36" s="139" t="n">
        <f aca="false">IFERROR((BI36/BF36)-1,0)</f>
        <v>-1</v>
      </c>
      <c r="BL36" s="157" t="n">
        <f aca="false">BM36*BL6</f>
        <v>-750</v>
      </c>
      <c r="BM36" s="91" t="n">
        <v>-0.005</v>
      </c>
      <c r="BO36" s="157" t="n">
        <f aca="false">SUMIFS('Dados Mov Financeira'!$N:$N,'Dados Mov Financeira'!$O:$O,'DRE 2024'!$B36,'Dados Mov Financeira'!$A:$A,'DRE 2024'!BO$1,'Dados Mov Financeira'!$B:$B,'DRE 2024'!BO$2)</f>
        <v>0</v>
      </c>
      <c r="BP36" s="91" t="n">
        <f aca="false">IFERROR(BO36/BO$5,0)</f>
        <v>0</v>
      </c>
      <c r="BQ36" s="139" t="n">
        <f aca="false">IFERROR((BO36/BL36)-1,0)</f>
        <v>-1</v>
      </c>
      <c r="BR36" s="157" t="n">
        <f aca="false">BS36*BR6</f>
        <v>-750</v>
      </c>
      <c r="BS36" s="91" t="n">
        <v>-0.005</v>
      </c>
      <c r="BT36" s="171"/>
      <c r="BU36" s="157" t="n">
        <f aca="false">SUMIFS('Dados Mov Financeira'!$N:$N,'Dados Mov Financeira'!$O:$O,'DRE 2024'!$B36,'Dados Mov Financeira'!$A:$A,'DRE 2024'!BU$1,'Dados Mov Financeira'!$B:$B,'DRE 2024'!BU$2)</f>
        <v>0</v>
      </c>
      <c r="BV36" s="91" t="n">
        <f aca="false">IFERROR(BU36/BU$5,0)</f>
        <v>0</v>
      </c>
      <c r="BW36" s="139" t="n">
        <f aca="false">IFERROR((BU36/BR36)-1,0)</f>
        <v>-1</v>
      </c>
      <c r="BX36" s="172" t="n">
        <f aca="false">SUM(D36,J36,P36,V36,AB36,AH36,AN36,AT36,AZ36,BF36,BL36,BR36)</f>
        <v>-11610</v>
      </c>
      <c r="BY36" s="91" t="n">
        <f aca="false">IFERROR(BX36/BX$5,0)</f>
        <v>-0.00797938144329897</v>
      </c>
      <c r="CA36" s="172" t="n">
        <f aca="false">SUM(G36,M36,S36,Y36,AE36,AK36,AQ36,AW36,BC36,BI36,BO36,BU36)</f>
        <v>0</v>
      </c>
      <c r="CB36" s="91" t="n">
        <f aca="false">IFERROR(CA36/CA$5,0)</f>
        <v>0</v>
      </c>
      <c r="CC36" s="139" t="n">
        <f aca="false">IFERROR((CA36/BX36)-1,0)</f>
        <v>-1</v>
      </c>
      <c r="CE36" s="172" t="n">
        <f aca="false">BX36/$CF$1</f>
        <v>-967.5</v>
      </c>
      <c r="CF36" s="94" t="n">
        <f aca="false">IFERROR(CE36/CE$5,0)</f>
        <v>-0.00797938144329897</v>
      </c>
      <c r="CH36" s="174" t="n">
        <f aca="false">CA36/$CI$1</f>
        <v>0</v>
      </c>
      <c r="CI36" s="94" t="n">
        <f aca="false">IFERROR(CH36/CH$5,0)</f>
        <v>0</v>
      </c>
    </row>
    <row r="37" customFormat="false" ht="14.25" hidden="false" customHeight="false" outlineLevel="1" collapsed="false">
      <c r="B37" s="169" t="s">
        <v>180</v>
      </c>
      <c r="D37" s="157" t="n">
        <f aca="false">E37*D5*-1</f>
        <v>0</v>
      </c>
      <c r="E37" s="91" t="n">
        <v>0</v>
      </c>
      <c r="G37" s="157" t="n">
        <f aca="false">SUMIFS('Dados Mov Financeira'!$N:$N,'Dados Mov Financeira'!$O:$O,'DRE 2024'!$B37,'Dados Mov Financeira'!$A:$A,'DRE 2024'!G$1,'Dados Mov Financeira'!$B:$B,'DRE 2024'!G$2)</f>
        <v>0</v>
      </c>
      <c r="H37" s="91" t="n">
        <f aca="false">IFERROR(G37/G$5,0)</f>
        <v>0</v>
      </c>
      <c r="I37" s="138" t="n">
        <f aca="false">IFERROR((G37/D37)-1,0)</f>
        <v>0</v>
      </c>
      <c r="J37" s="157" t="n">
        <f aca="false">K37*J5</f>
        <v>-5100</v>
      </c>
      <c r="K37" s="91" t="n">
        <v>-0.06</v>
      </c>
      <c r="M37" s="157" t="n">
        <v>0</v>
      </c>
      <c r="N37" s="91" t="n">
        <f aca="false">IFERROR(M37/M$5,0)</f>
        <v>0</v>
      </c>
      <c r="O37" s="139" t="n">
        <f aca="false">IFERROR((M37/J37)-1,0)</f>
        <v>-1</v>
      </c>
      <c r="P37" s="157" t="n">
        <f aca="false">Q37*P5</f>
        <v>-5400</v>
      </c>
      <c r="Q37" s="91" t="n">
        <v>-0.06</v>
      </c>
      <c r="S37" s="157"/>
      <c r="T37" s="91"/>
      <c r="U37" s="139"/>
      <c r="V37" s="157" t="n">
        <f aca="false">W37*V5</f>
        <v>-6000</v>
      </c>
      <c r="W37" s="91" t="n">
        <v>-0.06</v>
      </c>
      <c r="Y37" s="157"/>
      <c r="Z37" s="91"/>
      <c r="AA37" s="139"/>
      <c r="AB37" s="157" t="n">
        <f aca="false">AC37*AB5</f>
        <v>-6600</v>
      </c>
      <c r="AC37" s="91" t="n">
        <v>-0.06</v>
      </c>
      <c r="AE37" s="157"/>
      <c r="AF37" s="91"/>
      <c r="AG37" s="139"/>
      <c r="AH37" s="157" t="n">
        <f aca="false">AI37*AH5</f>
        <v>-7200</v>
      </c>
      <c r="AI37" s="91" t="n">
        <v>-0.06</v>
      </c>
      <c r="AK37" s="157"/>
      <c r="AL37" s="91"/>
      <c r="AM37" s="139"/>
      <c r="AN37" s="157" t="n">
        <f aca="false">AO37*AN5</f>
        <v>-7800</v>
      </c>
      <c r="AO37" s="91" t="n">
        <v>-0.06</v>
      </c>
      <c r="AQ37" s="157"/>
      <c r="AR37" s="91"/>
      <c r="AS37" s="139"/>
      <c r="AT37" s="157" t="n">
        <f aca="false">AU37*AT5</f>
        <v>-8400</v>
      </c>
      <c r="AU37" s="91" t="n">
        <v>-0.06</v>
      </c>
      <c r="AW37" s="157"/>
      <c r="AX37" s="91"/>
      <c r="AY37" s="139"/>
      <c r="AZ37" s="157" t="n">
        <f aca="false">BA37*AZ5</f>
        <v>-9000</v>
      </c>
      <c r="BA37" s="91" t="n">
        <v>-0.06</v>
      </c>
      <c r="BC37" s="157"/>
      <c r="BD37" s="91"/>
      <c r="BE37" s="139"/>
      <c r="BF37" s="157" t="n">
        <f aca="false">BG37*BF5</f>
        <v>-9000</v>
      </c>
      <c r="BG37" s="91" t="n">
        <v>-0.06</v>
      </c>
      <c r="BI37" s="157"/>
      <c r="BJ37" s="91"/>
      <c r="BK37" s="139"/>
      <c r="BL37" s="157" t="n">
        <f aca="false">BM37*BL5</f>
        <v>-9000</v>
      </c>
      <c r="BM37" s="91" t="n">
        <v>-0.06</v>
      </c>
      <c r="BO37" s="157"/>
      <c r="BP37" s="91"/>
      <c r="BQ37" s="139"/>
      <c r="BR37" s="157" t="n">
        <f aca="false">BS37*BR5</f>
        <v>-9000</v>
      </c>
      <c r="BS37" s="91" t="n">
        <v>-0.06</v>
      </c>
      <c r="BT37" s="171"/>
      <c r="BU37" s="157"/>
      <c r="BV37" s="91"/>
      <c r="BW37" s="139"/>
      <c r="BX37" s="172" t="n">
        <f aca="false">SUM(D37,J37,P37,V37,AB37,AH37,AN37,AT37,AZ37,BF37,BL37,BR37)</f>
        <v>-82500</v>
      </c>
      <c r="BY37" s="91" t="n">
        <f aca="false">IFERROR(BX37/BX$5,0)</f>
        <v>-0.0567010309278351</v>
      </c>
      <c r="CA37" s="172"/>
      <c r="CB37" s="91"/>
      <c r="CC37" s="139"/>
      <c r="CE37" s="172" t="n">
        <f aca="false">BX37/$CF$1</f>
        <v>-6875</v>
      </c>
      <c r="CF37" s="94" t="n">
        <f aca="false">IFERROR(CE37/CE$5,0)</f>
        <v>-0.0567010309278351</v>
      </c>
      <c r="CH37" s="174"/>
      <c r="CI37" s="94"/>
    </row>
    <row r="38" customFormat="false" ht="14.25" hidden="false" customHeight="false" outlineLevel="1" collapsed="false">
      <c r="B38" s="169" t="s">
        <v>181</v>
      </c>
      <c r="D38" s="157" t="n">
        <f aca="false">D$6*E38</f>
        <v>0</v>
      </c>
      <c r="E38" s="91" t="n">
        <v>0</v>
      </c>
      <c r="G38" s="157" t="n">
        <f aca="false">SUMIFS('Dados Mov Financeira'!$N:$N,'Dados Mov Financeira'!$O:$O,'DRE 2024'!$B38,'Dados Mov Financeira'!$A:$A,'DRE 2024'!G$1,'Dados Mov Financeira'!$B:$B,'DRE 2024'!G$2)</f>
        <v>0</v>
      </c>
      <c r="H38" s="91" t="n">
        <f aca="false">IFERROR(G38/G$5,0)</f>
        <v>0</v>
      </c>
      <c r="I38" s="138" t="n">
        <f aca="false">IFERROR((G38/D38)-1,0)</f>
        <v>0</v>
      </c>
      <c r="J38" s="157" t="n">
        <f aca="false">J$6*K38</f>
        <v>-850</v>
      </c>
      <c r="K38" s="91" t="n">
        <v>-0.01</v>
      </c>
      <c r="M38" s="157" t="n">
        <f aca="false">SUMIFS('Dados Mov Financeira'!$N:$N,'Dados Mov Financeira'!$O:$O,'DRE 2024'!$B38,'Dados Mov Financeira'!$A:$A,'DRE 2024'!M$1,'Dados Mov Financeira'!$B:$B,'DRE 2024'!M$2)</f>
        <v>0</v>
      </c>
      <c r="N38" s="91" t="n">
        <f aca="false">IFERROR(M38/M$5,0)</f>
        <v>0</v>
      </c>
      <c r="O38" s="139" t="n">
        <f aca="false">IFERROR((M38/J38)-1,0)</f>
        <v>-1</v>
      </c>
      <c r="P38" s="157" t="n">
        <f aca="false">P$6*Q38</f>
        <v>-900</v>
      </c>
      <c r="Q38" s="91" t="n">
        <v>-0.01</v>
      </c>
      <c r="S38" s="157" t="n">
        <f aca="false">SUMIFS('Dados Mov Financeira'!$N:$N,'Dados Mov Financeira'!$O:$O,'DRE 2024'!$B38,'Dados Mov Financeira'!$A:$A,'DRE 2024'!S$1,'Dados Mov Financeira'!$B:$B,'DRE 2024'!S$2)</f>
        <v>0</v>
      </c>
      <c r="T38" s="91" t="n">
        <f aca="false">IFERROR(S38/S$5,0)</f>
        <v>0</v>
      </c>
      <c r="U38" s="139" t="n">
        <f aca="false">IFERROR((S38/P38)-1,0)</f>
        <v>-1</v>
      </c>
      <c r="V38" s="157" t="n">
        <f aca="false">V$6*W38</f>
        <v>-1000</v>
      </c>
      <c r="W38" s="91" t="n">
        <v>-0.01</v>
      </c>
      <c r="Y38" s="157" t="n">
        <f aca="false">SUMIFS('Dados Mov Financeira'!$N:$N,'Dados Mov Financeira'!$O:$O,'DRE 2024'!$B38,'Dados Mov Financeira'!$A:$A,'DRE 2024'!Y$1,'Dados Mov Financeira'!$B:$B,'DRE 2024'!Y$2)</f>
        <v>0</v>
      </c>
      <c r="Z38" s="91" t="n">
        <f aca="false">IFERROR(Y38/Y$5,0)</f>
        <v>0</v>
      </c>
      <c r="AA38" s="139" t="n">
        <f aca="false">IFERROR((Y38/V38)-1,0)</f>
        <v>-1</v>
      </c>
      <c r="AB38" s="157" t="n">
        <f aca="false">AB$6*AC38</f>
        <v>-1100</v>
      </c>
      <c r="AC38" s="91" t="n">
        <v>-0.01</v>
      </c>
      <c r="AE38" s="157" t="n">
        <f aca="false">SUMIFS('Dados Mov Financeira'!$N:$N,'Dados Mov Financeira'!$O:$O,'DRE 2024'!$B38,'Dados Mov Financeira'!$A:$A,'DRE 2024'!AE$1,'Dados Mov Financeira'!$B:$B,'DRE 2024'!AE$2)</f>
        <v>0</v>
      </c>
      <c r="AF38" s="91" t="n">
        <f aca="false">IFERROR(AE38/AE$5,0)</f>
        <v>0</v>
      </c>
      <c r="AG38" s="139" t="n">
        <f aca="false">IFERROR((AE38/AB38)-1,0)</f>
        <v>-1</v>
      </c>
      <c r="AH38" s="157" t="n">
        <f aca="false">AH$6*AI38</f>
        <v>-1200</v>
      </c>
      <c r="AI38" s="91" t="n">
        <v>-0.01</v>
      </c>
      <c r="AK38" s="157" t="n">
        <f aca="false">SUMIFS('Dados Mov Financeira'!$N:$N,'Dados Mov Financeira'!$O:$O,'DRE 2024'!$B38,'Dados Mov Financeira'!$A:$A,'DRE 2024'!AK$1,'Dados Mov Financeira'!$B:$B,'DRE 2024'!AK$2)</f>
        <v>0</v>
      </c>
      <c r="AL38" s="91" t="n">
        <f aca="false">IFERROR(AK38/AK$5,0)</f>
        <v>0</v>
      </c>
      <c r="AM38" s="139" t="n">
        <f aca="false">IFERROR((AK38/AH38)-1,0)</f>
        <v>-1</v>
      </c>
      <c r="AN38" s="157" t="n">
        <f aca="false">AN$6*AO38</f>
        <v>-1300</v>
      </c>
      <c r="AO38" s="91" t="n">
        <v>-0.01</v>
      </c>
      <c r="AQ38" s="157" t="n">
        <f aca="false">SUMIFS('Dados Mov Financeira'!$N:$N,'Dados Mov Financeira'!$O:$O,'DRE 2024'!$B38,'Dados Mov Financeira'!$A:$A,'DRE 2024'!AQ$1,'Dados Mov Financeira'!$B:$B,'DRE 2024'!AQ$2)</f>
        <v>0</v>
      </c>
      <c r="AR38" s="91" t="n">
        <f aca="false">IFERROR(AQ38/AQ$5,0)</f>
        <v>0</v>
      </c>
      <c r="AS38" s="139" t="n">
        <f aca="false">IFERROR((AQ38/AN38)-1,0)</f>
        <v>-1</v>
      </c>
      <c r="AT38" s="157" t="n">
        <f aca="false">AT$6*AU38</f>
        <v>-1400</v>
      </c>
      <c r="AU38" s="91" t="n">
        <v>-0.01</v>
      </c>
      <c r="AW38" s="157" t="n">
        <f aca="false">SUMIFS('Dados Mov Financeira'!$N:$N,'Dados Mov Financeira'!$O:$O,'DRE 2024'!$B38,'Dados Mov Financeira'!$A:$A,'DRE 2024'!AW$1,'Dados Mov Financeira'!$B:$B,'DRE 2024'!AW$2)</f>
        <v>0</v>
      </c>
      <c r="AX38" s="91" t="n">
        <f aca="false">IFERROR(AW38/AW$5,0)</f>
        <v>0</v>
      </c>
      <c r="AY38" s="139" t="n">
        <f aca="false">IFERROR((AW38/AT38)-1,0)</f>
        <v>-1</v>
      </c>
      <c r="AZ38" s="157" t="n">
        <f aca="false">AZ$6*BA38</f>
        <v>-1500</v>
      </c>
      <c r="BA38" s="91" t="n">
        <v>-0.01</v>
      </c>
      <c r="BC38" s="157" t="n">
        <f aca="false">SUMIFS('Dados Mov Financeira'!$N:$N,'Dados Mov Financeira'!$O:$O,'DRE 2024'!$B38,'Dados Mov Financeira'!$A:$A,'DRE 2024'!BC$1,'Dados Mov Financeira'!$B:$B,'DRE 2024'!BC$2)</f>
        <v>0</v>
      </c>
      <c r="BD38" s="91" t="n">
        <f aca="false">IFERROR(BC38/BC$5,0)</f>
        <v>0</v>
      </c>
      <c r="BE38" s="139" t="n">
        <f aca="false">IFERROR((BC38/AZ38)-1,0)</f>
        <v>-1</v>
      </c>
      <c r="BF38" s="157" t="n">
        <f aca="false">BF$6*BG38</f>
        <v>-1500</v>
      </c>
      <c r="BG38" s="91" t="n">
        <v>-0.01</v>
      </c>
      <c r="BI38" s="157" t="n">
        <f aca="false">SUMIFS('Dados Mov Financeira'!$N:$N,'Dados Mov Financeira'!$O:$O,'DRE 2024'!$B38,'Dados Mov Financeira'!$A:$A,'DRE 2024'!BI$1,'Dados Mov Financeira'!$B:$B,'DRE 2024'!BI$2)</f>
        <v>0</v>
      </c>
      <c r="BJ38" s="91" t="n">
        <f aca="false">IFERROR(BI38/BI$5,0)</f>
        <v>0</v>
      </c>
      <c r="BK38" s="139" t="n">
        <f aca="false">IFERROR((BI38/BF38)-1,0)</f>
        <v>-1</v>
      </c>
      <c r="BL38" s="157" t="n">
        <f aca="false">BL$6*BM38</f>
        <v>-1500</v>
      </c>
      <c r="BM38" s="91" t="n">
        <v>-0.01</v>
      </c>
      <c r="BO38" s="157" t="n">
        <f aca="false">SUMIFS('Dados Mov Financeira'!$N:$N,'Dados Mov Financeira'!$O:$O,'DRE 2024'!$B38,'Dados Mov Financeira'!$A:$A,'DRE 2024'!BO$1,'Dados Mov Financeira'!$B:$B,'DRE 2024'!BO$2)</f>
        <v>0</v>
      </c>
      <c r="BP38" s="91" t="n">
        <f aca="false">IFERROR(BO38/BO$5,0)</f>
        <v>0</v>
      </c>
      <c r="BQ38" s="139" t="n">
        <f aca="false">IFERROR((BO38/BL38)-1,0)</f>
        <v>-1</v>
      </c>
      <c r="BR38" s="157" t="n">
        <f aca="false">BR$6*BS38</f>
        <v>-1500</v>
      </c>
      <c r="BS38" s="91" t="n">
        <v>-0.01</v>
      </c>
      <c r="BT38" s="171"/>
      <c r="BU38" s="157" t="n">
        <f aca="false">SUMIFS('Dados Mov Financeira'!$N:$N,'Dados Mov Financeira'!$O:$O,'DRE 2024'!$B38,'Dados Mov Financeira'!$A:$A,'DRE 2024'!BU$1,'Dados Mov Financeira'!$B:$B,'DRE 2024'!BU$2)</f>
        <v>0</v>
      </c>
      <c r="BV38" s="91" t="n">
        <f aca="false">IFERROR(BU38/BU$5,0)</f>
        <v>0</v>
      </c>
      <c r="BW38" s="139" t="n">
        <f aca="false">IFERROR((BU38/BR38)-1,0)</f>
        <v>-1</v>
      </c>
      <c r="BX38" s="172" t="n">
        <f aca="false">SUM(D38,J38,P38,V38,AB38,AH38,AN38,AT38,AZ38,BF38,BL38,BR38)</f>
        <v>-13750</v>
      </c>
      <c r="BY38" s="91" t="n">
        <f aca="false">IFERROR(BX38/BX$5,0)</f>
        <v>-0.00945017182130584</v>
      </c>
      <c r="CA38" s="172" t="n">
        <f aca="false">SUM(G38,M38,S38,Y38,AE38,AK38,AQ38,AW38,BC38,BI38,BO38,BU38)</f>
        <v>0</v>
      </c>
      <c r="CB38" s="91" t="n">
        <f aca="false">IFERROR(CA38/CA$5,0)</f>
        <v>0</v>
      </c>
      <c r="CC38" s="139" t="n">
        <f aca="false">IFERROR((CA38/BX38)-1,0)</f>
        <v>-1</v>
      </c>
      <c r="CE38" s="172" t="n">
        <f aca="false">BX38/$CF$1</f>
        <v>-1145.83333333333</v>
      </c>
      <c r="CF38" s="94" t="n">
        <f aca="false">IFERROR(CE38/CE$5,0)</f>
        <v>-0.00945017182130584</v>
      </c>
      <c r="CH38" s="174" t="n">
        <f aca="false">CA38/$CI$1</f>
        <v>0</v>
      </c>
      <c r="CI38" s="94" t="n">
        <f aca="false">IFERROR(CH38/CH$5,0)</f>
        <v>0</v>
      </c>
    </row>
    <row r="39" customFormat="false" ht="14.25" hidden="false" customHeight="false" outlineLevel="1" collapsed="false">
      <c r="B39" s="169" t="s">
        <v>62</v>
      </c>
      <c r="D39" s="157" t="n">
        <f aca="false">D$6*E39</f>
        <v>-6400</v>
      </c>
      <c r="E39" s="91" t="n">
        <v>-0.08</v>
      </c>
      <c r="G39" s="157" t="n">
        <f aca="false">SUMIFS('Dados Mov Financeira'!$N:$N,'Dados Mov Financeira'!$O:$O,'DRE 2024'!$B39,'Dados Mov Financeira'!$A:$A,'DRE 2024'!G$1,'Dados Mov Financeira'!$B:$B,'DRE 2024'!G$2)</f>
        <v>0</v>
      </c>
      <c r="H39" s="91" t="n">
        <f aca="false">IFERROR(G39/G$5,0)</f>
        <v>0</v>
      </c>
      <c r="I39" s="138" t="n">
        <f aca="false">IFERROR((G39/D39)-1,0)</f>
        <v>-1</v>
      </c>
      <c r="J39" s="157" t="n">
        <f aca="false">J$6*K39</f>
        <v>-6800</v>
      </c>
      <c r="K39" s="91" t="n">
        <v>-0.08</v>
      </c>
      <c r="M39" s="157" t="n">
        <f aca="false">SUMIFS('Dados Mov Financeira'!$N:$N,'Dados Mov Financeira'!$O:$O,'DRE 2024'!$B39,'Dados Mov Financeira'!$A:$A,'DRE 2024'!M$1,'Dados Mov Financeira'!$B:$B,'DRE 2024'!M$2)</f>
        <v>0</v>
      </c>
      <c r="N39" s="91" t="n">
        <f aca="false">IFERROR(M39/M$5,0)</f>
        <v>0</v>
      </c>
      <c r="O39" s="139" t="n">
        <f aca="false">IFERROR((M39/J39)-1,0)</f>
        <v>-1</v>
      </c>
      <c r="P39" s="157" t="n">
        <f aca="false">P$6*Q39</f>
        <v>-7200</v>
      </c>
      <c r="Q39" s="91" t="n">
        <v>-0.08</v>
      </c>
      <c r="S39" s="157" t="n">
        <f aca="false">SUMIFS('Dados Mov Financeira'!$N:$N,'Dados Mov Financeira'!$O:$O,'DRE 2024'!$B39,'Dados Mov Financeira'!$A:$A,'DRE 2024'!S$1,'Dados Mov Financeira'!$B:$B,'DRE 2024'!S$2)</f>
        <v>0</v>
      </c>
      <c r="T39" s="91" t="n">
        <f aca="false">IFERROR(S39/S$5,0)</f>
        <v>0</v>
      </c>
      <c r="U39" s="139" t="n">
        <f aca="false">IFERROR((S39/P39)-1,0)</f>
        <v>-1</v>
      </c>
      <c r="V39" s="157" t="n">
        <f aca="false">V$6*W39</f>
        <v>-8000</v>
      </c>
      <c r="W39" s="91" t="n">
        <v>-0.08</v>
      </c>
      <c r="Y39" s="157" t="n">
        <f aca="false">SUMIFS('Dados Mov Financeira'!$N:$N,'Dados Mov Financeira'!$O:$O,'DRE 2024'!$B39,'Dados Mov Financeira'!$A:$A,'DRE 2024'!Y$1,'Dados Mov Financeira'!$B:$B,'DRE 2024'!Y$2)</f>
        <v>0</v>
      </c>
      <c r="Z39" s="91" t="n">
        <f aca="false">IFERROR(Y39/Y$5,0)</f>
        <v>0</v>
      </c>
      <c r="AA39" s="139" t="n">
        <f aca="false">IFERROR((Y39/V39)-1,0)</f>
        <v>-1</v>
      </c>
      <c r="AB39" s="157" t="n">
        <f aca="false">AB$6*AC39</f>
        <v>-7700</v>
      </c>
      <c r="AC39" s="91" t="n">
        <v>-0.07</v>
      </c>
      <c r="AE39" s="157" t="n">
        <f aca="false">SUMIFS('Dados Mov Financeira'!$N:$N,'Dados Mov Financeira'!$O:$O,'DRE 2024'!$B39,'Dados Mov Financeira'!$A:$A,'DRE 2024'!AE$1,'Dados Mov Financeira'!$B:$B,'DRE 2024'!AE$2)</f>
        <v>0</v>
      </c>
      <c r="AF39" s="91" t="n">
        <f aca="false">IFERROR(AE39/AE$5,0)</f>
        <v>0</v>
      </c>
      <c r="AG39" s="139" t="n">
        <f aca="false">IFERROR((AE39/AB39)-1,0)</f>
        <v>-1</v>
      </c>
      <c r="AH39" s="157" t="n">
        <f aca="false">AH$6*AI39</f>
        <v>-7200</v>
      </c>
      <c r="AI39" s="91" t="n">
        <v>-0.06</v>
      </c>
      <c r="AK39" s="173" t="n">
        <f aca="false">SUMIFS('Dados Mov Financeira'!$N:$N,'Dados Mov Financeira'!$O:$O,'DRE 2024'!$B39,'Dados Mov Financeira'!$A:$A,'DRE 2024'!AK$1,'Dados Mov Financeira'!$B:$B,'DRE 2024'!AK$2)</f>
        <v>0</v>
      </c>
      <c r="AL39" s="91" t="n">
        <f aca="false">IFERROR(AK39/AK$5,0)</f>
        <v>0</v>
      </c>
      <c r="AM39" s="139" t="n">
        <f aca="false">IFERROR((AK39/AH39)-1,0)</f>
        <v>-1</v>
      </c>
      <c r="AN39" s="157" t="n">
        <f aca="false">AN$6*AO39</f>
        <v>-7800</v>
      </c>
      <c r="AO39" s="91" t="n">
        <v>-0.06</v>
      </c>
      <c r="AQ39" s="173" t="n">
        <f aca="false">SUMIFS('Dados Mov Financeira'!$N:$N,'Dados Mov Financeira'!$O:$O,'DRE 2024'!$B39,'Dados Mov Financeira'!$A:$A,'DRE 2024'!AQ$1,'Dados Mov Financeira'!$B:$B,'DRE 2024'!AQ$2)</f>
        <v>0</v>
      </c>
      <c r="AR39" s="91" t="n">
        <f aca="false">IFERROR(AQ39/AQ$5,0)</f>
        <v>0</v>
      </c>
      <c r="AS39" s="139" t="n">
        <f aca="false">IFERROR((AQ39/AN39)-1,0)</f>
        <v>-1</v>
      </c>
      <c r="AT39" s="157" t="n">
        <f aca="false">AT$6*AU39</f>
        <v>-7000</v>
      </c>
      <c r="AU39" s="91" t="n">
        <v>-0.05</v>
      </c>
      <c r="AW39" s="173" t="n">
        <f aca="false">SUMIFS('Dados Mov Financeira'!$N:$N,'Dados Mov Financeira'!$O:$O,'DRE 2024'!$B39,'Dados Mov Financeira'!$A:$A,'DRE 2024'!AW$1,'Dados Mov Financeira'!$B:$B,'DRE 2024'!AW$2)</f>
        <v>0</v>
      </c>
      <c r="AX39" s="91" t="n">
        <f aca="false">IFERROR(AW39/AW$5,0)</f>
        <v>0</v>
      </c>
      <c r="AY39" s="139" t="n">
        <f aca="false">IFERROR((AW39/AT39)-1,0)</f>
        <v>-1</v>
      </c>
      <c r="AZ39" s="157" t="n">
        <f aca="false">AZ$6*BA39</f>
        <v>-7500</v>
      </c>
      <c r="BA39" s="91" t="n">
        <v>-0.05</v>
      </c>
      <c r="BC39" s="173" t="n">
        <f aca="false">SUMIFS('Dados Mov Financeira'!$N:$N,'Dados Mov Financeira'!$O:$O,'DRE 2024'!$B39,'Dados Mov Financeira'!$A:$A,'DRE 2024'!BC$1,'Dados Mov Financeira'!$B:$B,'DRE 2024'!BC$2)</f>
        <v>0</v>
      </c>
      <c r="BD39" s="91" t="n">
        <f aca="false">IFERROR(BC39/BC$5,0)</f>
        <v>0</v>
      </c>
      <c r="BE39" s="139" t="n">
        <f aca="false">IFERROR((BC39/AZ39)-1,0)</f>
        <v>-1</v>
      </c>
      <c r="BF39" s="157" t="n">
        <f aca="false">BF$6*BG39</f>
        <v>-7500</v>
      </c>
      <c r="BG39" s="91" t="n">
        <v>-0.05</v>
      </c>
      <c r="BI39" s="173" t="n">
        <f aca="false">SUMIFS('Dados Mov Financeira'!$N:$N,'Dados Mov Financeira'!$O:$O,'DRE 2024'!$B39,'Dados Mov Financeira'!$A:$A,'DRE 2024'!BI$1,'Dados Mov Financeira'!$B:$B,'DRE 2024'!BI$2)</f>
        <v>0</v>
      </c>
      <c r="BJ39" s="91" t="n">
        <f aca="false">IFERROR(BI39/BI$5,0)</f>
        <v>0</v>
      </c>
      <c r="BK39" s="139" t="n">
        <f aca="false">IFERROR((BI39/BF39)-1,0)</f>
        <v>-1</v>
      </c>
      <c r="BL39" s="157" t="n">
        <f aca="false">BL$6*BM39</f>
        <v>-7500</v>
      </c>
      <c r="BM39" s="91" t="n">
        <v>-0.05</v>
      </c>
      <c r="BO39" s="173" t="n">
        <f aca="false">SUMIFS('Dados Mov Financeira'!$N:$N,'Dados Mov Financeira'!$O:$O,'DRE 2024'!$B39,'Dados Mov Financeira'!$A:$A,'DRE 2024'!BO$1,'Dados Mov Financeira'!$B:$B,'DRE 2024'!BO$2)</f>
        <v>0</v>
      </c>
      <c r="BP39" s="91" t="n">
        <f aca="false">IFERROR(BO39/BO$5,0)</f>
        <v>0</v>
      </c>
      <c r="BQ39" s="139" t="n">
        <f aca="false">IFERROR((BO39/BL39)-1,0)</f>
        <v>-1</v>
      </c>
      <c r="BR39" s="157" t="n">
        <f aca="false">BR$6*BS39</f>
        <v>-7500</v>
      </c>
      <c r="BS39" s="91" t="n">
        <v>-0.05</v>
      </c>
      <c r="BT39" s="171"/>
      <c r="BU39" s="173" t="n">
        <f aca="false">SUMIFS('Dados Mov Financeira'!$N:$N,'Dados Mov Financeira'!$O:$O,'DRE 2024'!$B39,'Dados Mov Financeira'!$A:$A,'DRE 2024'!BU$1,'Dados Mov Financeira'!$B:$B,'DRE 2024'!BU$2)</f>
        <v>0</v>
      </c>
      <c r="BV39" s="91" t="n">
        <f aca="false">IFERROR(BU39/BU$5,0)</f>
        <v>0</v>
      </c>
      <c r="BW39" s="139" t="n">
        <f aca="false">IFERROR((BU39/BR39)-1,0)</f>
        <v>-1</v>
      </c>
      <c r="BX39" s="172" t="n">
        <f aca="false">SUM(D39,J39,P39,V39,AB39,AH39,AN39,AT39,AZ39,BF39,BL39,BR39)</f>
        <v>-88100</v>
      </c>
      <c r="BY39" s="91" t="n">
        <f aca="false">IFERROR(BX39/BX$5,0)</f>
        <v>-0.0605498281786942</v>
      </c>
      <c r="CA39" s="172" t="n">
        <f aca="false">SUM(G39,M39,S39,Y39,AE39,AK39,AQ39,AW39,BC39,BI39,BO39,BU39)</f>
        <v>0</v>
      </c>
      <c r="CB39" s="91" t="n">
        <f aca="false">IFERROR(CA39/CA$5,0)</f>
        <v>0</v>
      </c>
      <c r="CC39" s="139" t="n">
        <f aca="false">IFERROR((CA39/BX39)-1,0)</f>
        <v>-1</v>
      </c>
      <c r="CE39" s="172" t="n">
        <f aca="false">BX39/$CF$1</f>
        <v>-7341.66666666667</v>
      </c>
      <c r="CF39" s="94" t="n">
        <f aca="false">IFERROR(CE39/CE$5,0)</f>
        <v>-0.0605498281786942</v>
      </c>
      <c r="CH39" s="174" t="n">
        <f aca="false">CA39/$CI$1</f>
        <v>0</v>
      </c>
      <c r="CI39" s="94" t="n">
        <f aca="false">IFERROR(CH39/CH$5,0)</f>
        <v>0</v>
      </c>
    </row>
    <row r="40" customFormat="false" ht="13.5" hidden="false" customHeight="false" outlineLevel="0" collapsed="false">
      <c r="B40" s="169"/>
      <c r="C40" s="191"/>
      <c r="D40" s="172"/>
      <c r="E40" s="108"/>
      <c r="F40" s="191"/>
      <c r="G40" s="172"/>
      <c r="H40" s="108"/>
      <c r="I40" s="192"/>
      <c r="J40" s="172"/>
      <c r="K40" s="108"/>
      <c r="L40" s="191"/>
      <c r="M40" s="172"/>
      <c r="N40" s="108"/>
      <c r="O40" s="171"/>
      <c r="P40" s="172"/>
      <c r="Q40" s="108"/>
      <c r="R40" s="191"/>
      <c r="S40" s="172"/>
      <c r="T40" s="108"/>
      <c r="U40" s="171"/>
      <c r="V40" s="172"/>
      <c r="W40" s="108"/>
      <c r="X40" s="191"/>
      <c r="Y40" s="172"/>
      <c r="Z40" s="108"/>
      <c r="AA40" s="171"/>
      <c r="AB40" s="172"/>
      <c r="AC40" s="108"/>
      <c r="AD40" s="191"/>
      <c r="AE40" s="172"/>
      <c r="AF40" s="108"/>
      <c r="AG40" s="171"/>
      <c r="AH40" s="172"/>
      <c r="AI40" s="108"/>
      <c r="AJ40" s="191"/>
      <c r="AK40" s="172"/>
      <c r="AL40" s="108"/>
      <c r="AM40" s="171"/>
      <c r="AN40" s="172"/>
      <c r="AO40" s="108"/>
      <c r="AP40" s="191"/>
      <c r="AQ40" s="172"/>
      <c r="AR40" s="108"/>
      <c r="AS40" s="171"/>
      <c r="AT40" s="172"/>
      <c r="AU40" s="108"/>
      <c r="AV40" s="191"/>
      <c r="AW40" s="172"/>
      <c r="AX40" s="108"/>
      <c r="AY40" s="171"/>
      <c r="AZ40" s="172"/>
      <c r="BA40" s="108"/>
      <c r="BB40" s="191"/>
      <c r="BC40" s="172"/>
      <c r="BD40" s="108"/>
      <c r="BE40" s="171"/>
      <c r="BF40" s="172"/>
      <c r="BG40" s="108"/>
      <c r="BH40" s="191"/>
      <c r="BI40" s="172"/>
      <c r="BJ40" s="108"/>
      <c r="BK40" s="171"/>
      <c r="BL40" s="172"/>
      <c r="BM40" s="108"/>
      <c r="BN40" s="191"/>
      <c r="BO40" s="172"/>
      <c r="BP40" s="108"/>
      <c r="BQ40" s="171"/>
      <c r="BR40" s="172"/>
      <c r="BS40" s="108"/>
      <c r="BT40" s="171"/>
      <c r="BU40" s="172"/>
      <c r="BV40" s="108"/>
      <c r="BW40" s="171"/>
      <c r="BX40" s="172"/>
      <c r="BY40" s="108"/>
      <c r="BZ40" s="191"/>
      <c r="CA40" s="172"/>
      <c r="CB40" s="108"/>
      <c r="CC40" s="171"/>
      <c r="CD40" s="191"/>
      <c r="CE40" s="174"/>
      <c r="CF40" s="108"/>
      <c r="CG40" s="191"/>
      <c r="CH40" s="174"/>
      <c r="CI40" s="108"/>
    </row>
    <row r="41" s="128" customFormat="true" ht="7.5" hidden="false" customHeight="true" outlineLevel="0" collapsed="false">
      <c r="B41" s="135"/>
      <c r="C41" s="145"/>
      <c r="D41" s="161"/>
      <c r="E41" s="60"/>
      <c r="F41" s="145"/>
      <c r="G41" s="161"/>
      <c r="H41" s="60"/>
      <c r="I41" s="60"/>
      <c r="J41" s="161"/>
      <c r="K41" s="60"/>
      <c r="L41" s="145"/>
      <c r="M41" s="161"/>
      <c r="N41" s="60"/>
      <c r="O41" s="149"/>
      <c r="P41" s="161"/>
      <c r="Q41" s="60"/>
      <c r="R41" s="145"/>
      <c r="S41" s="161"/>
      <c r="T41" s="60"/>
      <c r="U41" s="149"/>
      <c r="V41" s="161"/>
      <c r="W41" s="60"/>
      <c r="X41" s="145"/>
      <c r="Y41" s="161"/>
      <c r="Z41" s="60"/>
      <c r="AA41" s="149"/>
      <c r="AB41" s="161"/>
      <c r="AC41" s="60"/>
      <c r="AD41" s="145"/>
      <c r="AE41" s="161"/>
      <c r="AF41" s="60"/>
      <c r="AG41" s="149"/>
      <c r="AH41" s="161"/>
      <c r="AI41" s="60"/>
      <c r="AJ41" s="145"/>
      <c r="AK41" s="161"/>
      <c r="AL41" s="60"/>
      <c r="AM41" s="149"/>
      <c r="AN41" s="161"/>
      <c r="AO41" s="60"/>
      <c r="AP41" s="145"/>
      <c r="AQ41" s="161"/>
      <c r="AR41" s="60"/>
      <c r="AS41" s="149"/>
      <c r="AT41" s="161"/>
      <c r="AU41" s="60"/>
      <c r="AV41" s="145"/>
      <c r="AW41" s="161"/>
      <c r="AX41" s="60"/>
      <c r="AY41" s="149"/>
      <c r="AZ41" s="161"/>
      <c r="BA41" s="60"/>
      <c r="BB41" s="145"/>
      <c r="BC41" s="161"/>
      <c r="BD41" s="60"/>
      <c r="BE41" s="149"/>
      <c r="BF41" s="161"/>
      <c r="BG41" s="60"/>
      <c r="BH41" s="145"/>
      <c r="BI41" s="161"/>
      <c r="BJ41" s="60"/>
      <c r="BK41" s="149"/>
      <c r="BL41" s="161"/>
      <c r="BM41" s="60"/>
      <c r="BN41" s="145"/>
      <c r="BO41" s="161"/>
      <c r="BP41" s="60"/>
      <c r="BQ41" s="149"/>
      <c r="BR41" s="161"/>
      <c r="BS41" s="60"/>
      <c r="BT41" s="149"/>
      <c r="BU41" s="161"/>
      <c r="BV41" s="60"/>
      <c r="BW41" s="149"/>
      <c r="BX41" s="161"/>
      <c r="BY41" s="60"/>
      <c r="BZ41" s="145"/>
      <c r="CA41" s="161"/>
      <c r="CB41" s="60"/>
      <c r="CC41" s="149"/>
      <c r="CD41" s="145"/>
      <c r="CE41" s="162"/>
      <c r="CF41" s="60"/>
      <c r="CG41" s="145"/>
      <c r="CH41" s="162"/>
      <c r="CI41" s="60"/>
    </row>
    <row r="42" s="150" customFormat="true" ht="14.25" hidden="false" customHeight="false" outlineLevel="0" collapsed="false">
      <c r="A42" s="126"/>
      <c r="B42" s="188" t="s">
        <v>63</v>
      </c>
      <c r="D42" s="189" t="n">
        <f aca="false">SUM(D32,D34)</f>
        <v>43220</v>
      </c>
      <c r="E42" s="104" t="n">
        <f aca="false">IFERROR(D42/D$5,0)</f>
        <v>0.54025</v>
      </c>
      <c r="G42" s="189" t="n">
        <f aca="false">SUM(G32,G34)</f>
        <v>0</v>
      </c>
      <c r="H42" s="104" t="n">
        <f aca="false">IFERROR(G42/G$5,0)</f>
        <v>0</v>
      </c>
      <c r="I42" s="138" t="n">
        <f aca="false">IFERROR(G42/D42,0)</f>
        <v>0</v>
      </c>
      <c r="J42" s="189" t="n">
        <f aca="false">SUM(J32,J34)</f>
        <v>38995</v>
      </c>
      <c r="K42" s="104" t="n">
        <f aca="false">IFERROR(J42/J$5,0)</f>
        <v>0.458764705882353</v>
      </c>
      <c r="M42" s="189" t="n">
        <f aca="false">SUM(M32,M34)</f>
        <v>0</v>
      </c>
      <c r="N42" s="104" t="n">
        <f aca="false">IFERROR(M42/M$5,0)</f>
        <v>0</v>
      </c>
      <c r="O42" s="139" t="n">
        <f aca="false">IFERROR(M42/J42,0)</f>
        <v>0</v>
      </c>
      <c r="P42" s="189" t="n">
        <f aca="false">SUM(P32,P34)</f>
        <v>41330</v>
      </c>
      <c r="Q42" s="104" t="n">
        <f aca="false">IFERROR(P42/P$5,0)</f>
        <v>0.459222222222222</v>
      </c>
      <c r="S42" s="189" t="n">
        <f aca="false">SUM(S32,S34)</f>
        <v>0</v>
      </c>
      <c r="T42" s="104" t="n">
        <f aca="false">IFERROR(S42/S$5,0)</f>
        <v>0</v>
      </c>
      <c r="U42" s="139" t="n">
        <f aca="false">IFERROR(S42/P42,0)</f>
        <v>0</v>
      </c>
      <c r="V42" s="189" t="n">
        <f aca="false">SUM(V32,V34)</f>
        <v>46000</v>
      </c>
      <c r="W42" s="104" t="n">
        <f aca="false">IFERROR(V42/V$5,0)</f>
        <v>0.46</v>
      </c>
      <c r="Y42" s="189" t="n">
        <f aca="false">SUM(Y32,Y34)</f>
        <v>0</v>
      </c>
      <c r="Z42" s="104" t="n">
        <f aca="false">IFERROR(Y42/Y$5,0)</f>
        <v>0</v>
      </c>
      <c r="AA42" s="139" t="n">
        <f aca="false">IFERROR(Y42/V42,0)</f>
        <v>0</v>
      </c>
      <c r="AB42" s="189" t="n">
        <f aca="false">SUM(AB32,AB34)</f>
        <v>51770</v>
      </c>
      <c r="AC42" s="104" t="n">
        <f aca="false">IFERROR(AB42/AB$5,0)</f>
        <v>0.470636363636364</v>
      </c>
      <c r="AE42" s="189" t="n">
        <f aca="false">SUM(AE32,AE34)</f>
        <v>0</v>
      </c>
      <c r="AF42" s="104" t="n">
        <f aca="false">IFERROR(AE42/AE$5,0)</f>
        <v>0</v>
      </c>
      <c r="AG42" s="139" t="n">
        <f aca="false">IFERROR(AE42/AB42,0)</f>
        <v>0</v>
      </c>
      <c r="AH42" s="189" t="n">
        <f aca="false">SUM(AH32,AH34)</f>
        <v>57860</v>
      </c>
      <c r="AI42" s="104" t="n">
        <f aca="false">IFERROR(AH42/AH$5,0)</f>
        <v>0.482166666666667</v>
      </c>
      <c r="AK42" s="189" t="n">
        <f aca="false">SUM(AK32,AK34)</f>
        <v>0</v>
      </c>
      <c r="AL42" s="104" t="n">
        <f aca="false">IFERROR(AK42/AK$5,0)</f>
        <v>0</v>
      </c>
      <c r="AM42" s="139" t="n">
        <f aca="false">IFERROR(AK42/AH42,0)</f>
        <v>0</v>
      </c>
      <c r="AN42" s="189" t="n">
        <f aca="false">SUM(AN32,AN34)</f>
        <v>62740</v>
      </c>
      <c r="AO42" s="104" t="n">
        <f aca="false">IFERROR(AN42/AN$5,0)</f>
        <v>0.482615384615385</v>
      </c>
      <c r="AQ42" s="189" t="n">
        <f aca="false">SUM(AQ32,AQ34)</f>
        <v>0</v>
      </c>
      <c r="AR42" s="104" t="n">
        <f aca="false">IFERROR(AQ42/AQ$5,0)</f>
        <v>0</v>
      </c>
      <c r="AS42" s="139" t="n">
        <f aca="false">IFERROR(AQ42/AN42,0)</f>
        <v>0</v>
      </c>
      <c r="AT42" s="189" t="n">
        <f aca="false">SUM(AT32,AT34)</f>
        <v>69020</v>
      </c>
      <c r="AU42" s="104" t="n">
        <f aca="false">IFERROR(AT42/AT$5,0)</f>
        <v>0.493</v>
      </c>
      <c r="AW42" s="189" t="n">
        <f aca="false">SUM(AW32,AW34)</f>
        <v>0</v>
      </c>
      <c r="AX42" s="104" t="n">
        <f aca="false">IFERROR(AW42/AW$5,0)</f>
        <v>0</v>
      </c>
      <c r="AY42" s="139" t="n">
        <f aca="false">IFERROR(AW42/AT42,0)</f>
        <v>0</v>
      </c>
      <c r="AZ42" s="189" t="n">
        <f aca="false">SUM(AZ32,AZ34)</f>
        <v>74150</v>
      </c>
      <c r="BA42" s="104" t="n">
        <f aca="false">IFERROR(AZ42/AZ$5,0)</f>
        <v>0.494333333333333</v>
      </c>
      <c r="BC42" s="189" t="n">
        <f aca="false">SUM(BC32,BC34)</f>
        <v>0</v>
      </c>
      <c r="BD42" s="104" t="n">
        <f aca="false">IFERROR(BC42/BC$5,0)</f>
        <v>0</v>
      </c>
      <c r="BE42" s="139" t="n">
        <f aca="false">IFERROR(BC42/AZ42,0)</f>
        <v>0</v>
      </c>
      <c r="BF42" s="189" t="n">
        <f aca="false">SUM(BF32,BF34)</f>
        <v>74600</v>
      </c>
      <c r="BG42" s="104" t="n">
        <f aca="false">IFERROR(BF42/BF$5,0)</f>
        <v>0.497333333333333</v>
      </c>
      <c r="BI42" s="189" t="n">
        <f aca="false">SUM(BI32,BI34)</f>
        <v>0</v>
      </c>
      <c r="BJ42" s="104" t="n">
        <f aca="false">IFERROR(BI42/BI$5,0)</f>
        <v>0</v>
      </c>
      <c r="BK42" s="139" t="n">
        <f aca="false">IFERROR(BI42/BF42,0)</f>
        <v>0</v>
      </c>
      <c r="BL42" s="189" t="n">
        <f aca="false">SUM(BL32,BL34)</f>
        <v>74600</v>
      </c>
      <c r="BM42" s="104" t="n">
        <f aca="false">IFERROR(BL42/BL$5,0)</f>
        <v>0.497333333333333</v>
      </c>
      <c r="BO42" s="189" t="n">
        <f aca="false">SUM(BO32,BO34)</f>
        <v>0</v>
      </c>
      <c r="BP42" s="104" t="n">
        <f aca="false">IFERROR(BO42/BO$5,0)</f>
        <v>0</v>
      </c>
      <c r="BQ42" s="139" t="n">
        <f aca="false">IFERROR(BO42/BL42,0)</f>
        <v>0</v>
      </c>
      <c r="BR42" s="189" t="n">
        <f aca="false">SUM(BR32,BR34)</f>
        <v>74600</v>
      </c>
      <c r="BS42" s="104" t="n">
        <f aca="false">IFERROR(BR42/BR$5,0)</f>
        <v>0.497333333333333</v>
      </c>
      <c r="BT42" s="140"/>
      <c r="BU42" s="189" t="n">
        <f aca="false">SUM(BU32,BU34)</f>
        <v>0</v>
      </c>
      <c r="BV42" s="104" t="n">
        <f aca="false">IFERROR(BU42/BU$5,0)</f>
        <v>0</v>
      </c>
      <c r="BW42" s="139" t="n">
        <f aca="false">IFERROR(BU42/BR42,0)</f>
        <v>0</v>
      </c>
      <c r="BX42" s="189" t="n">
        <f aca="false">SUM(BX32,BX34)</f>
        <v>708885</v>
      </c>
      <c r="BY42" s="104" t="n">
        <f aca="false">IFERROR(BX42/BX$5,0)</f>
        <v>0.48720618556701</v>
      </c>
      <c r="CA42" s="189" t="n">
        <f aca="false">SUM(CA32,CA34)</f>
        <v>0</v>
      </c>
      <c r="CB42" s="104" t="n">
        <f aca="false">IFERROR(CA42/CA$5,0)</f>
        <v>0</v>
      </c>
      <c r="CC42" s="139" t="n">
        <f aca="false">IFERROR(CA42/BX42,0)</f>
        <v>0</v>
      </c>
      <c r="CE42" s="189" t="n">
        <f aca="false">SUM(CE32,CE34)</f>
        <v>59073.75</v>
      </c>
      <c r="CF42" s="104" t="n">
        <f aca="false">IFERROR(CE42/CE$5,0)</f>
        <v>0.48720618556701</v>
      </c>
      <c r="CH42" s="189" t="n">
        <f aca="false">SUM(CH32,CH34)</f>
        <v>0</v>
      </c>
      <c r="CI42" s="104" t="n">
        <f aca="false">IFERROR(CH42/CH$5,0)</f>
        <v>0</v>
      </c>
    </row>
    <row r="43" s="128" customFormat="true" ht="6" hidden="false" customHeight="true" outlineLevel="0" collapsed="false">
      <c r="B43" s="135"/>
      <c r="C43" s="145"/>
      <c r="D43" s="161"/>
      <c r="E43" s="60"/>
      <c r="F43" s="145"/>
      <c r="G43" s="161"/>
      <c r="H43" s="60"/>
      <c r="I43" s="60"/>
      <c r="J43" s="161"/>
      <c r="K43" s="60"/>
      <c r="L43" s="145"/>
      <c r="M43" s="161"/>
      <c r="N43" s="60"/>
      <c r="O43" s="149"/>
      <c r="P43" s="161"/>
      <c r="Q43" s="60"/>
      <c r="R43" s="145"/>
      <c r="S43" s="161"/>
      <c r="T43" s="60"/>
      <c r="U43" s="149"/>
      <c r="V43" s="161"/>
      <c r="W43" s="60"/>
      <c r="X43" s="145"/>
      <c r="Y43" s="161"/>
      <c r="Z43" s="60"/>
      <c r="AA43" s="149"/>
      <c r="AB43" s="161"/>
      <c r="AC43" s="60"/>
      <c r="AD43" s="145"/>
      <c r="AE43" s="161"/>
      <c r="AF43" s="60"/>
      <c r="AG43" s="149"/>
      <c r="AH43" s="161"/>
      <c r="AI43" s="60"/>
      <c r="AJ43" s="145"/>
      <c r="AK43" s="161"/>
      <c r="AL43" s="60"/>
      <c r="AM43" s="149"/>
      <c r="AN43" s="161"/>
      <c r="AO43" s="60"/>
      <c r="AP43" s="145"/>
      <c r="AQ43" s="161"/>
      <c r="AR43" s="60"/>
      <c r="AS43" s="149"/>
      <c r="AT43" s="161"/>
      <c r="AU43" s="60"/>
      <c r="AV43" s="145"/>
      <c r="AW43" s="161"/>
      <c r="AX43" s="60"/>
      <c r="AY43" s="149"/>
      <c r="AZ43" s="161"/>
      <c r="BA43" s="60"/>
      <c r="BB43" s="145"/>
      <c r="BC43" s="161"/>
      <c r="BD43" s="60"/>
      <c r="BE43" s="149"/>
      <c r="BF43" s="161"/>
      <c r="BG43" s="60"/>
      <c r="BH43" s="145"/>
      <c r="BI43" s="161"/>
      <c r="BJ43" s="60"/>
      <c r="BK43" s="149"/>
      <c r="BL43" s="161"/>
      <c r="BM43" s="60"/>
      <c r="BN43" s="145"/>
      <c r="BO43" s="161"/>
      <c r="BP43" s="60"/>
      <c r="BQ43" s="149"/>
      <c r="BR43" s="161"/>
      <c r="BS43" s="60"/>
      <c r="BT43" s="149"/>
      <c r="BU43" s="161"/>
      <c r="BV43" s="60"/>
      <c r="BW43" s="149"/>
      <c r="BX43" s="161"/>
      <c r="BY43" s="60"/>
      <c r="BZ43" s="145"/>
      <c r="CA43" s="161"/>
      <c r="CB43" s="60"/>
      <c r="CC43" s="149"/>
      <c r="CD43" s="145"/>
      <c r="CE43" s="162"/>
      <c r="CF43" s="60"/>
      <c r="CG43" s="145"/>
      <c r="CH43" s="162"/>
      <c r="CI43" s="60"/>
    </row>
    <row r="44" s="150" customFormat="true" ht="14.25" hidden="false" customHeight="false" outlineLevel="0" collapsed="false">
      <c r="A44" s="126"/>
      <c r="B44" s="163" t="s">
        <v>64</v>
      </c>
      <c r="D44" s="164" t="n">
        <f aca="false">SUM(D45,D70,D85,D89,D97)</f>
        <v>-29939.942</v>
      </c>
      <c r="E44" s="81" t="n">
        <f aca="false">IFERROR(D44/D$5,0)</f>
        <v>-0.374249275</v>
      </c>
      <c r="G44" s="164" t="n">
        <f aca="false">SUM(G45,G70,G85,G89)</f>
        <v>0</v>
      </c>
      <c r="H44" s="81" t="n">
        <f aca="false">IFERROR(G44/G$5,0)</f>
        <v>0</v>
      </c>
      <c r="I44" s="138" t="n">
        <f aca="false">IFERROR((G44/D44)-1,0)</f>
        <v>-1</v>
      </c>
      <c r="J44" s="164" t="n">
        <f aca="false">SUM(J45,J70,J85,J89)</f>
        <v>-28529.942</v>
      </c>
      <c r="K44" s="81" t="n">
        <f aca="false">IFERROR(J44/J$5,0)</f>
        <v>-0.335646376470588</v>
      </c>
      <c r="M44" s="164" t="n">
        <f aca="false">SUM(M45,M70,M85,M89)</f>
        <v>0</v>
      </c>
      <c r="N44" s="81" t="n">
        <f aca="false">IFERROR(M44/M$5,0)</f>
        <v>0</v>
      </c>
      <c r="O44" s="139" t="n">
        <f aca="false">IFERROR((M44/J44)-1,0)</f>
        <v>-1</v>
      </c>
      <c r="P44" s="164" t="n">
        <f aca="false">SUM(P45,P70,P85,P89)</f>
        <v>-28514.942</v>
      </c>
      <c r="Q44" s="81" t="n">
        <f aca="false">IFERROR(P44/P$5,0)</f>
        <v>-0.316832688888889</v>
      </c>
      <c r="S44" s="164" t="n">
        <f aca="false">SUM(S45,S70,S85,S89)</f>
        <v>0</v>
      </c>
      <c r="T44" s="81" t="n">
        <f aca="false">IFERROR(S44/S$5,0)</f>
        <v>0</v>
      </c>
      <c r="U44" s="139" t="n">
        <f aca="false">IFERROR((S44/P44)-1,0)</f>
        <v>-1</v>
      </c>
      <c r="V44" s="164" t="n">
        <f aca="false">SUM(V45,V70,V85,V89)</f>
        <v>-28514.942</v>
      </c>
      <c r="W44" s="81" t="n">
        <f aca="false">IFERROR(V44/V$5,0)</f>
        <v>-0.28514942</v>
      </c>
      <c r="Y44" s="164" t="n">
        <f aca="false">SUM(Y45,Y70,Y85,Y89)</f>
        <v>0</v>
      </c>
      <c r="Z44" s="81" t="n">
        <f aca="false">IFERROR(Y44/Y$5,0)</f>
        <v>0</v>
      </c>
      <c r="AA44" s="139" t="n">
        <f aca="false">IFERROR((Y44/V44)-1,0)</f>
        <v>-1</v>
      </c>
      <c r="AB44" s="164" t="n">
        <f aca="false">SUM(AB45,AB70,AB85,AB89)</f>
        <v>-28514.942</v>
      </c>
      <c r="AC44" s="81" t="n">
        <f aca="false">IFERROR(AB44/AB$5,0)</f>
        <v>-0.259226745454546</v>
      </c>
      <c r="AE44" s="164" t="n">
        <f aca="false">SUM(AE45,AE70,AE85,AE89)</f>
        <v>0</v>
      </c>
      <c r="AF44" s="81" t="n">
        <f aca="false">IFERROR(AE44/AE$5,0)</f>
        <v>0</v>
      </c>
      <c r="AG44" s="139" t="n">
        <f aca="false">IFERROR((AE44/AB44)-1,0)</f>
        <v>-1</v>
      </c>
      <c r="AH44" s="164" t="n">
        <f aca="false">SUM(AH45,AH70,AH85,AH89)</f>
        <v>-28514.942</v>
      </c>
      <c r="AI44" s="81" t="n">
        <f aca="false">IFERROR(AH44/AH$5,0)</f>
        <v>-0.237624516666667</v>
      </c>
      <c r="AK44" s="164" t="n">
        <f aca="false">SUM(AK45,AK70,AK85,AK89)</f>
        <v>0</v>
      </c>
      <c r="AL44" s="81" t="n">
        <f aca="false">IFERROR(AK44/AK$5,0)</f>
        <v>0</v>
      </c>
      <c r="AM44" s="139" t="n">
        <f aca="false">IFERROR((AK44/AH44)-1,0)</f>
        <v>-1</v>
      </c>
      <c r="AN44" s="164" t="n">
        <f aca="false">SUM(AN45,AN70,AN85,AN89)</f>
        <v>-28514.942</v>
      </c>
      <c r="AO44" s="81" t="n">
        <f aca="false">IFERROR(AN44/AN$5,0)</f>
        <v>-0.219345707692308</v>
      </c>
      <c r="AQ44" s="164" t="n">
        <f aca="false">SUM(AQ45,AQ70,AQ85,AQ89)</f>
        <v>0</v>
      </c>
      <c r="AR44" s="81" t="n">
        <f aca="false">IFERROR(AQ44/AQ$5,0)</f>
        <v>0</v>
      </c>
      <c r="AS44" s="139" t="n">
        <f aca="false">IFERROR((AQ44/AN44)-1,0)</f>
        <v>-1</v>
      </c>
      <c r="AT44" s="164" t="n">
        <f aca="false">SUM(AT45,AT70,AT85,AT89,AT97)</f>
        <v>-30514.942</v>
      </c>
      <c r="AU44" s="81" t="n">
        <f aca="false">IFERROR(AT44/AT$5,0)</f>
        <v>-0.217963871428571</v>
      </c>
      <c r="AW44" s="164" t="n">
        <f aca="false">SUM(AW45,AW70,AW85,AW89)</f>
        <v>0</v>
      </c>
      <c r="AX44" s="81" t="n">
        <f aca="false">IFERROR(AW44/AW$5,0)</f>
        <v>0</v>
      </c>
      <c r="AY44" s="139" t="n">
        <f aca="false">IFERROR((AW44/AT44)-1,0)</f>
        <v>-1</v>
      </c>
      <c r="AZ44" s="164" t="n">
        <f aca="false">SUM(AZ45,AZ70,AZ85,AZ89)</f>
        <v>-28514.942</v>
      </c>
      <c r="BA44" s="81" t="n">
        <f aca="false">IFERROR(AZ44/AZ$5,0)</f>
        <v>-0.190099613333333</v>
      </c>
      <c r="BC44" s="164" t="n">
        <f aca="false">SUM(BC45,BC70,BC85,BC89)</f>
        <v>0</v>
      </c>
      <c r="BD44" s="81" t="n">
        <f aca="false">IFERROR(BC44/BC$5,0)</f>
        <v>0</v>
      </c>
      <c r="BE44" s="139" t="n">
        <f aca="false">IFERROR((BC44/AZ44)-1,0)</f>
        <v>-1</v>
      </c>
      <c r="BF44" s="164" t="n">
        <f aca="false">SUM(BF45,BF70,BF85,BF89)</f>
        <v>-28514.942</v>
      </c>
      <c r="BG44" s="81" t="n">
        <f aca="false">IFERROR(BF44/BF$5,0)</f>
        <v>-0.190099613333333</v>
      </c>
      <c r="BI44" s="164" t="n">
        <f aca="false">SUM(BI45,BI70,BI85,BI89)</f>
        <v>0</v>
      </c>
      <c r="BJ44" s="81" t="n">
        <f aca="false">IFERROR(BI44/BI$5,0)</f>
        <v>0</v>
      </c>
      <c r="BK44" s="139" t="n">
        <f aca="false">IFERROR((BI44/BF44)-1,0)</f>
        <v>-1</v>
      </c>
      <c r="BL44" s="164" t="n">
        <f aca="false">SUM(BL45,BL70,BL85,BL89)</f>
        <v>-31814.942</v>
      </c>
      <c r="BM44" s="81" t="n">
        <f aca="false">IFERROR(BL44/BL$5,0)</f>
        <v>-0.212099613333333</v>
      </c>
      <c r="BO44" s="164" t="n">
        <f aca="false">SUM(BO45,BO70,BO85,BO89,BO97)</f>
        <v>0</v>
      </c>
      <c r="BP44" s="81" t="n">
        <f aca="false">IFERROR(BO44/BO$5,0)</f>
        <v>0</v>
      </c>
      <c r="BQ44" s="139" t="n">
        <f aca="false">IFERROR((BO44/BL44)-1,0)</f>
        <v>-1</v>
      </c>
      <c r="BR44" s="164" t="n">
        <f aca="false">SUM(BR45,BR70,BR85,BR89)</f>
        <v>-31814.942</v>
      </c>
      <c r="BS44" s="81" t="n">
        <f aca="false">IFERROR(BR44/BR$5,0)</f>
        <v>-0.212099613333333</v>
      </c>
      <c r="BT44" s="140"/>
      <c r="BU44" s="164" t="n">
        <f aca="false">SUM(BU45,BU70,BU85,BU89)</f>
        <v>-6500</v>
      </c>
      <c r="BV44" s="81" t="n">
        <f aca="false">IFERROR(BU44/BU$5,0)</f>
        <v>0</v>
      </c>
      <c r="BW44" s="139" t="n">
        <f aca="false">IFERROR((BU44/BR44)-1,0)</f>
        <v>-0.795693482640955</v>
      </c>
      <c r="BX44" s="164" t="n">
        <f aca="false">SUM(BX45,BX70,BX85,BX89)</f>
        <v>-348219.304</v>
      </c>
      <c r="BY44" s="81" t="n">
        <f aca="false">IFERROR(BX44/BX$5,0)</f>
        <v>-0.239325982130584</v>
      </c>
      <c r="CA44" s="164" t="n">
        <f aca="false">SUM(CA45,CA70,CA85,CA89)</f>
        <v>-6500</v>
      </c>
      <c r="CB44" s="81" t="n">
        <f aca="false">IFERROR(CA44/CA$5,0)</f>
        <v>0</v>
      </c>
      <c r="CC44" s="139" t="n">
        <f aca="false">IFERROR((CA44/BX44)-1,0)</f>
        <v>-0.981333602343884</v>
      </c>
      <c r="CE44" s="165" t="n">
        <f aca="false">SUM(CE45,CE70,CE85,CE89)</f>
        <v>-29018.2753333333</v>
      </c>
      <c r="CF44" s="83" t="n">
        <f aca="false">IFERROR(CE44/CE$5,0)</f>
        <v>-0.239325982130584</v>
      </c>
      <c r="CH44" s="165" t="n">
        <f aca="false">SUM(CH45,CH70,CH85,CH89)</f>
        <v>-541.666666666667</v>
      </c>
      <c r="CI44" s="83" t="n">
        <f aca="false">IFERROR(CH44/CH$5,0)</f>
        <v>0</v>
      </c>
    </row>
    <row r="45" s="150" customFormat="true" ht="14.25" hidden="false" customHeight="false" outlineLevel="0" collapsed="false">
      <c r="B45" s="190" t="s">
        <v>65</v>
      </c>
      <c r="D45" s="157" t="n">
        <f aca="false">SUM(D46:D69)</f>
        <v>-14673.002</v>
      </c>
      <c r="E45" s="109" t="n">
        <f aca="false">IFERROR(D45/D$5,0)</f>
        <v>-0.183412525</v>
      </c>
      <c r="G45" s="157" t="n">
        <f aca="false">SUM(G46:G69)</f>
        <v>0</v>
      </c>
      <c r="H45" s="109" t="n">
        <f aca="false">IFERROR(G45/G$5,0)</f>
        <v>0</v>
      </c>
      <c r="I45" s="138" t="n">
        <f aca="false">IFERROR((G45/D45)-1,0)</f>
        <v>-1</v>
      </c>
      <c r="J45" s="157" t="n">
        <f aca="false">SUM(J46:J69)</f>
        <v>-15263.002</v>
      </c>
      <c r="K45" s="109" t="n">
        <f aca="false">IFERROR(J45/J$5,0)</f>
        <v>-0.179564729411765</v>
      </c>
      <c r="M45" s="157" t="n">
        <f aca="false">SUM(M46:M69)</f>
        <v>0</v>
      </c>
      <c r="N45" s="109" t="n">
        <f aca="false">IFERROR(M45/M$5,0)</f>
        <v>0</v>
      </c>
      <c r="O45" s="139" t="n">
        <f aca="false">IFERROR((M45/J45)-1,0)</f>
        <v>-1</v>
      </c>
      <c r="P45" s="157" t="n">
        <f aca="false">SUM(P46:P69)</f>
        <v>-15248.002</v>
      </c>
      <c r="Q45" s="109" t="n">
        <f aca="false">IFERROR(P45/P$5,0)</f>
        <v>-0.169422244444444</v>
      </c>
      <c r="S45" s="157" t="n">
        <f aca="false">SUM(S46:S69)</f>
        <v>0</v>
      </c>
      <c r="T45" s="109" t="n">
        <f aca="false">IFERROR(S45/S$5,0)</f>
        <v>0</v>
      </c>
      <c r="U45" s="139" t="n">
        <f aca="false">IFERROR((S45/P45)-1,0)</f>
        <v>-1</v>
      </c>
      <c r="V45" s="157" t="n">
        <f aca="false">SUM(V46:V69)</f>
        <v>-15248.002</v>
      </c>
      <c r="W45" s="109" t="n">
        <f aca="false">IFERROR(V45/V$5,0)</f>
        <v>-0.15248002</v>
      </c>
      <c r="Y45" s="157" t="n">
        <f aca="false">SUM(Y46:Y69)</f>
        <v>0</v>
      </c>
      <c r="Z45" s="109" t="n">
        <f aca="false">IFERROR(Y45/Y$5,0)</f>
        <v>0</v>
      </c>
      <c r="AA45" s="139" t="n">
        <f aca="false">IFERROR((Y45/V45)-1,0)</f>
        <v>-1</v>
      </c>
      <c r="AB45" s="157" t="n">
        <f aca="false">SUM(AB46:AB69)</f>
        <v>-15248.002</v>
      </c>
      <c r="AC45" s="109" t="n">
        <f aca="false">IFERROR(AB45/AB$5,0)</f>
        <v>-0.1386182</v>
      </c>
      <c r="AE45" s="157" t="n">
        <f aca="false">SUM(AE46:AE69)</f>
        <v>0</v>
      </c>
      <c r="AF45" s="109" t="n">
        <f aca="false">IFERROR(AE45/AE$5,0)</f>
        <v>0</v>
      </c>
      <c r="AG45" s="139" t="n">
        <f aca="false">IFERROR((AE45/AB45)-1,0)</f>
        <v>-1</v>
      </c>
      <c r="AH45" s="157" t="n">
        <f aca="false">SUM(AH46:AH69)</f>
        <v>-15248.002</v>
      </c>
      <c r="AI45" s="109" t="n">
        <f aca="false">IFERROR(AH45/AH$5,0)</f>
        <v>-0.127066683333333</v>
      </c>
      <c r="AK45" s="157" t="n">
        <f aca="false">SUM(AK46:AK69)</f>
        <v>0</v>
      </c>
      <c r="AL45" s="109" t="n">
        <f aca="false">IFERROR(AK45/AK$5,0)</f>
        <v>0</v>
      </c>
      <c r="AM45" s="139" t="n">
        <f aca="false">IFERROR((AK45/AH45)-1,0)</f>
        <v>-1</v>
      </c>
      <c r="AN45" s="157" t="n">
        <f aca="false">SUM(AN46:AN69)</f>
        <v>-15248.002</v>
      </c>
      <c r="AO45" s="109" t="n">
        <f aca="false">IFERROR(AN45/AN$5,0)</f>
        <v>-0.117292323076923</v>
      </c>
      <c r="AQ45" s="157" t="n">
        <f aca="false">SUM(AQ46:AQ69)</f>
        <v>0</v>
      </c>
      <c r="AR45" s="109" t="n">
        <f aca="false">IFERROR(AQ45/AQ$5,0)</f>
        <v>0</v>
      </c>
      <c r="AS45" s="139" t="n">
        <f aca="false">IFERROR((AQ45/AN45)-1,0)</f>
        <v>-1</v>
      </c>
      <c r="AT45" s="157" t="n">
        <f aca="false">SUM(AT46:AT69)</f>
        <v>-15248.002</v>
      </c>
      <c r="AU45" s="109" t="n">
        <f aca="false">IFERROR(AT45/AT$5,0)</f>
        <v>-0.1089143</v>
      </c>
      <c r="AW45" s="157" t="n">
        <f aca="false">SUM(AW46:AW69)</f>
        <v>0</v>
      </c>
      <c r="AX45" s="109" t="n">
        <f aca="false">IFERROR(AW45/AW$5,0)</f>
        <v>0</v>
      </c>
      <c r="AY45" s="139" t="n">
        <f aca="false">IFERROR((AW45/AT45)-1,0)</f>
        <v>-1</v>
      </c>
      <c r="AZ45" s="157" t="n">
        <f aca="false">SUM(AZ46:AZ69)</f>
        <v>-15248.002</v>
      </c>
      <c r="BA45" s="109" t="n">
        <f aca="false">IFERROR(AZ45/AZ$5,0)</f>
        <v>-0.101653346666667</v>
      </c>
      <c r="BC45" s="157" t="n">
        <f aca="false">SUM(BC46:BC69)</f>
        <v>0</v>
      </c>
      <c r="BD45" s="109" t="n">
        <f aca="false">IFERROR(BC45/BC$5,0)</f>
        <v>0</v>
      </c>
      <c r="BE45" s="139" t="n">
        <f aca="false">IFERROR((BC45/AZ45)-1,0)</f>
        <v>-1</v>
      </c>
      <c r="BF45" s="157" t="n">
        <f aca="false">SUM(BF46:BF69)</f>
        <v>-15248.002</v>
      </c>
      <c r="BG45" s="109" t="n">
        <f aca="false">IFERROR(BF45/BF$5,0)</f>
        <v>-0.101653346666667</v>
      </c>
      <c r="BI45" s="157" t="n">
        <f aca="false">SUM(BI46:BI69)</f>
        <v>0</v>
      </c>
      <c r="BJ45" s="109" t="n">
        <f aca="false">IFERROR(BI45/BI$5,0)</f>
        <v>0</v>
      </c>
      <c r="BK45" s="139" t="n">
        <f aca="false">IFERROR((BI45/BF45)-1,0)</f>
        <v>-1</v>
      </c>
      <c r="BL45" s="157" t="n">
        <f aca="false">SUM(BL46:BL69)</f>
        <v>-15248.002</v>
      </c>
      <c r="BM45" s="109" t="n">
        <f aca="false">IFERROR(BL45/BL$5,0)</f>
        <v>-0.101653346666667</v>
      </c>
      <c r="BO45" s="157" t="n">
        <f aca="false">SUM(BO46:BO69)</f>
        <v>0</v>
      </c>
      <c r="BP45" s="109" t="n">
        <f aca="false">IFERROR(BO45/BO$5,0)</f>
        <v>0</v>
      </c>
      <c r="BQ45" s="139" t="n">
        <f aca="false">IFERROR((BO45/BL45)-1,0)</f>
        <v>-1</v>
      </c>
      <c r="BR45" s="157" t="n">
        <f aca="false">SUM(BR46:BR69)</f>
        <v>-15248.002</v>
      </c>
      <c r="BS45" s="109" t="n">
        <f aca="false">IFERROR(BR45/BR$5,0)</f>
        <v>-0.101653346666667</v>
      </c>
      <c r="BT45" s="158"/>
      <c r="BU45" s="157" t="n">
        <f aca="false">SUM(BU46:BU69)</f>
        <v>-6500</v>
      </c>
      <c r="BV45" s="109" t="n">
        <f aca="false">IFERROR(BU45/BU$5,0)</f>
        <v>0</v>
      </c>
      <c r="BW45" s="139" t="n">
        <f aca="false">IFERROR((BU45/BR45)-1,0)</f>
        <v>-0.573714641433022</v>
      </c>
      <c r="BX45" s="157" t="n">
        <f aca="false">SUM(D45,J45,P45,V45,AB45,AH45,AN45,AT45,AZ45,BF45,BL45,BR45)</f>
        <v>-182416.024</v>
      </c>
      <c r="BY45" s="88" t="n">
        <f aca="false">IFERROR(BX45/BX$5,0)</f>
        <v>-0.125371837800687</v>
      </c>
      <c r="CA45" s="157" t="n">
        <f aca="false">SUM(G45,M45,S45,Y45,AE45,AK45,AQ45,AW45,BC45,BI45,BO45,BU45)</f>
        <v>-6500</v>
      </c>
      <c r="CB45" s="88" t="n">
        <f aca="false">IFERROR(CA45/CA$5,0)</f>
        <v>0</v>
      </c>
      <c r="CC45" s="139" t="n">
        <f aca="false">IFERROR((CA45/BX45)-1,0)</f>
        <v>-0.96436716546349</v>
      </c>
      <c r="CE45" s="157" t="n">
        <f aca="false">BX45/$CF$1</f>
        <v>-15201.3353333333</v>
      </c>
      <c r="CF45" s="76" t="n">
        <f aca="false">IFERROR(CE45/CE$5,0)</f>
        <v>-0.125371837800687</v>
      </c>
      <c r="CH45" s="157" t="n">
        <f aca="false">CA45/$CI$1</f>
        <v>-541.666666666667</v>
      </c>
      <c r="CI45" s="76" t="n">
        <f aca="false">IFERROR(CH45/CH$5,0)</f>
        <v>0</v>
      </c>
    </row>
    <row r="46" customFormat="false" ht="15.75" hidden="false" customHeight="true" outlineLevel="1" collapsed="false">
      <c r="B46" s="169" t="s">
        <v>66</v>
      </c>
      <c r="D46" s="157" t="n">
        <v>-6251.38</v>
      </c>
      <c r="E46" s="91" t="n">
        <f aca="false">IFERROR(D46/D$5,0)</f>
        <v>-0.07814225</v>
      </c>
      <c r="G46" s="157" t="n">
        <f aca="false">SUMIFS('Dados Mov Financeira'!$N:$N,'Dados Mov Financeira'!$O:$O,'DRE 2024'!$B46,'Dados Mov Financeira'!$A:$A,'DRE 2024'!G$1,'Dados Mov Financeira'!$B:$B,'DRE 2024'!G$2)</f>
        <v>0</v>
      </c>
      <c r="H46" s="91" t="n">
        <f aca="false">IFERROR(G46/G$45,0)</f>
        <v>0</v>
      </c>
      <c r="I46" s="138" t="n">
        <f aca="false">IFERROR((G46/D46)-1,0)</f>
        <v>-1</v>
      </c>
      <c r="J46" s="157" t="n">
        <v>-6251.38</v>
      </c>
      <c r="K46" s="91" t="n">
        <f aca="false">IFERROR(J46/J$5,0)</f>
        <v>-0.0735456470588235</v>
      </c>
      <c r="M46" s="157" t="n">
        <f aca="false">SUMIFS('Dados Mov Financeira'!$N:$N,'Dados Mov Financeira'!$O:$O,'DRE 2024'!$B46,'Dados Mov Financeira'!$A:$A,'DRE 2024'!M$1,'Dados Mov Financeira'!$B:$B,'DRE 2024'!M$2)</f>
        <v>0</v>
      </c>
      <c r="N46" s="91" t="n">
        <f aca="false">IFERROR(M46/M$5,0)</f>
        <v>0</v>
      </c>
      <c r="O46" s="139" t="n">
        <f aca="false">IFERROR((M46/J46)-1,0)</f>
        <v>-1</v>
      </c>
      <c r="P46" s="157" t="n">
        <v>-6251.38</v>
      </c>
      <c r="Q46" s="91" t="n">
        <f aca="false">IFERROR(P46/P$5,0)</f>
        <v>-0.0694597777777778</v>
      </c>
      <c r="S46" s="157" t="n">
        <f aca="false">SUMIFS('Dados Mov Financeira'!$N:$N,'Dados Mov Financeira'!$O:$O,'DRE 2024'!$B46,'Dados Mov Financeira'!$A:$A,'DRE 2024'!S$1,'Dados Mov Financeira'!$B:$B,'DRE 2024'!S$2)</f>
        <v>0</v>
      </c>
      <c r="T46" s="91" t="n">
        <f aca="false">IFERROR(S46/S$5,0)</f>
        <v>0</v>
      </c>
      <c r="U46" s="139" t="n">
        <f aca="false">IFERROR((S46/P46)-1,0)</f>
        <v>-1</v>
      </c>
      <c r="V46" s="157" t="n">
        <v>-6251.38</v>
      </c>
      <c r="W46" s="91" t="n">
        <f aca="false">IFERROR(V46/V$5,0)</f>
        <v>-0.0625138</v>
      </c>
      <c r="Y46" s="157" t="n">
        <f aca="false">SUMIFS('Dados Mov Financeira'!$N:$N,'Dados Mov Financeira'!$O:$O,'DRE 2024'!$B46,'Dados Mov Financeira'!$A:$A,'DRE 2024'!Y$1,'Dados Mov Financeira'!$B:$B,'DRE 2024'!Y$2)</f>
        <v>0</v>
      </c>
      <c r="Z46" s="91" t="n">
        <f aca="false">IFERROR(Y46/Y$5,0)</f>
        <v>0</v>
      </c>
      <c r="AA46" s="139" t="n">
        <f aca="false">IFERROR((Y46/V46)-1,0)</f>
        <v>-1</v>
      </c>
      <c r="AB46" s="157" t="n">
        <v>-6251.38</v>
      </c>
      <c r="AC46" s="91" t="n">
        <f aca="false">IFERROR(AB46/AB$5,0)</f>
        <v>-0.0568307272727273</v>
      </c>
      <c r="AE46" s="173" t="n">
        <f aca="false">SUMIFS('Dados Mov Financeira'!$N:$N,'Dados Mov Financeira'!$O:$O,'DRE 2024'!$B46,'Dados Mov Financeira'!$A:$A,'DRE 2024'!AE$1,'Dados Mov Financeira'!$B:$B,'DRE 2024'!AE$2)</f>
        <v>0</v>
      </c>
      <c r="AF46" s="91" t="n">
        <f aca="false">IFERROR(AE46/AE$5,0)</f>
        <v>0</v>
      </c>
      <c r="AG46" s="139" t="n">
        <f aca="false">IFERROR((AE46/AB46)-1,0)</f>
        <v>-1</v>
      </c>
      <c r="AH46" s="157" t="n">
        <v>-6251.38</v>
      </c>
      <c r="AI46" s="91" t="n">
        <f aca="false">IFERROR(AH46/AH$5,0)</f>
        <v>-0.0520948333333333</v>
      </c>
      <c r="AK46" s="173" t="n">
        <f aca="false">SUMIFS('Dados Mov Financeira'!$N:$N,'Dados Mov Financeira'!$O:$O,'DRE 2024'!$B46,'Dados Mov Financeira'!$A:$A,'DRE 2024'!AK$1,'Dados Mov Financeira'!$B:$B,'DRE 2024'!AK$2)</f>
        <v>0</v>
      </c>
      <c r="AL46" s="91" t="n">
        <f aca="false">IFERROR(AK46/AK$5,0)</f>
        <v>0</v>
      </c>
      <c r="AM46" s="139" t="n">
        <f aca="false">IFERROR((AK46/AH46)-1,0)</f>
        <v>-1</v>
      </c>
      <c r="AN46" s="157" t="n">
        <v>-6251.38</v>
      </c>
      <c r="AO46" s="91" t="n">
        <f aca="false">IFERROR(AN46/AN$5,0)</f>
        <v>-0.0480875384615385</v>
      </c>
      <c r="AQ46" s="173" t="n">
        <f aca="false">SUMIFS('Dados Mov Financeira'!$N:$N,'Dados Mov Financeira'!$O:$O,'DRE 2024'!$B46,'Dados Mov Financeira'!$A:$A,'DRE 2024'!AQ$1,'Dados Mov Financeira'!$B:$B,'DRE 2024'!AQ$2)</f>
        <v>0</v>
      </c>
      <c r="AR46" s="91" t="n">
        <f aca="false">IFERROR(AQ46/AQ$5,0)</f>
        <v>0</v>
      </c>
      <c r="AS46" s="139" t="n">
        <f aca="false">IFERROR((AQ46/AN46)-1,0)</f>
        <v>-1</v>
      </c>
      <c r="AT46" s="157" t="n">
        <v>-6251.38</v>
      </c>
      <c r="AU46" s="91" t="n">
        <f aca="false">IFERROR(AT46/AT$5,0)</f>
        <v>-0.0446527142857143</v>
      </c>
      <c r="AW46" s="173" t="n">
        <f aca="false">SUMIFS('Dados Mov Financeira'!$N:$N,'Dados Mov Financeira'!$O:$O,'DRE 2024'!$B46,'Dados Mov Financeira'!$A:$A,'DRE 2024'!AW$1,'Dados Mov Financeira'!$B:$B,'DRE 2024'!AW$2)</f>
        <v>0</v>
      </c>
      <c r="AX46" s="91" t="n">
        <f aca="false">IFERROR(AW46/AW$5,0)</f>
        <v>0</v>
      </c>
      <c r="AY46" s="139" t="n">
        <f aca="false">IFERROR((AW46/AT46)-1,0)</f>
        <v>-1</v>
      </c>
      <c r="AZ46" s="157" t="n">
        <v>-6251.38</v>
      </c>
      <c r="BA46" s="91" t="n">
        <f aca="false">IFERROR(AZ46/AZ$5,0)</f>
        <v>-0.0416758666666667</v>
      </c>
      <c r="BC46" s="173" t="n">
        <f aca="false">SUMIFS('Dados Mov Financeira'!$N:$N,'Dados Mov Financeira'!$O:$O,'DRE 2024'!$B46,'Dados Mov Financeira'!$A:$A,'DRE 2024'!BC$1,'Dados Mov Financeira'!$B:$B,'DRE 2024'!BC$2)</f>
        <v>0</v>
      </c>
      <c r="BD46" s="91" t="n">
        <f aca="false">IFERROR(BC46/BC$5,0)</f>
        <v>0</v>
      </c>
      <c r="BE46" s="139" t="n">
        <f aca="false">IFERROR((BC46/AZ46)-1,0)</f>
        <v>-1</v>
      </c>
      <c r="BF46" s="157" t="n">
        <v>-6251.38</v>
      </c>
      <c r="BG46" s="91" t="n">
        <f aca="false">IFERROR(BF46/BF$5,0)</f>
        <v>-0.0416758666666667</v>
      </c>
      <c r="BI46" s="173" t="n">
        <f aca="false">SUMIFS('Dados Mov Financeira'!$N:$N,'Dados Mov Financeira'!$O:$O,'DRE 2024'!$B46,'Dados Mov Financeira'!$A:$A,'DRE 2024'!BI$1,'Dados Mov Financeira'!$B:$B,'DRE 2024'!BI$2)</f>
        <v>0</v>
      </c>
      <c r="BJ46" s="91" t="n">
        <f aca="false">IFERROR(BI46/BI$5,0)</f>
        <v>0</v>
      </c>
      <c r="BK46" s="139" t="n">
        <f aca="false">IFERROR((BI46/BF46)-1,0)</f>
        <v>-1</v>
      </c>
      <c r="BL46" s="157" t="n">
        <v>-6251.38</v>
      </c>
      <c r="BM46" s="91" t="n">
        <f aca="false">IFERROR(BL46/BL$5,0)</f>
        <v>-0.0416758666666667</v>
      </c>
      <c r="BO46" s="173" t="n">
        <f aca="false">SUMIFS('Dados Mov Financeira'!$N:$N,'Dados Mov Financeira'!$O:$O,'DRE 2024'!$B46,'Dados Mov Financeira'!$A:$A,'DRE 2024'!BO$1,'Dados Mov Financeira'!$B:$B,'DRE 2024'!BO$2)</f>
        <v>0</v>
      </c>
      <c r="BP46" s="91" t="n">
        <f aca="false">IFERROR(BO46/BO$5,0)</f>
        <v>0</v>
      </c>
      <c r="BQ46" s="139" t="n">
        <f aca="false">IFERROR((BO46/BL46)-1,0)</f>
        <v>-1</v>
      </c>
      <c r="BR46" s="157" t="n">
        <v>-6251.38</v>
      </c>
      <c r="BS46" s="91" t="n">
        <f aca="false">IFERROR(BR46/BR$5,0)</f>
        <v>-0.0416758666666667</v>
      </c>
      <c r="BT46" s="171"/>
      <c r="BU46" s="157" t="n">
        <v>-6500</v>
      </c>
      <c r="BV46" s="91" t="n">
        <f aca="false">IFERROR(BU46/BU$5,0)</f>
        <v>0</v>
      </c>
      <c r="BW46" s="139" t="n">
        <f aca="false">IFERROR((BU46/BR46)-1,0)</f>
        <v>0.0397704186915528</v>
      </c>
      <c r="BX46" s="172" t="n">
        <f aca="false">SUM(D46,J46,P46,V46,AB46,AH46,AN46,AT46,AZ46,BF46,BL46,BR46)</f>
        <v>-75016.56</v>
      </c>
      <c r="BY46" s="91" t="n">
        <f aca="false">IFERROR(BX46/BX$5,0)</f>
        <v>-0.0515577731958763</v>
      </c>
      <c r="CA46" s="172" t="n">
        <f aca="false">SUM(G46,M46,S46,Y46,AE46,AK46,AQ46,AW46,BC46,BI46,BO46,BU46)</f>
        <v>-6500</v>
      </c>
      <c r="CB46" s="91" t="n">
        <f aca="false">IFERROR(CA46/CA$5,0)</f>
        <v>0</v>
      </c>
      <c r="CC46" s="139" t="n">
        <f aca="false">IFERROR((CA46/BX46)-1,0)</f>
        <v>-0.913352465109037</v>
      </c>
      <c r="CE46" s="157" t="n">
        <f aca="false">BX46/$CF$1</f>
        <v>-6251.38</v>
      </c>
      <c r="CF46" s="94" t="n">
        <f aca="false">IFERROR(CE46/CE$5,0)</f>
        <v>-0.0515577731958763</v>
      </c>
      <c r="CH46" s="157" t="n">
        <f aca="false">CA46/$CI$1</f>
        <v>-541.666666666667</v>
      </c>
      <c r="CI46" s="94" t="n">
        <f aca="false">IFERROR(CH46/CH$5,0)</f>
        <v>0</v>
      </c>
    </row>
    <row r="47" customFormat="false" ht="15.75" hidden="false" customHeight="true" outlineLevel="1" collapsed="false">
      <c r="B47" s="169" t="s">
        <v>67</v>
      </c>
      <c r="D47" s="157" t="n">
        <v>-100</v>
      </c>
      <c r="E47" s="91" t="n">
        <f aca="false">IFERROR(D47/D$5,0)</f>
        <v>-0.00125</v>
      </c>
      <c r="G47" s="157" t="n">
        <f aca="false">SUMIFS('Dados Mov Financeira'!$N:$N,'Dados Mov Financeira'!$O:$O,'DRE 2024'!$B47,'Dados Mov Financeira'!$A:$A,'DRE 2024'!G$1,'Dados Mov Financeira'!$B:$B,'DRE 2024'!G$2)</f>
        <v>0</v>
      </c>
      <c r="H47" s="91" t="n">
        <f aca="false">IFERROR(G47/G$45,0)</f>
        <v>0</v>
      </c>
      <c r="I47" s="138" t="n">
        <f aca="false">IFERROR((G47/D47)-1,0)</f>
        <v>-1</v>
      </c>
      <c r="J47" s="157" t="n">
        <v>-100</v>
      </c>
      <c r="K47" s="91" t="n">
        <f aca="false">IFERROR(J47/J$5,0)</f>
        <v>-0.00117647058823529</v>
      </c>
      <c r="M47" s="157" t="n">
        <f aca="false">SUMIFS('Dados Mov Financeira'!$N:$N,'Dados Mov Financeira'!$O:$O,'DRE 2024'!$B47,'Dados Mov Financeira'!$A:$A,'DRE 2024'!M$1,'Dados Mov Financeira'!$B:$B,'DRE 2024'!M$2)</f>
        <v>0</v>
      </c>
      <c r="N47" s="91" t="n">
        <f aca="false">IFERROR(M47/M$5,0)</f>
        <v>0</v>
      </c>
      <c r="O47" s="139" t="n">
        <f aca="false">IFERROR((M47/J47)-1,0)</f>
        <v>-1</v>
      </c>
      <c r="P47" s="157" t="n">
        <v>-100</v>
      </c>
      <c r="Q47" s="91" t="n">
        <f aca="false">IFERROR(P47/P$5,0)</f>
        <v>-0.00111111111111111</v>
      </c>
      <c r="S47" s="157" t="n">
        <f aca="false">SUMIFS('Dados Mov Financeira'!$N:$N,'Dados Mov Financeira'!$O:$O,'DRE 2024'!$B47,'Dados Mov Financeira'!$A:$A,'DRE 2024'!S$1,'Dados Mov Financeira'!$B:$B,'DRE 2024'!S$2)</f>
        <v>0</v>
      </c>
      <c r="T47" s="91" t="n">
        <f aca="false">IFERROR(S47/S$5,0)</f>
        <v>0</v>
      </c>
      <c r="U47" s="139" t="n">
        <f aca="false">IFERROR((S47/P47)-1,0)</f>
        <v>-1</v>
      </c>
      <c r="V47" s="157" t="n">
        <v>-100</v>
      </c>
      <c r="W47" s="91" t="n">
        <f aca="false">IFERROR(V47/V$5,0)</f>
        <v>-0.001</v>
      </c>
      <c r="Y47" s="157" t="n">
        <f aca="false">SUMIFS('Dados Mov Financeira'!$N:$N,'Dados Mov Financeira'!$O:$O,'DRE 2024'!$B47,'Dados Mov Financeira'!$A:$A,'DRE 2024'!Y$1,'Dados Mov Financeira'!$B:$B,'DRE 2024'!Y$2)</f>
        <v>0</v>
      </c>
      <c r="Z47" s="91" t="n">
        <f aca="false">IFERROR(Y47/Y$5,0)</f>
        <v>0</v>
      </c>
      <c r="AA47" s="139" t="n">
        <f aca="false">IFERROR((Y47/V47)-1,0)</f>
        <v>-1</v>
      </c>
      <c r="AB47" s="157" t="n">
        <v>-100</v>
      </c>
      <c r="AC47" s="91" t="n">
        <f aca="false">IFERROR(AB47/AB$5,0)</f>
        <v>-0.000909090909090909</v>
      </c>
      <c r="AE47" s="157" t="n">
        <f aca="false">SUMIFS('Dados Mov Financeira'!$N:$N,'Dados Mov Financeira'!$O:$O,'DRE 2024'!$B47,'Dados Mov Financeira'!$A:$A,'DRE 2024'!AE$1,'Dados Mov Financeira'!$B:$B,'DRE 2024'!AE$2)</f>
        <v>0</v>
      </c>
      <c r="AF47" s="91" t="n">
        <f aca="false">IFERROR(AE47/AE$5,0)</f>
        <v>0</v>
      </c>
      <c r="AG47" s="139" t="n">
        <f aca="false">IFERROR((AE47/AB47)-1,0)</f>
        <v>-1</v>
      </c>
      <c r="AH47" s="157" t="n">
        <v>-100</v>
      </c>
      <c r="AI47" s="91" t="n">
        <f aca="false">IFERROR(AH47/AH$5,0)</f>
        <v>-0.000833333333333333</v>
      </c>
      <c r="AK47" s="157" t="n">
        <f aca="false">SUMIFS('Dados Mov Financeira'!$N:$N,'Dados Mov Financeira'!$O:$O,'DRE 2024'!$B47,'Dados Mov Financeira'!$A:$A,'DRE 2024'!AK$1,'Dados Mov Financeira'!$B:$B,'DRE 2024'!AK$2)</f>
        <v>0</v>
      </c>
      <c r="AL47" s="91" t="n">
        <f aca="false">IFERROR(AK47/AK$5,0)</f>
        <v>0</v>
      </c>
      <c r="AM47" s="139" t="n">
        <f aca="false">IFERROR((AK47/AH47)-1,0)</f>
        <v>-1</v>
      </c>
      <c r="AN47" s="157" t="n">
        <v>-100</v>
      </c>
      <c r="AO47" s="91" t="n">
        <f aca="false">IFERROR(AN47/AN$5,0)</f>
        <v>-0.000769230769230769</v>
      </c>
      <c r="AQ47" s="157" t="n">
        <f aca="false">SUMIFS('Dados Mov Financeira'!$N:$N,'Dados Mov Financeira'!$O:$O,'DRE 2024'!$B47,'Dados Mov Financeira'!$A:$A,'DRE 2024'!AQ$1,'Dados Mov Financeira'!$B:$B,'DRE 2024'!AQ$2)</f>
        <v>0</v>
      </c>
      <c r="AR47" s="91" t="n">
        <f aca="false">IFERROR(AQ47/AQ$5,0)</f>
        <v>0</v>
      </c>
      <c r="AS47" s="139" t="n">
        <f aca="false">IFERROR((AQ47/AN47)-1,0)</f>
        <v>-1</v>
      </c>
      <c r="AT47" s="157" t="n">
        <v>-100</v>
      </c>
      <c r="AU47" s="91" t="n">
        <f aca="false">IFERROR(AT47/AT$5,0)</f>
        <v>-0.000714285714285714</v>
      </c>
      <c r="AW47" s="157" t="n">
        <f aca="false">SUMIFS('Dados Mov Financeira'!$N:$N,'Dados Mov Financeira'!$O:$O,'DRE 2024'!$B47,'Dados Mov Financeira'!$A:$A,'DRE 2024'!AW$1,'Dados Mov Financeira'!$B:$B,'DRE 2024'!AW$2)</f>
        <v>0</v>
      </c>
      <c r="AX47" s="91" t="n">
        <f aca="false">IFERROR(AW47/AW$5,0)</f>
        <v>0</v>
      </c>
      <c r="AY47" s="139" t="n">
        <f aca="false">IFERROR((AW47/AT47)-1,0)</f>
        <v>-1</v>
      </c>
      <c r="AZ47" s="157" t="n">
        <v>-100</v>
      </c>
      <c r="BA47" s="91" t="n">
        <f aca="false">IFERROR(AZ47/AZ$5,0)</f>
        <v>-0.000666666666666667</v>
      </c>
      <c r="BC47" s="157" t="n">
        <f aca="false">SUMIFS('Dados Mov Financeira'!$N:$N,'Dados Mov Financeira'!$O:$O,'DRE 2024'!$B47,'Dados Mov Financeira'!$A:$A,'DRE 2024'!BC$1,'Dados Mov Financeira'!$B:$B,'DRE 2024'!BC$2)</f>
        <v>0</v>
      </c>
      <c r="BD47" s="91" t="n">
        <f aca="false">IFERROR(BC47/BC$5,0)</f>
        <v>0</v>
      </c>
      <c r="BE47" s="139" t="n">
        <f aca="false">IFERROR((BC47/AZ47)-1,0)</f>
        <v>-1</v>
      </c>
      <c r="BF47" s="157" t="n">
        <v>-100</v>
      </c>
      <c r="BG47" s="91" t="n">
        <f aca="false">IFERROR(BF47/BF$5,0)</f>
        <v>-0.000666666666666667</v>
      </c>
      <c r="BI47" s="157" t="n">
        <f aca="false">SUMIFS('Dados Mov Financeira'!$N:$N,'Dados Mov Financeira'!$O:$O,'DRE 2024'!$B47,'Dados Mov Financeira'!$A:$A,'DRE 2024'!BI$1,'Dados Mov Financeira'!$B:$B,'DRE 2024'!BI$2)</f>
        <v>0</v>
      </c>
      <c r="BJ47" s="91" t="n">
        <f aca="false">IFERROR(BI47/BI$5,0)</f>
        <v>0</v>
      </c>
      <c r="BK47" s="139" t="n">
        <f aca="false">IFERROR((BI47/BF47)-1,0)</f>
        <v>-1</v>
      </c>
      <c r="BL47" s="157" t="n">
        <v>-100</v>
      </c>
      <c r="BM47" s="91" t="n">
        <f aca="false">IFERROR(BL47/BL$5,0)</f>
        <v>-0.000666666666666667</v>
      </c>
      <c r="BO47" s="157" t="n">
        <f aca="false">SUMIFS('Dados Mov Financeira'!$N:$N,'Dados Mov Financeira'!$O:$O,'DRE 2024'!$B47,'Dados Mov Financeira'!$A:$A,'DRE 2024'!BO$1,'Dados Mov Financeira'!$B:$B,'DRE 2024'!BO$2)</f>
        <v>0</v>
      </c>
      <c r="BP47" s="91" t="n">
        <f aca="false">IFERROR(BO47/BO$5,0)</f>
        <v>0</v>
      </c>
      <c r="BQ47" s="139" t="n">
        <f aca="false">IFERROR((BO47/BL47)-1,0)</f>
        <v>-1</v>
      </c>
      <c r="BR47" s="157" t="n">
        <v>-100</v>
      </c>
      <c r="BS47" s="91" t="n">
        <f aca="false">IFERROR(BR47/BR$5,0)</f>
        <v>-0.000666666666666667</v>
      </c>
      <c r="BT47" s="171"/>
      <c r="BU47" s="157" t="n">
        <f aca="false">SUMIFS('Dados Mov Financeira'!$N:$N,'Dados Mov Financeira'!$O:$O,'DRE 2024'!$B47,'Dados Mov Financeira'!$A:$A,'DRE 2024'!BU$1,'Dados Mov Financeira'!$B:$B,'DRE 2024'!BU$2)</f>
        <v>0</v>
      </c>
      <c r="BV47" s="91" t="n">
        <f aca="false">IFERROR(BU47/BU$5,0)</f>
        <v>0</v>
      </c>
      <c r="BW47" s="139" t="n">
        <f aca="false">IFERROR((BU47/BR47)-1,0)</f>
        <v>-1</v>
      </c>
      <c r="BX47" s="172" t="n">
        <f aca="false">SUM(D47,J47,P47,V47,AB47,AH47,AN47,AT47,AZ47,BF47,BL47,BR47)</f>
        <v>-1200</v>
      </c>
      <c r="BY47" s="91" t="n">
        <f aca="false">IFERROR(BX47/BX$5,0)</f>
        <v>-0.000824742268041237</v>
      </c>
      <c r="CA47" s="172" t="n">
        <f aca="false">SUM(G47,M47,S47,Y47,AE47,AK47,AQ47,AW47,BC47,BI47,BO47,BU47)</f>
        <v>0</v>
      </c>
      <c r="CB47" s="91" t="n">
        <f aca="false">IFERROR(CA47/CA$5,0)</f>
        <v>0</v>
      </c>
      <c r="CC47" s="139" t="n">
        <f aca="false">IFERROR((CA47/BX47)-1,0)</f>
        <v>-1</v>
      </c>
      <c r="CE47" s="157" t="n">
        <f aca="false">BX47/$CF$1</f>
        <v>-100</v>
      </c>
      <c r="CF47" s="94" t="n">
        <f aca="false">IFERROR(CE47/CE$5,0)</f>
        <v>-0.000824742268041237</v>
      </c>
      <c r="CH47" s="157" t="n">
        <f aca="false">CA47/$CI$1</f>
        <v>0</v>
      </c>
      <c r="CI47" s="94" t="n">
        <f aca="false">IFERROR(CH47/CH$5,0)</f>
        <v>0</v>
      </c>
    </row>
    <row r="48" customFormat="false" ht="15.75" hidden="false" customHeight="true" outlineLevel="1" collapsed="false">
      <c r="B48" s="169" t="s">
        <v>68</v>
      </c>
      <c r="D48" s="157" t="n">
        <v>0</v>
      </c>
      <c r="E48" s="91" t="n">
        <f aca="false">IFERROR(D48/D$5,0)</f>
        <v>0</v>
      </c>
      <c r="G48" s="157" t="n">
        <f aca="false">SUMIFS('Dados Mov Financeira'!$N:$N,'Dados Mov Financeira'!$O:$O,'DRE 2024'!$B48,'Dados Mov Financeira'!$A:$A,'DRE 2024'!G$1,'Dados Mov Financeira'!$B:$B,'DRE 2024'!G$2)</f>
        <v>0</v>
      </c>
      <c r="H48" s="91" t="n">
        <f aca="false">IFERROR(G48/G$45,0)</f>
        <v>0</v>
      </c>
      <c r="I48" s="138" t="n">
        <f aca="false">IFERROR((G48/D48)-1,0)</f>
        <v>0</v>
      </c>
      <c r="J48" s="157" t="n">
        <v>0</v>
      </c>
      <c r="K48" s="91" t="n">
        <f aca="false">IFERROR(J48/J$5,0)</f>
        <v>0</v>
      </c>
      <c r="M48" s="157" t="n">
        <f aca="false">SUMIFS('Dados Mov Financeira'!$N:$N,'Dados Mov Financeira'!$O:$O,'DRE 2024'!$B48,'Dados Mov Financeira'!$A:$A,'DRE 2024'!M$1,'Dados Mov Financeira'!$B:$B,'DRE 2024'!M$2)</f>
        <v>0</v>
      </c>
      <c r="N48" s="91" t="n">
        <f aca="false">IFERROR(M48/M$5,0)</f>
        <v>0</v>
      </c>
      <c r="O48" s="139" t="n">
        <f aca="false">IFERROR((M48/J48)-1,0)</f>
        <v>0</v>
      </c>
      <c r="P48" s="157" t="n">
        <v>0</v>
      </c>
      <c r="Q48" s="91" t="n">
        <f aca="false">IFERROR(P48/P$5,0)</f>
        <v>0</v>
      </c>
      <c r="S48" s="157" t="n">
        <f aca="false">SUMIFS('Dados Mov Financeira'!$N:$N,'Dados Mov Financeira'!$O:$O,'DRE 2024'!$B48,'Dados Mov Financeira'!$A:$A,'DRE 2024'!S$1,'Dados Mov Financeira'!$B:$B,'DRE 2024'!S$2)</f>
        <v>0</v>
      </c>
      <c r="T48" s="91" t="n">
        <f aca="false">IFERROR(S48/S$5,0)</f>
        <v>0</v>
      </c>
      <c r="U48" s="139" t="n">
        <f aca="false">IFERROR((S48/P48)-1,0)</f>
        <v>0</v>
      </c>
      <c r="V48" s="157" t="n">
        <v>0</v>
      </c>
      <c r="W48" s="91" t="n">
        <f aca="false">IFERROR(V48/V$5,0)</f>
        <v>0</v>
      </c>
      <c r="Y48" s="157" t="n">
        <f aca="false">SUMIFS('Dados Mov Financeira'!$N:$N,'Dados Mov Financeira'!$O:$O,'DRE 2024'!$B48,'Dados Mov Financeira'!$A:$A,'DRE 2024'!Y$1,'Dados Mov Financeira'!$B:$B,'DRE 2024'!Y$2)</f>
        <v>0</v>
      </c>
      <c r="Z48" s="91" t="n">
        <f aca="false">IFERROR(Y48/Y$5,0)</f>
        <v>0</v>
      </c>
      <c r="AA48" s="139" t="n">
        <f aca="false">IFERROR((Y48/V48)-1,0)</f>
        <v>0</v>
      </c>
      <c r="AB48" s="157" t="n">
        <v>0</v>
      </c>
      <c r="AC48" s="91" t="n">
        <f aca="false">IFERROR(AB48/AB$5,0)</f>
        <v>0</v>
      </c>
      <c r="AE48" s="157" t="n">
        <f aca="false">SUMIFS('Dados Mov Financeira'!$N:$N,'Dados Mov Financeira'!$O:$O,'DRE 2024'!$B48,'Dados Mov Financeira'!$A:$A,'DRE 2024'!AE$1,'Dados Mov Financeira'!$B:$B,'DRE 2024'!AE$2)</f>
        <v>0</v>
      </c>
      <c r="AF48" s="91" t="n">
        <f aca="false">IFERROR(AE48/AE$5,0)</f>
        <v>0</v>
      </c>
      <c r="AG48" s="139" t="n">
        <f aca="false">IFERROR((AE48/AB48)-1,0)</f>
        <v>0</v>
      </c>
      <c r="AH48" s="157" t="n">
        <v>0</v>
      </c>
      <c r="AI48" s="91" t="n">
        <f aca="false">IFERROR(AH48/AH$5,0)</f>
        <v>0</v>
      </c>
      <c r="AK48" s="157" t="n">
        <f aca="false">SUMIFS('Dados Mov Financeira'!$N:$N,'Dados Mov Financeira'!$O:$O,'DRE 2024'!$B48,'Dados Mov Financeira'!$A:$A,'DRE 2024'!AK$1,'Dados Mov Financeira'!$B:$B,'DRE 2024'!AK$2)</f>
        <v>0</v>
      </c>
      <c r="AL48" s="91" t="n">
        <f aca="false">IFERROR(AK48/AK$5,0)</f>
        <v>0</v>
      </c>
      <c r="AM48" s="139" t="n">
        <f aca="false">IFERROR((AK48/AH48)-1,0)</f>
        <v>0</v>
      </c>
      <c r="AN48" s="157" t="n">
        <v>0</v>
      </c>
      <c r="AO48" s="91" t="n">
        <f aca="false">IFERROR(AN48/AN$5,0)</f>
        <v>0</v>
      </c>
      <c r="AQ48" s="157" t="n">
        <f aca="false">SUMIFS('Dados Mov Financeira'!$N:$N,'Dados Mov Financeira'!$O:$O,'DRE 2024'!$B48,'Dados Mov Financeira'!$A:$A,'DRE 2024'!AQ$1,'Dados Mov Financeira'!$B:$B,'DRE 2024'!AQ$2)</f>
        <v>0</v>
      </c>
      <c r="AR48" s="91" t="n">
        <f aca="false">IFERROR(AQ48/AQ$5,0)</f>
        <v>0</v>
      </c>
      <c r="AS48" s="139" t="n">
        <f aca="false">IFERROR((AQ48/AN48)-1,0)</f>
        <v>0</v>
      </c>
      <c r="AT48" s="157" t="n">
        <v>0</v>
      </c>
      <c r="AU48" s="91" t="n">
        <f aca="false">IFERROR(AT48/AT$5,0)</f>
        <v>0</v>
      </c>
      <c r="AW48" s="157" t="n">
        <f aca="false">SUMIFS('Dados Mov Financeira'!$N:$N,'Dados Mov Financeira'!$O:$O,'DRE 2024'!$B48,'Dados Mov Financeira'!$A:$A,'DRE 2024'!AW$1,'Dados Mov Financeira'!$B:$B,'DRE 2024'!AW$2)</f>
        <v>0</v>
      </c>
      <c r="AX48" s="91" t="n">
        <f aca="false">IFERROR(AW48/AW$5,0)</f>
        <v>0</v>
      </c>
      <c r="AY48" s="139" t="n">
        <f aca="false">IFERROR((AW48/AT48)-1,0)</f>
        <v>0</v>
      </c>
      <c r="AZ48" s="157" t="n">
        <v>0</v>
      </c>
      <c r="BA48" s="91" t="n">
        <f aca="false">IFERROR(AZ48/AZ$5,0)</f>
        <v>0</v>
      </c>
      <c r="BC48" s="157" t="n">
        <f aca="false">SUMIFS('Dados Mov Financeira'!$N:$N,'Dados Mov Financeira'!$O:$O,'DRE 2024'!$B48,'Dados Mov Financeira'!$A:$A,'DRE 2024'!BC$1,'Dados Mov Financeira'!$B:$B,'DRE 2024'!BC$2)</f>
        <v>0</v>
      </c>
      <c r="BD48" s="91" t="n">
        <f aca="false">IFERROR(BC48/BC$5,0)</f>
        <v>0</v>
      </c>
      <c r="BE48" s="139" t="n">
        <f aca="false">IFERROR((BC48/AZ48)-1,0)</f>
        <v>0</v>
      </c>
      <c r="BF48" s="157" t="n">
        <v>0</v>
      </c>
      <c r="BG48" s="91" t="n">
        <f aca="false">IFERROR(BF48/BF$5,0)</f>
        <v>0</v>
      </c>
      <c r="BI48" s="157" t="n">
        <f aca="false">SUMIFS('Dados Mov Financeira'!$N:$N,'Dados Mov Financeira'!$O:$O,'DRE 2024'!$B48,'Dados Mov Financeira'!$A:$A,'DRE 2024'!BI$1,'Dados Mov Financeira'!$B:$B,'DRE 2024'!BI$2)</f>
        <v>0</v>
      </c>
      <c r="BJ48" s="91" t="n">
        <f aca="false">IFERROR(BI48/BI$5,0)</f>
        <v>0</v>
      </c>
      <c r="BK48" s="139" t="n">
        <f aca="false">IFERROR((BI48/BF48)-1,0)</f>
        <v>0</v>
      </c>
      <c r="BL48" s="157" t="n">
        <v>0</v>
      </c>
      <c r="BM48" s="91" t="n">
        <f aca="false">IFERROR(BL48/BL$5,0)</f>
        <v>0</v>
      </c>
      <c r="BO48" s="157" t="n">
        <f aca="false">SUMIFS('Dados Mov Financeira'!$N:$N,'Dados Mov Financeira'!$O:$O,'DRE 2024'!$B48,'Dados Mov Financeira'!$A:$A,'DRE 2024'!BO$1,'Dados Mov Financeira'!$B:$B,'DRE 2024'!BO$2)</f>
        <v>0</v>
      </c>
      <c r="BP48" s="91" t="n">
        <f aca="false">IFERROR(BO48/BO$5,0)</f>
        <v>0</v>
      </c>
      <c r="BQ48" s="139" t="n">
        <f aca="false">IFERROR((BO48/BL48)-1,0)</f>
        <v>0</v>
      </c>
      <c r="BR48" s="157" t="n">
        <v>0</v>
      </c>
      <c r="BS48" s="91" t="n">
        <f aca="false">IFERROR(BR48/BR$5,0)</f>
        <v>0</v>
      </c>
      <c r="BT48" s="171"/>
      <c r="BU48" s="157" t="n">
        <f aca="false">SUMIFS('Dados Mov Financeira'!$N:$N,'Dados Mov Financeira'!$O:$O,'DRE 2024'!$B48,'Dados Mov Financeira'!$A:$A,'DRE 2024'!BU$1,'Dados Mov Financeira'!$B:$B,'DRE 2024'!BU$2)</f>
        <v>0</v>
      </c>
      <c r="BV48" s="91" t="n">
        <f aca="false">IFERROR(BU48/BU$5,0)</f>
        <v>0</v>
      </c>
      <c r="BW48" s="139" t="n">
        <f aca="false">IFERROR((BU48/BR48)-1,0)</f>
        <v>0</v>
      </c>
      <c r="BX48" s="172" t="n">
        <f aca="false">SUM(D48,J48,P48,V48,AB48,AH48,AN48,AT48,AZ48,BF48,BL48,BR48)</f>
        <v>0</v>
      </c>
      <c r="BY48" s="91" t="n">
        <f aca="false">IFERROR(BX48/BX$5,0)</f>
        <v>0</v>
      </c>
      <c r="CA48" s="172" t="n">
        <f aca="false">SUM(G48,M48,S48,Y48,AE48,AK48,AQ48,AW48,BC48,BI48,BO48,BU48)</f>
        <v>0</v>
      </c>
      <c r="CB48" s="91" t="n">
        <f aca="false">IFERROR(CA48/CA$5,0)</f>
        <v>0</v>
      </c>
      <c r="CC48" s="139" t="n">
        <f aca="false">IFERROR((CA48/BX48)-1,0)</f>
        <v>0</v>
      </c>
      <c r="CE48" s="157" t="n">
        <f aca="false">BX48/$CF$1</f>
        <v>0</v>
      </c>
      <c r="CF48" s="94" t="n">
        <f aca="false">IFERROR(CE48/CE$5,0)</f>
        <v>0</v>
      </c>
      <c r="CH48" s="157" t="n">
        <f aca="false">CA48/$CI$1</f>
        <v>0</v>
      </c>
      <c r="CI48" s="94" t="n">
        <f aca="false">IFERROR(CH48/CH$5,0)</f>
        <v>0</v>
      </c>
    </row>
    <row r="49" customFormat="false" ht="15.75" hidden="false" customHeight="true" outlineLevel="1" collapsed="false">
      <c r="B49" s="169" t="s">
        <v>71</v>
      </c>
      <c r="D49" s="157" t="n">
        <v>-200</v>
      </c>
      <c r="E49" s="91" t="n">
        <f aca="false">IFERROR(D49/D$5,0)</f>
        <v>-0.0025</v>
      </c>
      <c r="G49" s="157" t="n">
        <f aca="false">SUMIFS('Dados Mov Financeira'!$N:$N,'Dados Mov Financeira'!$O:$O,'DRE 2024'!$B49,'Dados Mov Financeira'!$A:$A,'DRE 2024'!G$1,'Dados Mov Financeira'!$B:$B,'DRE 2024'!G$2)</f>
        <v>0</v>
      </c>
      <c r="H49" s="91" t="n">
        <f aca="false">IFERROR(G49/G$45,0)</f>
        <v>0</v>
      </c>
      <c r="I49" s="138" t="n">
        <f aca="false">IFERROR((G49/D49)-1,0)</f>
        <v>-1</v>
      </c>
      <c r="J49" s="157" t="n">
        <v>-200</v>
      </c>
      <c r="K49" s="91" t="n">
        <f aca="false">IFERROR(J49/J$5,0)</f>
        <v>-0.00235294117647059</v>
      </c>
      <c r="M49" s="157" t="n">
        <f aca="false">SUMIFS('Dados Mov Financeira'!$N:$N,'Dados Mov Financeira'!$O:$O,'DRE 2024'!$B49,'Dados Mov Financeira'!$A:$A,'DRE 2024'!M$1,'Dados Mov Financeira'!$B:$B,'DRE 2024'!M$2)</f>
        <v>0</v>
      </c>
      <c r="N49" s="91" t="n">
        <f aca="false">IFERROR(M49/M$5,0)</f>
        <v>0</v>
      </c>
      <c r="O49" s="139" t="n">
        <f aca="false">IFERROR((M49/J49)-1,0)</f>
        <v>-1</v>
      </c>
      <c r="P49" s="157" t="n">
        <v>-200</v>
      </c>
      <c r="Q49" s="91" t="n">
        <f aca="false">IFERROR(P49/P$5,0)</f>
        <v>-0.00222222222222222</v>
      </c>
      <c r="S49" s="157" t="n">
        <f aca="false">SUMIFS('Dados Mov Financeira'!$N:$N,'Dados Mov Financeira'!$O:$O,'DRE 2024'!$B49,'Dados Mov Financeira'!$A:$A,'DRE 2024'!S$1,'Dados Mov Financeira'!$B:$B,'DRE 2024'!S$2)</f>
        <v>0</v>
      </c>
      <c r="T49" s="91" t="n">
        <f aca="false">IFERROR(S49/S$5,0)</f>
        <v>0</v>
      </c>
      <c r="U49" s="139" t="n">
        <f aca="false">IFERROR((S49/P49)-1,0)</f>
        <v>-1</v>
      </c>
      <c r="V49" s="157" t="n">
        <v>-200</v>
      </c>
      <c r="W49" s="91" t="n">
        <f aca="false">IFERROR(V49/V$5,0)</f>
        <v>-0.002</v>
      </c>
      <c r="Y49" s="157" t="n">
        <f aca="false">SUMIFS('Dados Mov Financeira'!$N:$N,'Dados Mov Financeira'!$O:$O,'DRE 2024'!$B49,'Dados Mov Financeira'!$A:$A,'DRE 2024'!Y$1,'Dados Mov Financeira'!$B:$B,'DRE 2024'!Y$2)</f>
        <v>0</v>
      </c>
      <c r="Z49" s="91" t="n">
        <f aca="false">IFERROR(Y49/Y$5,0)</f>
        <v>0</v>
      </c>
      <c r="AA49" s="139" t="n">
        <f aca="false">IFERROR((Y49/V49)-1,0)</f>
        <v>-1</v>
      </c>
      <c r="AB49" s="157" t="n">
        <v>-200</v>
      </c>
      <c r="AC49" s="91" t="n">
        <f aca="false">IFERROR(AB49/AB$5,0)</f>
        <v>-0.00181818181818182</v>
      </c>
      <c r="AE49" s="157" t="n">
        <f aca="false">SUMIFS('Dados Mov Financeira'!$N:$N,'Dados Mov Financeira'!$O:$O,'DRE 2024'!$B49,'Dados Mov Financeira'!$A:$A,'DRE 2024'!AE$1,'Dados Mov Financeira'!$B:$B,'DRE 2024'!AE$2)</f>
        <v>0</v>
      </c>
      <c r="AF49" s="91" t="n">
        <f aca="false">IFERROR(AE49/AE$5,0)</f>
        <v>0</v>
      </c>
      <c r="AG49" s="139" t="n">
        <f aca="false">IFERROR((AE49/AB49)-1,0)</f>
        <v>-1</v>
      </c>
      <c r="AH49" s="157" t="n">
        <v>-200</v>
      </c>
      <c r="AI49" s="91" t="n">
        <f aca="false">IFERROR(AH49/AH$5,0)</f>
        <v>-0.00166666666666667</v>
      </c>
      <c r="AK49" s="157" t="n">
        <f aca="false">SUMIFS('Dados Mov Financeira'!$N:$N,'Dados Mov Financeira'!$O:$O,'DRE 2024'!$B49,'Dados Mov Financeira'!$A:$A,'DRE 2024'!AK$1,'Dados Mov Financeira'!$B:$B,'DRE 2024'!AK$2)</f>
        <v>0</v>
      </c>
      <c r="AL49" s="91" t="n">
        <f aca="false">IFERROR(AK49/AK$5,0)</f>
        <v>0</v>
      </c>
      <c r="AM49" s="139" t="n">
        <f aca="false">IFERROR((AK49/AH49)-1,0)</f>
        <v>-1</v>
      </c>
      <c r="AN49" s="157" t="n">
        <v>-200</v>
      </c>
      <c r="AO49" s="91" t="n">
        <f aca="false">IFERROR(AN49/AN$5,0)</f>
        <v>-0.00153846153846154</v>
      </c>
      <c r="AQ49" s="157" t="n">
        <f aca="false">SUMIFS('Dados Mov Financeira'!$N:$N,'Dados Mov Financeira'!$O:$O,'DRE 2024'!$B49,'Dados Mov Financeira'!$A:$A,'DRE 2024'!AQ$1,'Dados Mov Financeira'!$B:$B,'DRE 2024'!AQ$2)</f>
        <v>0</v>
      </c>
      <c r="AR49" s="91" t="n">
        <f aca="false">IFERROR(AQ49/AQ$5,0)</f>
        <v>0</v>
      </c>
      <c r="AS49" s="139" t="n">
        <f aca="false">IFERROR((AQ49/AN49)-1,0)</f>
        <v>-1</v>
      </c>
      <c r="AT49" s="157" t="n">
        <v>-200</v>
      </c>
      <c r="AU49" s="91" t="n">
        <f aca="false">IFERROR(AT49/AT$5,0)</f>
        <v>-0.00142857142857143</v>
      </c>
      <c r="AW49" s="157" t="n">
        <f aca="false">SUMIFS('Dados Mov Financeira'!$N:$N,'Dados Mov Financeira'!$O:$O,'DRE 2024'!$B49,'Dados Mov Financeira'!$A:$A,'DRE 2024'!AW$1,'Dados Mov Financeira'!$B:$B,'DRE 2024'!AW$2)</f>
        <v>0</v>
      </c>
      <c r="AX49" s="91" t="n">
        <f aca="false">IFERROR(AW49/AW$5,0)</f>
        <v>0</v>
      </c>
      <c r="AY49" s="139" t="n">
        <f aca="false">IFERROR((AW49/AT49)-1,0)</f>
        <v>-1</v>
      </c>
      <c r="AZ49" s="157" t="n">
        <v>-200</v>
      </c>
      <c r="BA49" s="91" t="n">
        <f aca="false">IFERROR(AZ49/AZ$5,0)</f>
        <v>-0.00133333333333333</v>
      </c>
      <c r="BC49" s="157" t="n">
        <f aca="false">SUMIFS('Dados Mov Financeira'!$N:$N,'Dados Mov Financeira'!$O:$O,'DRE 2024'!$B49,'Dados Mov Financeira'!$A:$A,'DRE 2024'!BC$1,'Dados Mov Financeira'!$B:$B,'DRE 2024'!BC$2)</f>
        <v>0</v>
      </c>
      <c r="BD49" s="91" t="n">
        <f aca="false">IFERROR(BC49/BC$5,0)</f>
        <v>0</v>
      </c>
      <c r="BE49" s="139" t="n">
        <f aca="false">IFERROR((BC49/AZ49)-1,0)</f>
        <v>-1</v>
      </c>
      <c r="BF49" s="157" t="n">
        <v>-200</v>
      </c>
      <c r="BG49" s="91" t="n">
        <f aca="false">IFERROR(BF49/BF$5,0)</f>
        <v>-0.00133333333333333</v>
      </c>
      <c r="BI49" s="157" t="n">
        <f aca="false">SUMIFS('Dados Mov Financeira'!$N:$N,'Dados Mov Financeira'!$O:$O,'DRE 2024'!$B49,'Dados Mov Financeira'!$A:$A,'DRE 2024'!BI$1,'Dados Mov Financeira'!$B:$B,'DRE 2024'!BI$2)</f>
        <v>0</v>
      </c>
      <c r="BJ49" s="91" t="n">
        <f aca="false">IFERROR(BI49/BI$5,0)</f>
        <v>0</v>
      </c>
      <c r="BK49" s="139" t="n">
        <f aca="false">IFERROR((BI49/BF49)-1,0)</f>
        <v>-1</v>
      </c>
      <c r="BL49" s="157" t="n">
        <v>-200</v>
      </c>
      <c r="BM49" s="91" t="n">
        <f aca="false">IFERROR(BL49/BL$5,0)</f>
        <v>-0.00133333333333333</v>
      </c>
      <c r="BO49" s="157" t="n">
        <f aca="false">SUMIFS('Dados Mov Financeira'!$N:$N,'Dados Mov Financeira'!$O:$O,'DRE 2024'!$B49,'Dados Mov Financeira'!$A:$A,'DRE 2024'!BO$1,'Dados Mov Financeira'!$B:$B,'DRE 2024'!BO$2)</f>
        <v>0</v>
      </c>
      <c r="BP49" s="91" t="n">
        <f aca="false">IFERROR(BO49/BO$5,0)</f>
        <v>0</v>
      </c>
      <c r="BQ49" s="139" t="n">
        <f aca="false">IFERROR((BO49/BL49)-1,0)</f>
        <v>-1</v>
      </c>
      <c r="BR49" s="157" t="n">
        <v>-200</v>
      </c>
      <c r="BS49" s="91" t="n">
        <f aca="false">IFERROR(BR49/BR$5,0)</f>
        <v>-0.00133333333333333</v>
      </c>
      <c r="BT49" s="171"/>
      <c r="BU49" s="157" t="n">
        <f aca="false">SUMIFS('Dados Mov Financeira'!$N:$N,'Dados Mov Financeira'!$O:$O,'DRE 2024'!$B49,'Dados Mov Financeira'!$A:$A,'DRE 2024'!BU$1,'Dados Mov Financeira'!$B:$B,'DRE 2024'!BU$2)</f>
        <v>0</v>
      </c>
      <c r="BV49" s="91" t="n">
        <f aca="false">IFERROR(BU49/BU$5,0)</f>
        <v>0</v>
      </c>
      <c r="BW49" s="139" t="n">
        <f aca="false">IFERROR((BU49/BR49)-1,0)</f>
        <v>-1</v>
      </c>
      <c r="BX49" s="172" t="n">
        <f aca="false">SUM(D49,J49,P49,V49,AB49,AH49,AN49,AT49,AZ49,BF49,BL49,BR49)</f>
        <v>-2400</v>
      </c>
      <c r="BY49" s="91" t="n">
        <f aca="false">IFERROR(BX49/BX$5,0)</f>
        <v>-0.00164948453608247</v>
      </c>
      <c r="CA49" s="172" t="n">
        <f aca="false">SUM(G49,M49,S49,Y49,AE49,AK49,AQ49,AW49,BC49,BI49,BO49,BU49)</f>
        <v>0</v>
      </c>
      <c r="CB49" s="91" t="n">
        <f aca="false">IFERROR(CA49/CA$5,0)</f>
        <v>0</v>
      </c>
      <c r="CC49" s="139" t="n">
        <f aca="false">IFERROR((CA49/BX49)-1,0)</f>
        <v>-1</v>
      </c>
      <c r="CE49" s="157" t="n">
        <f aca="false">BX49/$CF$1</f>
        <v>-200</v>
      </c>
      <c r="CF49" s="94" t="n">
        <f aca="false">IFERROR(CE49/CE$5,0)</f>
        <v>-0.00164948453608247</v>
      </c>
      <c r="CH49" s="157" t="n">
        <f aca="false">CA49/$CI$1</f>
        <v>0</v>
      </c>
      <c r="CI49" s="94" t="n">
        <f aca="false">IFERROR(CH49/CH$5,0)</f>
        <v>0</v>
      </c>
    </row>
    <row r="50" customFormat="false" ht="15.75" hidden="false" customHeight="true" outlineLevel="1" collapsed="false">
      <c r="B50" s="169" t="s">
        <v>72</v>
      </c>
      <c r="D50" s="157" t="n">
        <v>0</v>
      </c>
      <c r="E50" s="91" t="n">
        <f aca="false">IFERROR(D50/D$5,0)</f>
        <v>0</v>
      </c>
      <c r="G50" s="157" t="n">
        <f aca="false">SUMIFS('Dados Mov Financeira'!$N:$N,'Dados Mov Financeira'!$O:$O,'DRE 2024'!$B50,'Dados Mov Financeira'!$A:$A,'DRE 2024'!G$1,'Dados Mov Financeira'!$B:$B,'DRE 2024'!G$2)</f>
        <v>0</v>
      </c>
      <c r="H50" s="91" t="n">
        <f aca="false">IFERROR(G50/G$45,0)</f>
        <v>0</v>
      </c>
      <c r="I50" s="138" t="n">
        <f aca="false">IFERROR((G50/D50)-1,0)</f>
        <v>0</v>
      </c>
      <c r="J50" s="157" t="n">
        <v>0</v>
      </c>
      <c r="K50" s="91" t="n">
        <f aca="false">IFERROR(J50/J$5,0)</f>
        <v>0</v>
      </c>
      <c r="M50" s="157" t="n">
        <f aca="false">SUMIFS('Dados Mov Financeira'!$N:$N,'Dados Mov Financeira'!$O:$O,'DRE 2024'!$B50,'Dados Mov Financeira'!$A:$A,'DRE 2024'!M$1,'Dados Mov Financeira'!$B:$B,'DRE 2024'!M$2)</f>
        <v>0</v>
      </c>
      <c r="N50" s="91" t="n">
        <f aca="false">IFERROR(M50/M$5,0)</f>
        <v>0</v>
      </c>
      <c r="O50" s="139" t="n">
        <f aca="false">IFERROR((M50/J50)-1,0)</f>
        <v>0</v>
      </c>
      <c r="P50" s="157" t="n">
        <v>0</v>
      </c>
      <c r="Q50" s="91" t="n">
        <f aca="false">IFERROR(P50/P$5,0)</f>
        <v>0</v>
      </c>
      <c r="S50" s="157" t="n">
        <f aca="false">SUMIFS('Dados Mov Financeira'!$N:$N,'Dados Mov Financeira'!$O:$O,'DRE 2024'!$B50,'Dados Mov Financeira'!$A:$A,'DRE 2024'!S$1,'Dados Mov Financeira'!$B:$B,'DRE 2024'!S$2)</f>
        <v>0</v>
      </c>
      <c r="T50" s="91" t="n">
        <f aca="false">IFERROR(S50/S$5,0)</f>
        <v>0</v>
      </c>
      <c r="U50" s="139" t="n">
        <f aca="false">IFERROR((S50/P50)-1,0)</f>
        <v>0</v>
      </c>
      <c r="V50" s="157" t="n">
        <v>0</v>
      </c>
      <c r="W50" s="91" t="n">
        <f aca="false">IFERROR(V50/V$5,0)</f>
        <v>0</v>
      </c>
      <c r="Y50" s="157" t="n">
        <f aca="false">SUMIFS('Dados Mov Financeira'!$N:$N,'Dados Mov Financeira'!$O:$O,'DRE 2024'!$B50,'Dados Mov Financeira'!$A:$A,'DRE 2024'!Y$1,'Dados Mov Financeira'!$B:$B,'DRE 2024'!Y$2)</f>
        <v>0</v>
      </c>
      <c r="Z50" s="91" t="n">
        <f aca="false">IFERROR(Y50/Y$5,0)</f>
        <v>0</v>
      </c>
      <c r="AA50" s="139" t="n">
        <f aca="false">IFERROR((Y50/V50)-1,0)</f>
        <v>0</v>
      </c>
      <c r="AB50" s="157" t="n">
        <v>0</v>
      </c>
      <c r="AC50" s="91" t="n">
        <f aca="false">IFERROR(AB50/AB$5,0)</f>
        <v>0</v>
      </c>
      <c r="AE50" s="157" t="n">
        <f aca="false">SUMIFS('Dados Mov Financeira'!$N:$N,'Dados Mov Financeira'!$O:$O,'DRE 2024'!$B50,'Dados Mov Financeira'!$A:$A,'DRE 2024'!AE$1,'Dados Mov Financeira'!$B:$B,'DRE 2024'!AE$2)</f>
        <v>0</v>
      </c>
      <c r="AF50" s="91" t="n">
        <f aca="false">IFERROR(AE50/AE$5,0)</f>
        <v>0</v>
      </c>
      <c r="AG50" s="139" t="n">
        <f aca="false">IFERROR((AE50/AB50)-1,0)</f>
        <v>0</v>
      </c>
      <c r="AH50" s="157" t="n">
        <v>0</v>
      </c>
      <c r="AI50" s="91" t="n">
        <f aca="false">IFERROR(AH50/AH$5,0)</f>
        <v>0</v>
      </c>
      <c r="AK50" s="157" t="n">
        <f aca="false">SUMIFS('Dados Mov Financeira'!$N:$N,'Dados Mov Financeira'!$O:$O,'DRE 2024'!$B50,'Dados Mov Financeira'!$A:$A,'DRE 2024'!AK$1,'Dados Mov Financeira'!$B:$B,'DRE 2024'!AK$2)</f>
        <v>0</v>
      </c>
      <c r="AL50" s="91" t="n">
        <f aca="false">IFERROR(AK50/AK$5,0)</f>
        <v>0</v>
      </c>
      <c r="AM50" s="139" t="n">
        <f aca="false">IFERROR((AK50/AH50)-1,0)</f>
        <v>0</v>
      </c>
      <c r="AN50" s="157" t="n">
        <v>0</v>
      </c>
      <c r="AO50" s="91" t="n">
        <f aca="false">IFERROR(AN50/AN$5,0)</f>
        <v>0</v>
      </c>
      <c r="AQ50" s="157" t="n">
        <f aca="false">SUMIFS('Dados Mov Financeira'!$N:$N,'Dados Mov Financeira'!$O:$O,'DRE 2024'!$B50,'Dados Mov Financeira'!$A:$A,'DRE 2024'!AQ$1,'Dados Mov Financeira'!$B:$B,'DRE 2024'!AQ$2)</f>
        <v>0</v>
      </c>
      <c r="AR50" s="91" t="n">
        <f aca="false">IFERROR(AQ50/AQ$5,0)</f>
        <v>0</v>
      </c>
      <c r="AS50" s="139" t="n">
        <f aca="false">IFERROR((AQ50/AN50)-1,0)</f>
        <v>0</v>
      </c>
      <c r="AT50" s="157" t="n">
        <v>0</v>
      </c>
      <c r="AU50" s="91" t="n">
        <f aca="false">IFERROR(AT50/AT$5,0)</f>
        <v>0</v>
      </c>
      <c r="AW50" s="157" t="n">
        <f aca="false">SUMIFS('Dados Mov Financeira'!$N:$N,'Dados Mov Financeira'!$O:$O,'DRE 2024'!$B50,'Dados Mov Financeira'!$A:$A,'DRE 2024'!AW$1,'Dados Mov Financeira'!$B:$B,'DRE 2024'!AW$2)</f>
        <v>0</v>
      </c>
      <c r="AX50" s="91" t="n">
        <f aca="false">IFERROR(AW50/AW$5,0)</f>
        <v>0</v>
      </c>
      <c r="AY50" s="139" t="n">
        <f aca="false">IFERROR((AW50/AT50)-1,0)</f>
        <v>0</v>
      </c>
      <c r="AZ50" s="157" t="n">
        <v>0</v>
      </c>
      <c r="BA50" s="91" t="n">
        <f aca="false">IFERROR(AZ50/AZ$5,0)</f>
        <v>0</v>
      </c>
      <c r="BC50" s="157" t="n">
        <f aca="false">SUMIFS('Dados Mov Financeira'!$N:$N,'Dados Mov Financeira'!$O:$O,'DRE 2024'!$B50,'Dados Mov Financeira'!$A:$A,'DRE 2024'!BC$1,'Dados Mov Financeira'!$B:$B,'DRE 2024'!BC$2)</f>
        <v>0</v>
      </c>
      <c r="BD50" s="91" t="n">
        <f aca="false">IFERROR(BC50/BC$5,0)</f>
        <v>0</v>
      </c>
      <c r="BE50" s="139" t="n">
        <f aca="false">IFERROR((BC50/AZ50)-1,0)</f>
        <v>0</v>
      </c>
      <c r="BF50" s="157" t="n">
        <v>0</v>
      </c>
      <c r="BG50" s="91" t="n">
        <f aca="false">IFERROR(BF50/BF$5,0)</f>
        <v>0</v>
      </c>
      <c r="BI50" s="157" t="n">
        <f aca="false">SUMIFS('Dados Mov Financeira'!$N:$N,'Dados Mov Financeira'!$O:$O,'DRE 2024'!$B50,'Dados Mov Financeira'!$A:$A,'DRE 2024'!BI$1,'Dados Mov Financeira'!$B:$B,'DRE 2024'!BI$2)</f>
        <v>0</v>
      </c>
      <c r="BJ50" s="91" t="n">
        <f aca="false">IFERROR(BI50/BI$5,0)</f>
        <v>0</v>
      </c>
      <c r="BK50" s="139" t="n">
        <f aca="false">IFERROR((BI50/BF50)-1,0)</f>
        <v>0</v>
      </c>
      <c r="BL50" s="157" t="n">
        <v>0</v>
      </c>
      <c r="BM50" s="91" t="n">
        <f aca="false">IFERROR(BL50/BL$5,0)</f>
        <v>0</v>
      </c>
      <c r="BO50" s="157" t="n">
        <f aca="false">SUMIFS('Dados Mov Financeira'!$N:$N,'Dados Mov Financeira'!$O:$O,'DRE 2024'!$B50,'Dados Mov Financeira'!$A:$A,'DRE 2024'!BO$1,'Dados Mov Financeira'!$B:$B,'DRE 2024'!BO$2)</f>
        <v>0</v>
      </c>
      <c r="BP50" s="91" t="n">
        <f aca="false">IFERROR(BO50/BO$5,0)</f>
        <v>0</v>
      </c>
      <c r="BQ50" s="139" t="n">
        <f aca="false">IFERROR((BO50/BL50)-1,0)</f>
        <v>0</v>
      </c>
      <c r="BR50" s="157" t="n">
        <v>0</v>
      </c>
      <c r="BS50" s="91" t="n">
        <f aca="false">IFERROR(BR50/BR$5,0)</f>
        <v>0</v>
      </c>
      <c r="BT50" s="171"/>
      <c r="BU50" s="157" t="n">
        <f aca="false">SUMIFS('Dados Mov Financeira'!$N:$N,'Dados Mov Financeira'!$O:$O,'DRE 2024'!$B50,'Dados Mov Financeira'!$A:$A,'DRE 2024'!BU$1,'Dados Mov Financeira'!$B:$B,'DRE 2024'!BU$2)</f>
        <v>0</v>
      </c>
      <c r="BV50" s="91" t="n">
        <f aca="false">IFERROR(BU50/BU$5,0)</f>
        <v>0</v>
      </c>
      <c r="BW50" s="139" t="n">
        <f aca="false">IFERROR((BU50/BR50)-1,0)</f>
        <v>0</v>
      </c>
      <c r="BX50" s="172" t="n">
        <f aca="false">SUM(D50,J50,P50,V50,AB50,AH50,AN50,AT50,AZ50,BF50,BL50,BR50)</f>
        <v>0</v>
      </c>
      <c r="BY50" s="91" t="n">
        <f aca="false">IFERROR(BX50/BX$5,0)</f>
        <v>0</v>
      </c>
      <c r="CA50" s="172" t="n">
        <f aca="false">SUM(G50,M50,S50,Y50,AE50,AK50,AQ50,AW50,BC50,BI50,BO50,BU50)</f>
        <v>0</v>
      </c>
      <c r="CB50" s="91" t="n">
        <f aca="false">IFERROR(CA50/CA$5,0)</f>
        <v>0</v>
      </c>
      <c r="CC50" s="139" t="n">
        <f aca="false">IFERROR((CA50/BX50)-1,0)</f>
        <v>0</v>
      </c>
      <c r="CE50" s="157" t="n">
        <f aca="false">BX50/$CF$1</f>
        <v>0</v>
      </c>
      <c r="CF50" s="94" t="n">
        <f aca="false">IFERROR(CE50/CE$5,0)</f>
        <v>0</v>
      </c>
      <c r="CH50" s="157" t="n">
        <f aca="false">CA50/$CI$1</f>
        <v>0</v>
      </c>
      <c r="CI50" s="94" t="n">
        <f aca="false">IFERROR(CH50/CH$5,0)</f>
        <v>0</v>
      </c>
    </row>
    <row r="51" s="178" customFormat="true" ht="15.75" hidden="false" customHeight="true" outlineLevel="1" collapsed="false">
      <c r="B51" s="179" t="s">
        <v>73</v>
      </c>
      <c r="D51" s="181" t="n">
        <v>-600</v>
      </c>
      <c r="E51" s="182" t="n">
        <f aca="false">IFERROR(D51/D$5,0)</f>
        <v>-0.0075</v>
      </c>
      <c r="G51" s="181" t="n">
        <f aca="false">SUMIFS('Dados Mov Financeira'!$N:$N,'Dados Mov Financeira'!$O:$O,'DRE 2024'!$B51,'Dados Mov Financeira'!$A:$A,'DRE 2024'!G$1,'Dados Mov Financeira'!$B:$B,'DRE 2024'!G$2)</f>
        <v>0</v>
      </c>
      <c r="H51" s="182" t="n">
        <f aca="false">IFERROR(G51/G$45,0)</f>
        <v>0</v>
      </c>
      <c r="I51" s="183" t="n">
        <f aca="false">IFERROR((G51/D51)-1,0)</f>
        <v>-1</v>
      </c>
      <c r="J51" s="181" t="n">
        <v>-600</v>
      </c>
      <c r="K51" s="182" t="n">
        <f aca="false">IFERROR(J51/J$5,0)</f>
        <v>-0.00705882352941177</v>
      </c>
      <c r="M51" s="181" t="n">
        <f aca="false">SUMIFS('Dados Mov Financeira'!$N:$N,'Dados Mov Financeira'!$O:$O,'DRE 2024'!$B51,'Dados Mov Financeira'!$A:$A,'DRE 2024'!M$1,'Dados Mov Financeira'!$B:$B,'DRE 2024'!M$2)</f>
        <v>0</v>
      </c>
      <c r="N51" s="182" t="n">
        <f aca="false">IFERROR(M51/M$5,0)</f>
        <v>0</v>
      </c>
      <c r="O51" s="183" t="n">
        <f aca="false">IFERROR((M51/J51)-1,0)</f>
        <v>-1</v>
      </c>
      <c r="P51" s="181" t="n">
        <v>-600</v>
      </c>
      <c r="Q51" s="182" t="n">
        <f aca="false">IFERROR(P51/P$5,0)</f>
        <v>-0.00666666666666667</v>
      </c>
      <c r="S51" s="181" t="n">
        <f aca="false">SUMIFS('Dados Mov Financeira'!$N:$N,'Dados Mov Financeira'!$O:$O,'DRE 2024'!$B51,'Dados Mov Financeira'!$A:$A,'DRE 2024'!S$1,'Dados Mov Financeira'!$B:$B,'DRE 2024'!S$2)</f>
        <v>0</v>
      </c>
      <c r="T51" s="182" t="n">
        <f aca="false">IFERROR(S51/S$5,0)</f>
        <v>0</v>
      </c>
      <c r="U51" s="183" t="n">
        <f aca="false">IFERROR((S51/P51)-1,0)</f>
        <v>-1</v>
      </c>
      <c r="V51" s="181" t="n">
        <v>-600</v>
      </c>
      <c r="W51" s="182" t="n">
        <f aca="false">IFERROR(V51/V$5,0)</f>
        <v>-0.006</v>
      </c>
      <c r="Y51" s="181" t="n">
        <f aca="false">SUMIFS('Dados Mov Financeira'!$N:$N,'Dados Mov Financeira'!$O:$O,'DRE 2024'!$B51,'Dados Mov Financeira'!$A:$A,'DRE 2024'!Y$1,'Dados Mov Financeira'!$B:$B,'DRE 2024'!Y$2)</f>
        <v>0</v>
      </c>
      <c r="Z51" s="182" t="n">
        <f aca="false">IFERROR(Y51/Y$5,0)</f>
        <v>0</v>
      </c>
      <c r="AA51" s="183" t="n">
        <f aca="false">IFERROR((Y51/V51)-1,0)</f>
        <v>-1</v>
      </c>
      <c r="AB51" s="181" t="n">
        <v>-600</v>
      </c>
      <c r="AC51" s="182" t="n">
        <f aca="false">IFERROR(AB51/AB$5,0)</f>
        <v>-0.00545454545454546</v>
      </c>
      <c r="AE51" s="181" t="n">
        <f aca="false">SUMIFS('Dados Mov Financeira'!$N:$N,'Dados Mov Financeira'!$O:$O,'DRE 2024'!$B51,'Dados Mov Financeira'!$A:$A,'DRE 2024'!AE$1,'Dados Mov Financeira'!$B:$B,'DRE 2024'!AE$2)</f>
        <v>0</v>
      </c>
      <c r="AF51" s="182" t="n">
        <f aca="false">IFERROR(AE51/AE$5,0)</f>
        <v>0</v>
      </c>
      <c r="AG51" s="183" t="n">
        <f aca="false">IFERROR((AE51/AB51)-1,0)</f>
        <v>-1</v>
      </c>
      <c r="AH51" s="181" t="n">
        <v>-600</v>
      </c>
      <c r="AI51" s="182" t="n">
        <f aca="false">IFERROR(AH51/AH$5,0)</f>
        <v>-0.005</v>
      </c>
      <c r="AK51" s="181" t="n">
        <f aca="false">SUMIFS('Dados Mov Financeira'!$N:$N,'Dados Mov Financeira'!$O:$O,'DRE 2024'!$B51,'Dados Mov Financeira'!$A:$A,'DRE 2024'!AK$1,'Dados Mov Financeira'!$B:$B,'DRE 2024'!AK$2)</f>
        <v>0</v>
      </c>
      <c r="AL51" s="182" t="n">
        <f aca="false">IFERROR(AK51/AK$5,0)</f>
        <v>0</v>
      </c>
      <c r="AM51" s="183" t="n">
        <f aca="false">IFERROR((AK51/AH51)-1,0)</f>
        <v>-1</v>
      </c>
      <c r="AN51" s="181" t="n">
        <v>-600</v>
      </c>
      <c r="AO51" s="182" t="n">
        <f aca="false">IFERROR(AN51/AN$5,0)</f>
        <v>-0.00461538461538462</v>
      </c>
      <c r="AQ51" s="181" t="n">
        <f aca="false">SUMIFS('Dados Mov Financeira'!$N:$N,'Dados Mov Financeira'!$O:$O,'DRE 2024'!$B51,'Dados Mov Financeira'!$A:$A,'DRE 2024'!AQ$1,'Dados Mov Financeira'!$B:$B,'DRE 2024'!AQ$2)</f>
        <v>0</v>
      </c>
      <c r="AR51" s="182" t="n">
        <f aca="false">IFERROR(AQ51/AQ$5,0)</f>
        <v>0</v>
      </c>
      <c r="AS51" s="183" t="n">
        <f aca="false">IFERROR((AQ51/AN51)-1,0)</f>
        <v>-1</v>
      </c>
      <c r="AT51" s="181" t="n">
        <v>-600</v>
      </c>
      <c r="AU51" s="182" t="n">
        <f aca="false">IFERROR(AT51/AT$5,0)</f>
        <v>-0.00428571428571429</v>
      </c>
      <c r="AW51" s="181" t="n">
        <f aca="false">SUMIFS('Dados Mov Financeira'!$N:$N,'Dados Mov Financeira'!$O:$O,'DRE 2024'!$B51,'Dados Mov Financeira'!$A:$A,'DRE 2024'!AW$1,'Dados Mov Financeira'!$B:$B,'DRE 2024'!AW$2)</f>
        <v>0</v>
      </c>
      <c r="AX51" s="182" t="n">
        <f aca="false">IFERROR(AW51/AW$5,0)</f>
        <v>0</v>
      </c>
      <c r="AY51" s="183" t="n">
        <f aca="false">IFERROR((AW51/AT51)-1,0)</f>
        <v>-1</v>
      </c>
      <c r="AZ51" s="181" t="n">
        <v>-600</v>
      </c>
      <c r="BA51" s="182" t="n">
        <f aca="false">IFERROR(AZ51/AZ$5,0)</f>
        <v>-0.004</v>
      </c>
      <c r="BC51" s="181" t="n">
        <f aca="false">SUMIFS('Dados Mov Financeira'!$N:$N,'Dados Mov Financeira'!$O:$O,'DRE 2024'!$B51,'Dados Mov Financeira'!$A:$A,'DRE 2024'!BC$1,'Dados Mov Financeira'!$B:$B,'DRE 2024'!BC$2)</f>
        <v>0</v>
      </c>
      <c r="BD51" s="182" t="n">
        <f aca="false">IFERROR(BC51/BC$5,0)</f>
        <v>0</v>
      </c>
      <c r="BE51" s="183" t="n">
        <f aca="false">IFERROR((BC51/AZ51)-1,0)</f>
        <v>-1</v>
      </c>
      <c r="BF51" s="181" t="n">
        <v>-600</v>
      </c>
      <c r="BG51" s="182" t="n">
        <f aca="false">IFERROR(BF51/BF$5,0)</f>
        <v>-0.004</v>
      </c>
      <c r="BI51" s="181" t="n">
        <f aca="false">SUMIFS('Dados Mov Financeira'!$N:$N,'Dados Mov Financeira'!$O:$O,'DRE 2024'!$B51,'Dados Mov Financeira'!$A:$A,'DRE 2024'!BI$1,'Dados Mov Financeira'!$B:$B,'DRE 2024'!BI$2)</f>
        <v>0</v>
      </c>
      <c r="BJ51" s="182" t="n">
        <f aca="false">IFERROR(BI51/BI$5,0)</f>
        <v>0</v>
      </c>
      <c r="BK51" s="183" t="n">
        <f aca="false">IFERROR((BI51/BF51)-1,0)</f>
        <v>-1</v>
      </c>
      <c r="BL51" s="181" t="n">
        <v>-600</v>
      </c>
      <c r="BM51" s="182" t="n">
        <f aca="false">IFERROR(BL51/BL$5,0)</f>
        <v>-0.004</v>
      </c>
      <c r="BO51" s="181" t="n">
        <f aca="false">SUMIFS('Dados Mov Financeira'!$N:$N,'Dados Mov Financeira'!$O:$O,'DRE 2024'!$B51,'Dados Mov Financeira'!$A:$A,'DRE 2024'!BO$1,'Dados Mov Financeira'!$B:$B,'DRE 2024'!BO$2)</f>
        <v>0</v>
      </c>
      <c r="BP51" s="182" t="n">
        <f aca="false">IFERROR(BO51/BO$5,0)</f>
        <v>0</v>
      </c>
      <c r="BQ51" s="183" t="n">
        <f aca="false">IFERROR((BO51/BL51)-1,0)</f>
        <v>-1</v>
      </c>
      <c r="BR51" s="181" t="n">
        <v>-600</v>
      </c>
      <c r="BS51" s="182" t="n">
        <f aca="false">IFERROR(BR51/BR$5,0)</f>
        <v>-0.004</v>
      </c>
      <c r="BT51" s="184"/>
      <c r="BU51" s="181" t="n">
        <f aca="false">SUMIFS('Dados Mov Financeira'!$N:$N,'Dados Mov Financeira'!$O:$O,'DRE 2024'!$B51,'Dados Mov Financeira'!$A:$A,'DRE 2024'!BU$1,'Dados Mov Financeira'!$B:$B,'DRE 2024'!BU$2)</f>
        <v>0</v>
      </c>
      <c r="BV51" s="182" t="n">
        <f aca="false">IFERROR(BU51/BU$5,0)</f>
        <v>0</v>
      </c>
      <c r="BW51" s="183" t="n">
        <f aca="false">IFERROR((BU51/BR51)-1,0)</f>
        <v>-1</v>
      </c>
      <c r="BX51" s="185" t="n">
        <f aca="false">SUM(D51,J51,P51,V51,AB51,AH51,AN51,AT51,AZ51,BF51,BL51,BR51)</f>
        <v>-7200</v>
      </c>
      <c r="BY51" s="182" t="n">
        <f aca="false">IFERROR(BX51/BX$5,0)</f>
        <v>-0.00494845360824742</v>
      </c>
      <c r="CA51" s="185" t="n">
        <f aca="false">SUM(G51,M51,S51,Y51,AE51,AK51,AQ51,AW51,BC51,BI51,BO51,BU51)</f>
        <v>0</v>
      </c>
      <c r="CB51" s="182" t="n">
        <f aca="false">IFERROR(CA51/CA$5,0)</f>
        <v>0</v>
      </c>
      <c r="CC51" s="183" t="n">
        <f aca="false">IFERROR((CA51/BX51)-1,0)</f>
        <v>-1</v>
      </c>
      <c r="CE51" s="181" t="n">
        <f aca="false">BX51/$CF$1</f>
        <v>-600</v>
      </c>
      <c r="CF51" s="182" t="n">
        <f aca="false">IFERROR(CE51/CE$5,0)</f>
        <v>-0.00494845360824742</v>
      </c>
      <c r="CH51" s="181" t="n">
        <f aca="false">CA51/$CI$1</f>
        <v>0</v>
      </c>
      <c r="CI51" s="182" t="n">
        <f aca="false">IFERROR(CH51/CH$5,0)</f>
        <v>0</v>
      </c>
    </row>
    <row r="52" customFormat="false" ht="14.25" hidden="false" customHeight="false" outlineLevel="1" collapsed="false">
      <c r="B52" s="169" t="s">
        <v>182</v>
      </c>
      <c r="D52" s="157" t="n">
        <v>0</v>
      </c>
      <c r="E52" s="91" t="n">
        <f aca="false">IFERROR(D52/D$5,0)</f>
        <v>0</v>
      </c>
      <c r="G52" s="157" t="n">
        <f aca="false">SUMIFS('Dados Mov Financeira'!$N:$N,'Dados Mov Financeira'!$O:$O,'DRE 2024'!$B52,'Dados Mov Financeira'!$A:$A,'DRE 2024'!G$1,'Dados Mov Financeira'!$B:$B,'DRE 2024'!G$2)</f>
        <v>0</v>
      </c>
      <c r="H52" s="91" t="n">
        <f aca="false">IFERROR(G52/G$45,0)</f>
        <v>0</v>
      </c>
      <c r="I52" s="138" t="n">
        <f aca="false">IFERROR((G52/D52)-1,0)</f>
        <v>0</v>
      </c>
      <c r="J52" s="157" t="n">
        <v>0</v>
      </c>
      <c r="K52" s="91" t="n">
        <f aca="false">IFERROR(J52/J$5,0)</f>
        <v>0</v>
      </c>
      <c r="M52" s="157" t="n">
        <f aca="false">SUMIFS('Dados Mov Financeira'!$N:$N,'Dados Mov Financeira'!$O:$O,'DRE 2024'!$B52,'Dados Mov Financeira'!$A:$A,'DRE 2024'!M$1,'Dados Mov Financeira'!$B:$B,'DRE 2024'!M$2)</f>
        <v>0</v>
      </c>
      <c r="N52" s="91" t="n">
        <f aca="false">IFERROR(M52/M$5,0)</f>
        <v>0</v>
      </c>
      <c r="O52" s="139" t="n">
        <f aca="false">IFERROR((M52/J52)-1,0)</f>
        <v>0</v>
      </c>
      <c r="P52" s="157" t="n">
        <v>0</v>
      </c>
      <c r="Q52" s="91" t="n">
        <f aca="false">IFERROR(P52/P$5,0)</f>
        <v>0</v>
      </c>
      <c r="S52" s="157" t="n">
        <f aca="false">SUMIFS('Dados Mov Financeira'!$N:$N,'Dados Mov Financeira'!$O:$O,'DRE 2024'!$B52,'Dados Mov Financeira'!$A:$A,'DRE 2024'!S$1,'Dados Mov Financeira'!$B:$B,'DRE 2024'!S$2)</f>
        <v>0</v>
      </c>
      <c r="T52" s="91" t="n">
        <f aca="false">IFERROR(S52/S$5,0)</f>
        <v>0</v>
      </c>
      <c r="U52" s="139" t="n">
        <f aca="false">IFERROR((S52/P52)-1,0)</f>
        <v>0</v>
      </c>
      <c r="V52" s="157" t="n">
        <v>0</v>
      </c>
      <c r="W52" s="91" t="n">
        <f aca="false">IFERROR(V52/V$5,0)</f>
        <v>0</v>
      </c>
      <c r="Y52" s="157" t="n">
        <f aca="false">SUMIFS('Dados Mov Financeira'!$N:$N,'Dados Mov Financeira'!$O:$O,'DRE 2024'!$B52,'Dados Mov Financeira'!$A:$A,'DRE 2024'!Y$1,'Dados Mov Financeira'!$B:$B,'DRE 2024'!Y$2)</f>
        <v>0</v>
      </c>
      <c r="Z52" s="91" t="n">
        <f aca="false">IFERROR(Y52/Y$5,0)</f>
        <v>0</v>
      </c>
      <c r="AA52" s="139" t="n">
        <f aca="false">IFERROR((Y52/V52)-1,0)</f>
        <v>0</v>
      </c>
      <c r="AB52" s="157" t="n">
        <v>0</v>
      </c>
      <c r="AC52" s="91" t="n">
        <f aca="false">IFERROR(AB52/AB$5,0)</f>
        <v>0</v>
      </c>
      <c r="AE52" s="157" t="n">
        <f aca="false">SUMIFS('Dados Mov Financeira'!$N:$N,'Dados Mov Financeira'!$O:$O,'DRE 2024'!$B52,'Dados Mov Financeira'!$A:$A,'DRE 2024'!AE$1,'Dados Mov Financeira'!$B:$B,'DRE 2024'!AE$2)</f>
        <v>0</v>
      </c>
      <c r="AF52" s="91" t="n">
        <f aca="false">IFERROR(AE52/AE$5,0)</f>
        <v>0</v>
      </c>
      <c r="AG52" s="139" t="n">
        <f aca="false">IFERROR((AE52/AB52)-1,0)</f>
        <v>0</v>
      </c>
      <c r="AH52" s="157" t="n">
        <v>0</v>
      </c>
      <c r="AI52" s="91" t="n">
        <f aca="false">IFERROR(AH52/AH$5,0)</f>
        <v>0</v>
      </c>
      <c r="AK52" s="157" t="n">
        <f aca="false">SUMIFS('Dados Mov Financeira'!$N:$N,'Dados Mov Financeira'!$O:$O,'DRE 2024'!$B52,'Dados Mov Financeira'!$A:$A,'DRE 2024'!AK$1,'Dados Mov Financeira'!$B:$B,'DRE 2024'!AK$2)</f>
        <v>0</v>
      </c>
      <c r="AL52" s="91" t="n">
        <f aca="false">IFERROR(AK52/AK$5,0)</f>
        <v>0</v>
      </c>
      <c r="AM52" s="139" t="n">
        <f aca="false">IFERROR((AK52/AH52)-1,0)</f>
        <v>0</v>
      </c>
      <c r="AN52" s="157" t="n">
        <v>0</v>
      </c>
      <c r="AO52" s="91" t="n">
        <f aca="false">IFERROR(AN52/AN$5,0)</f>
        <v>0</v>
      </c>
      <c r="AQ52" s="157" t="n">
        <f aca="false">SUMIFS('Dados Mov Financeira'!$N:$N,'Dados Mov Financeira'!$O:$O,'DRE 2024'!$B52,'Dados Mov Financeira'!$A:$A,'DRE 2024'!AQ$1,'Dados Mov Financeira'!$B:$B,'DRE 2024'!AQ$2)</f>
        <v>0</v>
      </c>
      <c r="AR52" s="91" t="n">
        <f aca="false">IFERROR(AQ52/AQ$5,0)</f>
        <v>0</v>
      </c>
      <c r="AS52" s="139" t="n">
        <f aca="false">IFERROR((AQ52/AN52)-1,0)</f>
        <v>0</v>
      </c>
      <c r="AT52" s="157" t="n">
        <v>0</v>
      </c>
      <c r="AU52" s="91" t="n">
        <f aca="false">IFERROR(AT52/AT$5,0)</f>
        <v>0</v>
      </c>
      <c r="AW52" s="157" t="n">
        <f aca="false">SUMIFS('Dados Mov Financeira'!$N:$N,'Dados Mov Financeira'!$O:$O,'DRE 2024'!$B52,'Dados Mov Financeira'!$A:$A,'DRE 2024'!AW$1,'Dados Mov Financeira'!$B:$B,'DRE 2024'!AW$2)</f>
        <v>0</v>
      </c>
      <c r="AX52" s="91" t="n">
        <f aca="false">IFERROR(AW52/AW$5,0)</f>
        <v>0</v>
      </c>
      <c r="AY52" s="139" t="n">
        <f aca="false">IFERROR((AW52/AT52)-1,0)</f>
        <v>0</v>
      </c>
      <c r="AZ52" s="157" t="n">
        <v>0</v>
      </c>
      <c r="BA52" s="91" t="n">
        <f aca="false">IFERROR(AZ52/AZ$5,0)</f>
        <v>0</v>
      </c>
      <c r="BC52" s="157" t="n">
        <f aca="false">SUMIFS('Dados Mov Financeira'!$N:$N,'Dados Mov Financeira'!$O:$O,'DRE 2024'!$B52,'Dados Mov Financeira'!$A:$A,'DRE 2024'!BC$1,'Dados Mov Financeira'!$B:$B,'DRE 2024'!BC$2)</f>
        <v>0</v>
      </c>
      <c r="BD52" s="91" t="n">
        <f aca="false">IFERROR(BC52/BC$5,0)</f>
        <v>0</v>
      </c>
      <c r="BE52" s="139" t="n">
        <f aca="false">IFERROR((BC52/AZ52)-1,0)</f>
        <v>0</v>
      </c>
      <c r="BF52" s="157" t="n">
        <v>0</v>
      </c>
      <c r="BG52" s="91" t="n">
        <f aca="false">IFERROR(BF52/BF$5,0)</f>
        <v>0</v>
      </c>
      <c r="BI52" s="157" t="n">
        <f aca="false">SUMIFS('Dados Mov Financeira'!$N:$N,'Dados Mov Financeira'!$O:$O,'DRE 2024'!$B52,'Dados Mov Financeira'!$A:$A,'DRE 2024'!BI$1,'Dados Mov Financeira'!$B:$B,'DRE 2024'!BI$2)</f>
        <v>0</v>
      </c>
      <c r="BJ52" s="91" t="n">
        <f aca="false">IFERROR(BI52/BI$5,0)</f>
        <v>0</v>
      </c>
      <c r="BK52" s="139" t="n">
        <f aca="false">IFERROR((BI52/BF52)-1,0)</f>
        <v>0</v>
      </c>
      <c r="BL52" s="157" t="n">
        <v>0</v>
      </c>
      <c r="BM52" s="91" t="n">
        <f aca="false">IFERROR(BL52/BL$5,0)</f>
        <v>0</v>
      </c>
      <c r="BO52" s="157" t="n">
        <f aca="false">SUMIFS('Dados Mov Financeira'!$N:$N,'Dados Mov Financeira'!$O:$O,'DRE 2024'!$B52,'Dados Mov Financeira'!$A:$A,'DRE 2024'!BO$1,'Dados Mov Financeira'!$B:$B,'DRE 2024'!BO$2)</f>
        <v>0</v>
      </c>
      <c r="BP52" s="91" t="n">
        <f aca="false">IFERROR(BO52/BO$5,0)</f>
        <v>0</v>
      </c>
      <c r="BQ52" s="139" t="n">
        <f aca="false">IFERROR((BO52/BL52)-1,0)</f>
        <v>0</v>
      </c>
      <c r="BR52" s="157" t="n">
        <v>0</v>
      </c>
      <c r="BS52" s="91" t="n">
        <f aca="false">IFERROR(BR52/BR$5,0)</f>
        <v>0</v>
      </c>
      <c r="BT52" s="171"/>
      <c r="BU52" s="157" t="n">
        <f aca="false">SUMIFS('Dados Mov Financeira'!$N:$N,'Dados Mov Financeira'!$O:$O,'DRE 2024'!$B52,'Dados Mov Financeira'!$A:$A,'DRE 2024'!BU$1,'Dados Mov Financeira'!$B:$B,'DRE 2024'!BU$2)</f>
        <v>0</v>
      </c>
      <c r="BV52" s="91" t="n">
        <f aca="false">IFERROR(BU52/BU$5,0)</f>
        <v>0</v>
      </c>
      <c r="BW52" s="139" t="n">
        <f aca="false">IFERROR((BU52/BR52)-1,0)</f>
        <v>0</v>
      </c>
      <c r="BX52" s="172" t="n">
        <f aca="false">SUM(D52,J52,P52,V52,AB52,AH52,AN52,AT52,AZ52,BF52,BL52,BR52)</f>
        <v>0</v>
      </c>
      <c r="BY52" s="91" t="n">
        <f aca="false">IFERROR(BX52/BX$5,0)</f>
        <v>0</v>
      </c>
      <c r="CA52" s="172" t="n">
        <f aca="false">SUM(G52,M52,S52,Y52,AE52,AK52,AQ52,AW52,BC52,BI52,BO52,BU52)</f>
        <v>0</v>
      </c>
      <c r="CB52" s="91" t="n">
        <f aca="false">IFERROR(CA52/CA$5,0)</f>
        <v>0</v>
      </c>
      <c r="CC52" s="139" t="n">
        <f aca="false">IFERROR((CA52/BX52)-1,0)</f>
        <v>0</v>
      </c>
      <c r="CE52" s="157" t="n">
        <f aca="false">BX52/$CF$1</f>
        <v>0</v>
      </c>
      <c r="CF52" s="94" t="n">
        <f aca="false">IFERROR(CE52/CE$5,0)</f>
        <v>0</v>
      </c>
      <c r="CH52" s="157" t="n">
        <f aca="false">CA52/$CI$1</f>
        <v>0</v>
      </c>
      <c r="CI52" s="94" t="n">
        <f aca="false">IFERROR(CH52/CH$5,0)</f>
        <v>0</v>
      </c>
    </row>
    <row r="53" customFormat="false" ht="15.75" hidden="false" customHeight="true" outlineLevel="1" collapsed="false">
      <c r="B53" s="169" t="s">
        <v>76</v>
      </c>
      <c r="D53" s="157" t="n">
        <v>-35</v>
      </c>
      <c r="E53" s="91" t="n">
        <f aca="false">IFERROR(D53/D$5,0)</f>
        <v>-0.0004375</v>
      </c>
      <c r="G53" s="157" t="n">
        <f aca="false">SUMIFS('Dados Mov Financeira'!$N:$N,'Dados Mov Financeira'!$O:$O,'DRE 2024'!$B53,'Dados Mov Financeira'!$A:$A,'DRE 2024'!G$1,'Dados Mov Financeira'!$B:$B,'DRE 2024'!G$2)</f>
        <v>0</v>
      </c>
      <c r="H53" s="91" t="n">
        <f aca="false">IFERROR(G53/G$45,0)</f>
        <v>0</v>
      </c>
      <c r="I53" s="138" t="n">
        <f aca="false">IFERROR((G53/D53)-1,0)</f>
        <v>-1</v>
      </c>
      <c r="J53" s="157" t="n">
        <v>-35</v>
      </c>
      <c r="K53" s="91" t="n">
        <f aca="false">IFERROR(J53/J$5,0)</f>
        <v>-0.000411764705882353</v>
      </c>
      <c r="M53" s="157" t="n">
        <f aca="false">SUMIFS('Dados Mov Financeira'!$N:$N,'Dados Mov Financeira'!$O:$O,'DRE 2024'!$B53,'Dados Mov Financeira'!$A:$A,'DRE 2024'!M$1,'Dados Mov Financeira'!$B:$B,'DRE 2024'!M$2)</f>
        <v>0</v>
      </c>
      <c r="N53" s="91" t="n">
        <f aca="false">IFERROR(M53/M$5,0)</f>
        <v>0</v>
      </c>
      <c r="O53" s="139" t="n">
        <f aca="false">IFERROR((M53/J53)-1,0)</f>
        <v>-1</v>
      </c>
      <c r="P53" s="157" t="n">
        <v>-35</v>
      </c>
      <c r="Q53" s="91" t="n">
        <f aca="false">IFERROR(P53/P$5,0)</f>
        <v>-0.000388888888888889</v>
      </c>
      <c r="S53" s="157" t="n">
        <f aca="false">SUMIFS('Dados Mov Financeira'!$N:$N,'Dados Mov Financeira'!$O:$O,'DRE 2024'!$B53,'Dados Mov Financeira'!$A:$A,'DRE 2024'!S$1,'Dados Mov Financeira'!$B:$B,'DRE 2024'!S$2)</f>
        <v>0</v>
      </c>
      <c r="T53" s="91" t="n">
        <f aca="false">IFERROR(S53/S$5,0)</f>
        <v>0</v>
      </c>
      <c r="U53" s="139" t="n">
        <f aca="false">IFERROR((S53/P53)-1,0)</f>
        <v>-1</v>
      </c>
      <c r="V53" s="157" t="n">
        <v>-35</v>
      </c>
      <c r="W53" s="91" t="n">
        <f aca="false">IFERROR(V53/V$5,0)</f>
        <v>-0.00035</v>
      </c>
      <c r="Y53" s="157" t="n">
        <f aca="false">SUMIFS('Dados Mov Financeira'!$N:$N,'Dados Mov Financeira'!$O:$O,'DRE 2024'!$B53,'Dados Mov Financeira'!$A:$A,'DRE 2024'!Y$1,'Dados Mov Financeira'!$B:$B,'DRE 2024'!Y$2)</f>
        <v>0</v>
      </c>
      <c r="Z53" s="91" t="n">
        <f aca="false">IFERROR(Y53/Y$5,0)</f>
        <v>0</v>
      </c>
      <c r="AA53" s="139" t="n">
        <f aca="false">IFERROR((Y53/V53)-1,0)</f>
        <v>-1</v>
      </c>
      <c r="AB53" s="157" t="n">
        <v>-35</v>
      </c>
      <c r="AC53" s="91" t="n">
        <f aca="false">IFERROR(AB53/AB$5,0)</f>
        <v>-0.000318181818181818</v>
      </c>
      <c r="AE53" s="157" t="n">
        <f aca="false">SUMIFS('Dados Mov Financeira'!$N:$N,'Dados Mov Financeira'!$O:$O,'DRE 2024'!$B53,'Dados Mov Financeira'!$A:$A,'DRE 2024'!AE$1,'Dados Mov Financeira'!$B:$B,'DRE 2024'!AE$2)</f>
        <v>0</v>
      </c>
      <c r="AF53" s="91" t="n">
        <f aca="false">IFERROR(AE53/AE$5,0)</f>
        <v>0</v>
      </c>
      <c r="AG53" s="139" t="n">
        <f aca="false">IFERROR((AE53/AB53)-1,0)</f>
        <v>-1</v>
      </c>
      <c r="AH53" s="157" t="n">
        <v>-35</v>
      </c>
      <c r="AI53" s="91" t="n">
        <f aca="false">IFERROR(AH53/AH$5,0)</f>
        <v>-0.000291666666666667</v>
      </c>
      <c r="AK53" s="157" t="n">
        <f aca="false">SUMIFS('Dados Mov Financeira'!$N:$N,'Dados Mov Financeira'!$O:$O,'DRE 2024'!$B53,'Dados Mov Financeira'!$A:$A,'DRE 2024'!AK$1,'Dados Mov Financeira'!$B:$B,'DRE 2024'!AK$2)</f>
        <v>0</v>
      </c>
      <c r="AL53" s="91" t="n">
        <f aca="false">IFERROR(AK53/AK$5,0)</f>
        <v>0</v>
      </c>
      <c r="AM53" s="139" t="n">
        <f aca="false">IFERROR((AK53/AH53)-1,0)</f>
        <v>-1</v>
      </c>
      <c r="AN53" s="157" t="n">
        <v>-35</v>
      </c>
      <c r="AO53" s="91" t="n">
        <f aca="false">IFERROR(AN53/AN$5,0)</f>
        <v>-0.000269230769230769</v>
      </c>
      <c r="AQ53" s="157" t="n">
        <f aca="false">SUMIFS('Dados Mov Financeira'!$N:$N,'Dados Mov Financeira'!$O:$O,'DRE 2024'!$B53,'Dados Mov Financeira'!$A:$A,'DRE 2024'!AQ$1,'Dados Mov Financeira'!$B:$B,'DRE 2024'!AQ$2)</f>
        <v>0</v>
      </c>
      <c r="AR53" s="91" t="n">
        <f aca="false">IFERROR(AQ53/AQ$5,0)</f>
        <v>0</v>
      </c>
      <c r="AS53" s="139" t="n">
        <f aca="false">IFERROR((AQ53/AN53)-1,0)</f>
        <v>-1</v>
      </c>
      <c r="AT53" s="157" t="n">
        <v>-35</v>
      </c>
      <c r="AU53" s="91" t="n">
        <f aca="false">IFERROR(AT53/AT$5,0)</f>
        <v>-0.00025</v>
      </c>
      <c r="AW53" s="157" t="n">
        <f aca="false">SUMIFS('Dados Mov Financeira'!$N:$N,'Dados Mov Financeira'!$O:$O,'DRE 2024'!$B53,'Dados Mov Financeira'!$A:$A,'DRE 2024'!AW$1,'Dados Mov Financeira'!$B:$B,'DRE 2024'!AW$2)</f>
        <v>0</v>
      </c>
      <c r="AX53" s="91" t="n">
        <f aca="false">IFERROR(AW53/AW$5,0)</f>
        <v>0</v>
      </c>
      <c r="AY53" s="139" t="n">
        <f aca="false">IFERROR((AW53/AT53)-1,0)</f>
        <v>-1</v>
      </c>
      <c r="AZ53" s="157" t="n">
        <v>-35</v>
      </c>
      <c r="BA53" s="91" t="n">
        <f aca="false">IFERROR(AZ53/AZ$5,0)</f>
        <v>-0.000233333333333333</v>
      </c>
      <c r="BC53" s="157" t="n">
        <f aca="false">SUMIFS('Dados Mov Financeira'!$N:$N,'Dados Mov Financeira'!$O:$O,'DRE 2024'!$B53,'Dados Mov Financeira'!$A:$A,'DRE 2024'!BC$1,'Dados Mov Financeira'!$B:$B,'DRE 2024'!BC$2)</f>
        <v>0</v>
      </c>
      <c r="BD53" s="91" t="n">
        <f aca="false">IFERROR(BC53/BC$5,0)</f>
        <v>0</v>
      </c>
      <c r="BE53" s="139" t="n">
        <f aca="false">IFERROR((BC53/AZ53)-1,0)</f>
        <v>-1</v>
      </c>
      <c r="BF53" s="157" t="n">
        <v>-35</v>
      </c>
      <c r="BG53" s="91" t="n">
        <f aca="false">IFERROR(BF53/BF$5,0)</f>
        <v>-0.000233333333333333</v>
      </c>
      <c r="BI53" s="157" t="n">
        <f aca="false">SUMIFS('Dados Mov Financeira'!$N:$N,'Dados Mov Financeira'!$O:$O,'DRE 2024'!$B53,'Dados Mov Financeira'!$A:$A,'DRE 2024'!BI$1,'Dados Mov Financeira'!$B:$B,'DRE 2024'!BI$2)</f>
        <v>0</v>
      </c>
      <c r="BJ53" s="91" t="n">
        <f aca="false">IFERROR(BI53/BI$5,0)</f>
        <v>0</v>
      </c>
      <c r="BK53" s="139" t="n">
        <f aca="false">IFERROR((BI53/BF53)-1,0)</f>
        <v>-1</v>
      </c>
      <c r="BL53" s="157" t="n">
        <v>-35</v>
      </c>
      <c r="BM53" s="91" t="n">
        <f aca="false">IFERROR(BL53/BL$5,0)</f>
        <v>-0.000233333333333333</v>
      </c>
      <c r="BO53" s="157" t="n">
        <f aca="false">SUMIFS('Dados Mov Financeira'!$N:$N,'Dados Mov Financeira'!$O:$O,'DRE 2024'!$B53,'Dados Mov Financeira'!$A:$A,'DRE 2024'!BO$1,'Dados Mov Financeira'!$B:$B,'DRE 2024'!BO$2)</f>
        <v>0</v>
      </c>
      <c r="BP53" s="91" t="n">
        <f aca="false">IFERROR(BO53/BO$5,0)</f>
        <v>0</v>
      </c>
      <c r="BQ53" s="139" t="n">
        <f aca="false">IFERROR((BO53/BL53)-1,0)</f>
        <v>-1</v>
      </c>
      <c r="BR53" s="157" t="n">
        <v>-35</v>
      </c>
      <c r="BS53" s="91" t="n">
        <f aca="false">IFERROR(BR53/BR$5,0)</f>
        <v>-0.000233333333333333</v>
      </c>
      <c r="BT53" s="171"/>
      <c r="BU53" s="157" t="n">
        <f aca="false">SUMIFS('Dados Mov Financeira'!$N:$N,'Dados Mov Financeira'!$O:$O,'DRE 2024'!$B53,'Dados Mov Financeira'!$A:$A,'DRE 2024'!BU$1,'Dados Mov Financeira'!$B:$B,'DRE 2024'!BU$2)</f>
        <v>0</v>
      </c>
      <c r="BV53" s="91" t="n">
        <f aca="false">IFERROR(BU53/BU$5,0)</f>
        <v>0</v>
      </c>
      <c r="BW53" s="139" t="n">
        <f aca="false">IFERROR((BU53/BR53)-1,0)</f>
        <v>-1</v>
      </c>
      <c r="BX53" s="172" t="n">
        <f aca="false">SUM(D53,J53,P53,V53,AB53,AH53,AN53,AT53,AZ53,BF53,BL53,BR53)</f>
        <v>-420</v>
      </c>
      <c r="BY53" s="91" t="n">
        <f aca="false">IFERROR(BX53/BX$5,0)</f>
        <v>-0.000288659793814433</v>
      </c>
      <c r="CA53" s="172" t="n">
        <f aca="false">SUM(G53,M53,S53,Y53,AE53,AK53,AQ53,AW53,BC53,BI53,BO53,BU53)</f>
        <v>0</v>
      </c>
      <c r="CB53" s="91" t="n">
        <f aca="false">IFERROR(CA53/CA$5,0)</f>
        <v>0</v>
      </c>
      <c r="CC53" s="139" t="n">
        <f aca="false">IFERROR((CA53/BX53)-1,0)</f>
        <v>-1</v>
      </c>
      <c r="CE53" s="157" t="n">
        <f aca="false">BX53/$CF$1</f>
        <v>-35</v>
      </c>
      <c r="CF53" s="94" t="n">
        <f aca="false">IFERROR(CE53/CE$5,0)</f>
        <v>-0.000288659793814433</v>
      </c>
      <c r="CH53" s="157" t="n">
        <f aca="false">CA53/$CI$1</f>
        <v>0</v>
      </c>
      <c r="CI53" s="94" t="n">
        <f aca="false">IFERROR(CH53/CH$5,0)</f>
        <v>0</v>
      </c>
    </row>
    <row r="54" customFormat="false" ht="15.75" hidden="false" customHeight="true" outlineLevel="1" collapsed="false">
      <c r="B54" s="169" t="s">
        <v>78</v>
      </c>
      <c r="D54" s="157" t="n">
        <v>0</v>
      </c>
      <c r="E54" s="91" t="n">
        <f aca="false">IFERROR(D54/D$5,0)</f>
        <v>0</v>
      </c>
      <c r="G54" s="157" t="n">
        <f aca="false">SUMIFS('Dados Mov Financeira'!$N:$N,'Dados Mov Financeira'!$O:$O,'DRE 2024'!$B54,'Dados Mov Financeira'!$A:$A,'DRE 2024'!G$1,'Dados Mov Financeira'!$B:$B,'DRE 2024'!G$2)</f>
        <v>0</v>
      </c>
      <c r="H54" s="91" t="n">
        <f aca="false">IFERROR(G54/G$45,0)</f>
        <v>0</v>
      </c>
      <c r="I54" s="138" t="n">
        <f aca="false">IFERROR((G54/D54)-1,0)</f>
        <v>0</v>
      </c>
      <c r="J54" s="157" t="n">
        <v>0</v>
      </c>
      <c r="K54" s="91" t="n">
        <f aca="false">IFERROR(J54/J$5,0)</f>
        <v>0</v>
      </c>
      <c r="M54" s="157" t="n">
        <f aca="false">SUMIFS('Dados Mov Financeira'!$N:$N,'Dados Mov Financeira'!$O:$O,'DRE 2024'!$B54,'Dados Mov Financeira'!$A:$A,'DRE 2024'!M$1,'Dados Mov Financeira'!$B:$B,'DRE 2024'!M$2)</f>
        <v>0</v>
      </c>
      <c r="N54" s="91" t="n">
        <f aca="false">IFERROR(M54/M$5,0)</f>
        <v>0</v>
      </c>
      <c r="O54" s="139" t="n">
        <f aca="false">IFERROR((M54/J54)-1,0)</f>
        <v>0</v>
      </c>
      <c r="P54" s="157" t="n">
        <v>0</v>
      </c>
      <c r="Q54" s="91" t="n">
        <f aca="false">IFERROR(P54/P$5,0)</f>
        <v>0</v>
      </c>
      <c r="S54" s="157" t="n">
        <f aca="false">SUMIFS('Dados Mov Financeira'!$N:$N,'Dados Mov Financeira'!$O:$O,'DRE 2024'!$B54,'Dados Mov Financeira'!$A:$A,'DRE 2024'!S$1,'Dados Mov Financeira'!$B:$B,'DRE 2024'!S$2)</f>
        <v>0</v>
      </c>
      <c r="T54" s="91" t="n">
        <f aca="false">IFERROR(S54/S$5,0)</f>
        <v>0</v>
      </c>
      <c r="U54" s="139" t="n">
        <f aca="false">IFERROR((S54/P54)-1,0)</f>
        <v>0</v>
      </c>
      <c r="V54" s="157" t="n">
        <v>0</v>
      </c>
      <c r="W54" s="91" t="n">
        <f aca="false">IFERROR(V54/V$5,0)</f>
        <v>0</v>
      </c>
      <c r="Y54" s="157" t="n">
        <f aca="false">SUMIFS('Dados Mov Financeira'!$N:$N,'Dados Mov Financeira'!$O:$O,'DRE 2024'!$B54,'Dados Mov Financeira'!$A:$A,'DRE 2024'!Y$1,'Dados Mov Financeira'!$B:$B,'DRE 2024'!Y$2)</f>
        <v>0</v>
      </c>
      <c r="Z54" s="91" t="n">
        <f aca="false">IFERROR(Y54/Y$5,0)</f>
        <v>0</v>
      </c>
      <c r="AA54" s="139" t="n">
        <f aca="false">IFERROR((Y54/V54)-1,0)</f>
        <v>0</v>
      </c>
      <c r="AB54" s="157" t="n">
        <v>0</v>
      </c>
      <c r="AC54" s="91" t="n">
        <f aca="false">IFERROR(AB54/AB$5,0)</f>
        <v>0</v>
      </c>
      <c r="AE54" s="157" t="n">
        <f aca="false">SUMIFS('Dados Mov Financeira'!$N:$N,'Dados Mov Financeira'!$O:$O,'DRE 2024'!$B54,'Dados Mov Financeira'!$A:$A,'DRE 2024'!AE$1,'Dados Mov Financeira'!$B:$B,'DRE 2024'!AE$2)</f>
        <v>0</v>
      </c>
      <c r="AF54" s="91" t="n">
        <f aca="false">IFERROR(AE54/AE$5,0)</f>
        <v>0</v>
      </c>
      <c r="AG54" s="139" t="n">
        <f aca="false">IFERROR((AE54/AB54)-1,0)</f>
        <v>0</v>
      </c>
      <c r="AH54" s="157" t="n">
        <v>0</v>
      </c>
      <c r="AI54" s="91" t="n">
        <f aca="false">IFERROR(AH54/AH$5,0)</f>
        <v>0</v>
      </c>
      <c r="AK54" s="157" t="n">
        <f aca="false">SUMIFS('Dados Mov Financeira'!$N:$N,'Dados Mov Financeira'!$O:$O,'DRE 2024'!$B54,'Dados Mov Financeira'!$A:$A,'DRE 2024'!AK$1,'Dados Mov Financeira'!$B:$B,'DRE 2024'!AK$2)</f>
        <v>0</v>
      </c>
      <c r="AL54" s="91" t="n">
        <f aca="false">IFERROR(AK54/AK$5,0)</f>
        <v>0</v>
      </c>
      <c r="AM54" s="139" t="n">
        <f aca="false">IFERROR((AK54/AH54)-1,0)</f>
        <v>0</v>
      </c>
      <c r="AN54" s="157" t="n">
        <v>0</v>
      </c>
      <c r="AO54" s="91" t="n">
        <f aca="false">IFERROR(AN54/AN$5,0)</f>
        <v>0</v>
      </c>
      <c r="AQ54" s="157" t="n">
        <f aca="false">SUMIFS('Dados Mov Financeira'!$N:$N,'Dados Mov Financeira'!$O:$O,'DRE 2024'!$B54,'Dados Mov Financeira'!$A:$A,'DRE 2024'!AQ$1,'Dados Mov Financeira'!$B:$B,'DRE 2024'!AQ$2)</f>
        <v>0</v>
      </c>
      <c r="AR54" s="91" t="n">
        <f aca="false">IFERROR(AQ54/AQ$5,0)</f>
        <v>0</v>
      </c>
      <c r="AS54" s="139" t="n">
        <f aca="false">IFERROR((AQ54/AN54)-1,0)</f>
        <v>0</v>
      </c>
      <c r="AT54" s="157" t="n">
        <v>0</v>
      </c>
      <c r="AU54" s="91" t="n">
        <f aca="false">IFERROR(AT54/AT$5,0)</f>
        <v>0</v>
      </c>
      <c r="AW54" s="157" t="n">
        <f aca="false">SUMIFS('Dados Mov Financeira'!$N:$N,'Dados Mov Financeira'!$O:$O,'DRE 2024'!$B54,'Dados Mov Financeira'!$A:$A,'DRE 2024'!AW$1,'Dados Mov Financeira'!$B:$B,'DRE 2024'!AW$2)</f>
        <v>0</v>
      </c>
      <c r="AX54" s="91" t="n">
        <f aca="false">IFERROR(AW54/AW$5,0)</f>
        <v>0</v>
      </c>
      <c r="AY54" s="139" t="n">
        <f aca="false">IFERROR((AW54/AT54)-1,0)</f>
        <v>0</v>
      </c>
      <c r="AZ54" s="157" t="n">
        <v>0</v>
      </c>
      <c r="BA54" s="91" t="n">
        <f aca="false">IFERROR(AZ54/AZ$5,0)</f>
        <v>0</v>
      </c>
      <c r="BC54" s="157" t="n">
        <f aca="false">SUMIFS('Dados Mov Financeira'!$N:$N,'Dados Mov Financeira'!$O:$O,'DRE 2024'!$B54,'Dados Mov Financeira'!$A:$A,'DRE 2024'!BC$1,'Dados Mov Financeira'!$B:$B,'DRE 2024'!BC$2)</f>
        <v>0</v>
      </c>
      <c r="BD54" s="91" t="n">
        <f aca="false">IFERROR(BC54/BC$5,0)</f>
        <v>0</v>
      </c>
      <c r="BE54" s="139" t="n">
        <f aca="false">IFERROR((BC54/AZ54)-1,0)</f>
        <v>0</v>
      </c>
      <c r="BF54" s="157" t="n">
        <v>0</v>
      </c>
      <c r="BG54" s="91" t="n">
        <f aca="false">IFERROR(BF54/BF$5,0)</f>
        <v>0</v>
      </c>
      <c r="BI54" s="157" t="n">
        <f aca="false">SUMIFS('Dados Mov Financeira'!$N:$N,'Dados Mov Financeira'!$O:$O,'DRE 2024'!$B54,'Dados Mov Financeira'!$A:$A,'DRE 2024'!BI$1,'Dados Mov Financeira'!$B:$B,'DRE 2024'!BI$2)</f>
        <v>0</v>
      </c>
      <c r="BJ54" s="91" t="n">
        <f aca="false">IFERROR(BI54/BI$5,0)</f>
        <v>0</v>
      </c>
      <c r="BK54" s="139" t="n">
        <f aca="false">IFERROR((BI54/BF54)-1,0)</f>
        <v>0</v>
      </c>
      <c r="BL54" s="157" t="n">
        <v>0</v>
      </c>
      <c r="BM54" s="91" t="n">
        <f aca="false">IFERROR(BL54/BL$5,0)</f>
        <v>0</v>
      </c>
      <c r="BO54" s="157" t="n">
        <f aca="false">SUMIFS('Dados Mov Financeira'!$N:$N,'Dados Mov Financeira'!$O:$O,'DRE 2024'!$B54,'Dados Mov Financeira'!$A:$A,'DRE 2024'!BO$1,'Dados Mov Financeira'!$B:$B,'DRE 2024'!BO$2)</f>
        <v>0</v>
      </c>
      <c r="BP54" s="91" t="n">
        <f aca="false">IFERROR(BO54/BO$5,0)</f>
        <v>0</v>
      </c>
      <c r="BQ54" s="139" t="n">
        <f aca="false">IFERROR((BO54/BL54)-1,0)</f>
        <v>0</v>
      </c>
      <c r="BR54" s="157" t="n">
        <v>0</v>
      </c>
      <c r="BS54" s="91" t="n">
        <f aca="false">IFERROR(BR54/BR$5,0)</f>
        <v>0</v>
      </c>
      <c r="BT54" s="171"/>
      <c r="BU54" s="157" t="n">
        <f aca="false">SUMIFS('Dados Mov Financeira'!$N:$N,'Dados Mov Financeira'!$O:$O,'DRE 2024'!$B54,'Dados Mov Financeira'!$A:$A,'DRE 2024'!BU$1,'Dados Mov Financeira'!$B:$B,'DRE 2024'!BU$2)</f>
        <v>0</v>
      </c>
      <c r="BV54" s="91" t="n">
        <f aca="false">IFERROR(BU54/BU$5,0)</f>
        <v>0</v>
      </c>
      <c r="BW54" s="139" t="n">
        <f aca="false">IFERROR((BU54/BR54)-1,0)</f>
        <v>0</v>
      </c>
      <c r="BX54" s="172" t="n">
        <f aca="false">SUM(D54,J54,P54,V54,AB54,AH54,AN54,AT54,AZ54,BF54,BL54,BR54)</f>
        <v>0</v>
      </c>
      <c r="BY54" s="91" t="n">
        <f aca="false">IFERROR(BX54/BX$5,0)</f>
        <v>0</v>
      </c>
      <c r="CA54" s="172" t="n">
        <f aca="false">SUM(G54,M54,S54,Y54,AE54,AK54,AQ54,AW54,BC54,BI54,BO54,BU54)</f>
        <v>0</v>
      </c>
      <c r="CB54" s="91" t="n">
        <f aca="false">IFERROR(CA54/CA$5,0)</f>
        <v>0</v>
      </c>
      <c r="CC54" s="139" t="n">
        <f aca="false">IFERROR((CA54/BX54)-1,0)</f>
        <v>0</v>
      </c>
      <c r="CE54" s="157" t="n">
        <f aca="false">BX54/$CF$1</f>
        <v>0</v>
      </c>
      <c r="CF54" s="94" t="n">
        <f aca="false">IFERROR(CE54/CE$5,0)</f>
        <v>0</v>
      </c>
      <c r="CH54" s="157" t="n">
        <f aca="false">CA54/$CI$1</f>
        <v>0</v>
      </c>
      <c r="CI54" s="94" t="n">
        <f aca="false">IFERROR(CH54/CH$5,0)</f>
        <v>0</v>
      </c>
    </row>
    <row r="55" customFormat="false" ht="14.25" hidden="false" customHeight="false" outlineLevel="1" collapsed="false">
      <c r="B55" s="169" t="s">
        <v>79</v>
      </c>
      <c r="D55" s="157" t="n">
        <v>0</v>
      </c>
      <c r="E55" s="91" t="n">
        <f aca="false">IFERROR(D55/D$5,0)</f>
        <v>0</v>
      </c>
      <c r="G55" s="157" t="n">
        <f aca="false">SUMIFS('Dados Mov Financeira'!$N:$N,'Dados Mov Financeira'!$O:$O,'DRE 2024'!$B55,'Dados Mov Financeira'!$A:$A,'DRE 2024'!G$1,'Dados Mov Financeira'!$B:$B,'DRE 2024'!G$2)</f>
        <v>0</v>
      </c>
      <c r="H55" s="91" t="n">
        <f aca="false">IFERROR(G55/G$45,0)</f>
        <v>0</v>
      </c>
      <c r="I55" s="138" t="n">
        <f aca="false">IFERROR((G55/D55)-1,0)</f>
        <v>0</v>
      </c>
      <c r="J55" s="157" t="n">
        <v>0</v>
      </c>
      <c r="K55" s="91" t="n">
        <f aca="false">IFERROR(J55/J$5,0)</f>
        <v>0</v>
      </c>
      <c r="M55" s="157" t="n">
        <f aca="false">SUMIFS('Dados Mov Financeira'!$N:$N,'Dados Mov Financeira'!$O:$O,'DRE 2024'!$B55,'Dados Mov Financeira'!$A:$A,'DRE 2024'!M$1,'Dados Mov Financeira'!$B:$B,'DRE 2024'!M$2)</f>
        <v>0</v>
      </c>
      <c r="N55" s="91" t="n">
        <f aca="false">IFERROR(M55/M$5,0)</f>
        <v>0</v>
      </c>
      <c r="O55" s="139" t="n">
        <f aca="false">IFERROR((M55/J55)-1,0)</f>
        <v>0</v>
      </c>
      <c r="P55" s="157" t="n">
        <v>0</v>
      </c>
      <c r="Q55" s="91" t="n">
        <f aca="false">IFERROR(P55/P$5,0)</f>
        <v>0</v>
      </c>
      <c r="S55" s="157" t="n">
        <f aca="false">SUMIFS('Dados Mov Financeira'!$N:$N,'Dados Mov Financeira'!$O:$O,'DRE 2024'!$B55,'Dados Mov Financeira'!$A:$A,'DRE 2024'!S$1,'Dados Mov Financeira'!$B:$B,'DRE 2024'!S$2)</f>
        <v>0</v>
      </c>
      <c r="T55" s="91" t="n">
        <f aca="false">IFERROR(S55/S$5,0)</f>
        <v>0</v>
      </c>
      <c r="U55" s="139" t="n">
        <f aca="false">IFERROR((S55/P55)-1,0)</f>
        <v>0</v>
      </c>
      <c r="V55" s="157" t="n">
        <v>0</v>
      </c>
      <c r="W55" s="91" t="n">
        <f aca="false">IFERROR(V55/V$5,0)</f>
        <v>0</v>
      </c>
      <c r="Y55" s="157" t="n">
        <f aca="false">SUMIFS('Dados Mov Financeira'!$N:$N,'Dados Mov Financeira'!$O:$O,'DRE 2024'!$B55,'Dados Mov Financeira'!$A:$A,'DRE 2024'!Y$1,'Dados Mov Financeira'!$B:$B,'DRE 2024'!Y$2)</f>
        <v>0</v>
      </c>
      <c r="Z55" s="91" t="n">
        <f aca="false">IFERROR(Y55/Y$5,0)</f>
        <v>0</v>
      </c>
      <c r="AA55" s="139" t="n">
        <f aca="false">IFERROR((Y55/V55)-1,0)</f>
        <v>0</v>
      </c>
      <c r="AB55" s="157" t="n">
        <v>0</v>
      </c>
      <c r="AC55" s="91" t="n">
        <f aca="false">IFERROR(AB55/AB$5,0)</f>
        <v>0</v>
      </c>
      <c r="AE55" s="157" t="n">
        <f aca="false">SUMIFS('Dados Mov Financeira'!$N:$N,'Dados Mov Financeira'!$O:$O,'DRE 2024'!$B55,'Dados Mov Financeira'!$A:$A,'DRE 2024'!AE$1,'Dados Mov Financeira'!$B:$B,'DRE 2024'!AE$2)</f>
        <v>0</v>
      </c>
      <c r="AF55" s="91" t="n">
        <f aca="false">IFERROR(AE55/AE$5,0)</f>
        <v>0</v>
      </c>
      <c r="AG55" s="139" t="n">
        <f aca="false">IFERROR((AE55/AB55)-1,0)</f>
        <v>0</v>
      </c>
      <c r="AH55" s="157" t="n">
        <v>0</v>
      </c>
      <c r="AI55" s="91" t="n">
        <f aca="false">IFERROR(AH55/AH$5,0)</f>
        <v>0</v>
      </c>
      <c r="AK55" s="157" t="n">
        <f aca="false">SUMIFS('Dados Mov Financeira'!$N:$N,'Dados Mov Financeira'!$O:$O,'DRE 2024'!$B55,'Dados Mov Financeira'!$A:$A,'DRE 2024'!AK$1,'Dados Mov Financeira'!$B:$B,'DRE 2024'!AK$2)</f>
        <v>0</v>
      </c>
      <c r="AL55" s="91" t="n">
        <f aca="false">IFERROR(AK55/AK$5,0)</f>
        <v>0</v>
      </c>
      <c r="AM55" s="139" t="n">
        <f aca="false">IFERROR((AK55/AH55)-1,0)</f>
        <v>0</v>
      </c>
      <c r="AN55" s="157" t="n">
        <v>0</v>
      </c>
      <c r="AO55" s="91" t="n">
        <f aca="false">IFERROR(AN55/AN$5,0)</f>
        <v>0</v>
      </c>
      <c r="AQ55" s="157" t="n">
        <f aca="false">SUMIFS('Dados Mov Financeira'!$N:$N,'Dados Mov Financeira'!$O:$O,'DRE 2024'!$B55,'Dados Mov Financeira'!$A:$A,'DRE 2024'!AQ$1,'Dados Mov Financeira'!$B:$B,'DRE 2024'!AQ$2)</f>
        <v>0</v>
      </c>
      <c r="AR55" s="91" t="n">
        <f aca="false">IFERROR(AQ55/AQ$5,0)</f>
        <v>0</v>
      </c>
      <c r="AS55" s="139" t="n">
        <f aca="false">IFERROR((AQ55/AN55)-1,0)</f>
        <v>0</v>
      </c>
      <c r="AT55" s="157" t="n">
        <v>0</v>
      </c>
      <c r="AU55" s="91" t="n">
        <f aca="false">IFERROR(AT55/AT$5,0)</f>
        <v>0</v>
      </c>
      <c r="AW55" s="157" t="n">
        <f aca="false">SUMIFS('Dados Mov Financeira'!$N:$N,'Dados Mov Financeira'!$O:$O,'DRE 2024'!$B55,'Dados Mov Financeira'!$A:$A,'DRE 2024'!AW$1,'Dados Mov Financeira'!$B:$B,'DRE 2024'!AW$2)</f>
        <v>0</v>
      </c>
      <c r="AX55" s="91" t="n">
        <f aca="false">IFERROR(AW55/AW$5,0)</f>
        <v>0</v>
      </c>
      <c r="AY55" s="139" t="n">
        <f aca="false">IFERROR((AW55/AT55)-1,0)</f>
        <v>0</v>
      </c>
      <c r="AZ55" s="157" t="n">
        <v>0</v>
      </c>
      <c r="BA55" s="91" t="n">
        <f aca="false">IFERROR(AZ55/AZ$5,0)</f>
        <v>0</v>
      </c>
      <c r="BC55" s="157" t="n">
        <f aca="false">SUMIFS('Dados Mov Financeira'!$N:$N,'Dados Mov Financeira'!$O:$O,'DRE 2024'!$B55,'Dados Mov Financeira'!$A:$A,'DRE 2024'!BC$1,'Dados Mov Financeira'!$B:$B,'DRE 2024'!BC$2)</f>
        <v>0</v>
      </c>
      <c r="BD55" s="91" t="n">
        <f aca="false">IFERROR(BC55/BC$5,0)</f>
        <v>0</v>
      </c>
      <c r="BE55" s="139" t="n">
        <f aca="false">IFERROR((BC55/AZ55)-1,0)</f>
        <v>0</v>
      </c>
      <c r="BF55" s="157" t="n">
        <v>0</v>
      </c>
      <c r="BG55" s="91" t="n">
        <f aca="false">IFERROR(BF55/BF$5,0)</f>
        <v>0</v>
      </c>
      <c r="BI55" s="157" t="n">
        <f aca="false">SUMIFS('Dados Mov Financeira'!$N:$N,'Dados Mov Financeira'!$O:$O,'DRE 2024'!$B55,'Dados Mov Financeira'!$A:$A,'DRE 2024'!BI$1,'Dados Mov Financeira'!$B:$B,'DRE 2024'!BI$2)</f>
        <v>0</v>
      </c>
      <c r="BJ55" s="91" t="n">
        <f aca="false">IFERROR(BI55/BI$5,0)</f>
        <v>0</v>
      </c>
      <c r="BK55" s="139" t="n">
        <f aca="false">IFERROR((BI55/BF55)-1,0)</f>
        <v>0</v>
      </c>
      <c r="BL55" s="157" t="n">
        <v>0</v>
      </c>
      <c r="BM55" s="91" t="n">
        <f aca="false">IFERROR(BL55/BL$5,0)</f>
        <v>0</v>
      </c>
      <c r="BO55" s="157" t="n">
        <f aca="false">SUMIFS('Dados Mov Financeira'!$N:$N,'Dados Mov Financeira'!$O:$O,'DRE 2024'!$B55,'Dados Mov Financeira'!$A:$A,'DRE 2024'!BO$1,'Dados Mov Financeira'!$B:$B,'DRE 2024'!BO$2)</f>
        <v>0</v>
      </c>
      <c r="BP55" s="91" t="n">
        <f aca="false">IFERROR(BO55/BO$5,0)</f>
        <v>0</v>
      </c>
      <c r="BQ55" s="139" t="n">
        <f aca="false">IFERROR((BO55/BL55)-1,0)</f>
        <v>0</v>
      </c>
      <c r="BR55" s="157" t="n">
        <v>0</v>
      </c>
      <c r="BS55" s="91" t="n">
        <f aca="false">IFERROR(BR55/BR$5,0)</f>
        <v>0</v>
      </c>
      <c r="BT55" s="171"/>
      <c r="BU55" s="157" t="n">
        <f aca="false">SUMIFS('Dados Mov Financeira'!$N:$N,'Dados Mov Financeira'!$O:$O,'DRE 2024'!$B55,'Dados Mov Financeira'!$A:$A,'DRE 2024'!BU$1,'Dados Mov Financeira'!$B:$B,'DRE 2024'!BU$2)</f>
        <v>0</v>
      </c>
      <c r="BV55" s="91" t="n">
        <f aca="false">IFERROR(BU55/BU$5,0)</f>
        <v>0</v>
      </c>
      <c r="BW55" s="139" t="n">
        <f aca="false">IFERROR((BU55/BR55)-1,0)</f>
        <v>0</v>
      </c>
      <c r="BX55" s="172" t="n">
        <f aca="false">SUM(D55,J55,P55,V55,AB55,AH55,AN55,AT55,AZ55,BF55,BL55,BR55)</f>
        <v>0</v>
      </c>
      <c r="BY55" s="91" t="n">
        <f aca="false">IFERROR(BX55/BX$5,0)</f>
        <v>0</v>
      </c>
      <c r="CA55" s="172" t="n">
        <f aca="false">SUM(G55,M55,S55,Y55,AE55,AK55,AQ55,AW55,BC55,BI55,BO55,BU55)</f>
        <v>0</v>
      </c>
      <c r="CB55" s="91" t="n">
        <f aca="false">IFERROR(CA55/CA$5,0)</f>
        <v>0</v>
      </c>
      <c r="CC55" s="139" t="n">
        <f aca="false">IFERROR((CA55/BX55)-1,0)</f>
        <v>0</v>
      </c>
      <c r="CE55" s="157" t="n">
        <f aca="false">BX55/$CF$1</f>
        <v>0</v>
      </c>
      <c r="CF55" s="94" t="n">
        <f aca="false">IFERROR(CE55/CE$5,0)</f>
        <v>0</v>
      </c>
      <c r="CH55" s="157" t="n">
        <f aca="false">CA55/$CI$1</f>
        <v>0</v>
      </c>
      <c r="CI55" s="94" t="n">
        <f aca="false">IFERROR(CH55/CH$5,0)</f>
        <v>0</v>
      </c>
    </row>
    <row r="56" customFormat="false" ht="15.75" hidden="false" customHeight="true" outlineLevel="1" collapsed="false">
      <c r="B56" s="169" t="s">
        <v>80</v>
      </c>
      <c r="D56" s="157" t="n">
        <v>-295</v>
      </c>
      <c r="E56" s="91" t="n">
        <f aca="false">IFERROR(D56/D$5,0)</f>
        <v>-0.0036875</v>
      </c>
      <c r="G56" s="157" t="n">
        <f aca="false">SUMIFS('Dados Mov Financeira'!$N:$N,'Dados Mov Financeira'!$O:$O,'DRE 2024'!$B56,'Dados Mov Financeira'!$A:$A,'DRE 2024'!G$1,'Dados Mov Financeira'!$B:$B,'DRE 2024'!G$2)</f>
        <v>0</v>
      </c>
      <c r="H56" s="91" t="n">
        <f aca="false">IFERROR(G56/G$45,0)</f>
        <v>0</v>
      </c>
      <c r="I56" s="138" t="n">
        <f aca="false">IFERROR((G56/D56)-1,0)</f>
        <v>-1</v>
      </c>
      <c r="J56" s="157" t="n">
        <v>-295</v>
      </c>
      <c r="K56" s="91" t="n">
        <f aca="false">IFERROR(J56/J$5,0)</f>
        <v>-0.00347058823529412</v>
      </c>
      <c r="M56" s="157" t="n">
        <f aca="false">SUMIFS('Dados Mov Financeira'!$N:$N,'Dados Mov Financeira'!$O:$O,'DRE 2024'!$B56,'Dados Mov Financeira'!$A:$A,'DRE 2024'!M$1,'Dados Mov Financeira'!$B:$B,'DRE 2024'!M$2)</f>
        <v>0</v>
      </c>
      <c r="N56" s="91" t="n">
        <f aca="false">IFERROR(M56/M$5,0)</f>
        <v>0</v>
      </c>
      <c r="O56" s="139" t="n">
        <f aca="false">IFERROR((M56/J56)-1,0)</f>
        <v>-1</v>
      </c>
      <c r="P56" s="157" t="n">
        <v>-295</v>
      </c>
      <c r="Q56" s="91" t="n">
        <f aca="false">IFERROR(P56/P$5,0)</f>
        <v>-0.00327777777777778</v>
      </c>
      <c r="S56" s="157" t="n">
        <f aca="false">SUMIFS('Dados Mov Financeira'!$N:$N,'Dados Mov Financeira'!$O:$O,'DRE 2024'!$B56,'Dados Mov Financeira'!$A:$A,'DRE 2024'!S$1,'Dados Mov Financeira'!$B:$B,'DRE 2024'!S$2)</f>
        <v>0</v>
      </c>
      <c r="T56" s="91" t="n">
        <f aca="false">IFERROR(S56/S$5,0)</f>
        <v>0</v>
      </c>
      <c r="U56" s="139" t="n">
        <f aca="false">IFERROR((S56/P56)-1,0)</f>
        <v>-1</v>
      </c>
      <c r="V56" s="157" t="n">
        <v>-295</v>
      </c>
      <c r="W56" s="91" t="n">
        <f aca="false">IFERROR(V56/V$5,0)</f>
        <v>-0.00295</v>
      </c>
      <c r="Y56" s="157" t="n">
        <f aca="false">SUMIFS('Dados Mov Financeira'!$N:$N,'Dados Mov Financeira'!$O:$O,'DRE 2024'!$B56,'Dados Mov Financeira'!$A:$A,'DRE 2024'!Y$1,'Dados Mov Financeira'!$B:$B,'DRE 2024'!Y$2)</f>
        <v>0</v>
      </c>
      <c r="Z56" s="91" t="n">
        <f aca="false">IFERROR(Y56/Y$5,0)</f>
        <v>0</v>
      </c>
      <c r="AA56" s="139" t="n">
        <f aca="false">IFERROR((Y56/V56)-1,0)</f>
        <v>-1</v>
      </c>
      <c r="AB56" s="157" t="n">
        <v>-295</v>
      </c>
      <c r="AC56" s="91" t="n">
        <f aca="false">IFERROR(AB56/AB$5,0)</f>
        <v>-0.00268181818181818</v>
      </c>
      <c r="AE56" s="157" t="n">
        <f aca="false">SUMIFS('Dados Mov Financeira'!$N:$N,'Dados Mov Financeira'!$O:$O,'DRE 2024'!$B56,'Dados Mov Financeira'!$A:$A,'DRE 2024'!AE$1,'Dados Mov Financeira'!$B:$B,'DRE 2024'!AE$2)</f>
        <v>0</v>
      </c>
      <c r="AF56" s="91" t="n">
        <f aca="false">IFERROR(AE56/AE$5,0)</f>
        <v>0</v>
      </c>
      <c r="AG56" s="139" t="n">
        <f aca="false">IFERROR((AE56/AB56)-1,0)</f>
        <v>-1</v>
      </c>
      <c r="AH56" s="157" t="n">
        <v>-295</v>
      </c>
      <c r="AI56" s="91" t="n">
        <f aca="false">IFERROR(AH56/AH$5,0)</f>
        <v>-0.00245833333333333</v>
      </c>
      <c r="AK56" s="157" t="n">
        <f aca="false">SUMIFS('Dados Mov Financeira'!$N:$N,'Dados Mov Financeira'!$O:$O,'DRE 2024'!$B56,'Dados Mov Financeira'!$A:$A,'DRE 2024'!AK$1,'Dados Mov Financeira'!$B:$B,'DRE 2024'!AK$2)</f>
        <v>0</v>
      </c>
      <c r="AL56" s="91" t="n">
        <f aca="false">IFERROR(AK56/AK$5,0)</f>
        <v>0</v>
      </c>
      <c r="AM56" s="139" t="n">
        <f aca="false">IFERROR((AK56/AH56)-1,0)</f>
        <v>-1</v>
      </c>
      <c r="AN56" s="157" t="n">
        <v>-295</v>
      </c>
      <c r="AO56" s="91" t="n">
        <f aca="false">IFERROR(AN56/AN$5,0)</f>
        <v>-0.00226923076923077</v>
      </c>
      <c r="AQ56" s="157" t="n">
        <f aca="false">SUMIFS('Dados Mov Financeira'!$N:$N,'Dados Mov Financeira'!$O:$O,'DRE 2024'!$B56,'Dados Mov Financeira'!$A:$A,'DRE 2024'!AQ$1,'Dados Mov Financeira'!$B:$B,'DRE 2024'!AQ$2)</f>
        <v>0</v>
      </c>
      <c r="AR56" s="91" t="n">
        <f aca="false">IFERROR(AQ56/AQ$5,0)</f>
        <v>0</v>
      </c>
      <c r="AS56" s="139" t="n">
        <f aca="false">IFERROR((AQ56/AN56)-1,0)</f>
        <v>-1</v>
      </c>
      <c r="AT56" s="157" t="n">
        <v>-295</v>
      </c>
      <c r="AU56" s="91" t="n">
        <f aca="false">IFERROR(AT56/AT$5,0)</f>
        <v>-0.00210714285714286</v>
      </c>
      <c r="AW56" s="157" t="n">
        <f aca="false">SUMIFS('Dados Mov Financeira'!$N:$N,'Dados Mov Financeira'!$O:$O,'DRE 2024'!$B56,'Dados Mov Financeira'!$A:$A,'DRE 2024'!AW$1,'Dados Mov Financeira'!$B:$B,'DRE 2024'!AW$2)</f>
        <v>0</v>
      </c>
      <c r="AX56" s="91" t="n">
        <f aca="false">IFERROR(AW56/AW$5,0)</f>
        <v>0</v>
      </c>
      <c r="AY56" s="139" t="n">
        <f aca="false">IFERROR((AW56/AT56)-1,0)</f>
        <v>-1</v>
      </c>
      <c r="AZ56" s="157" t="n">
        <v>-295</v>
      </c>
      <c r="BA56" s="91" t="n">
        <f aca="false">IFERROR(AZ56/AZ$5,0)</f>
        <v>-0.00196666666666667</v>
      </c>
      <c r="BC56" s="157" t="n">
        <f aca="false">SUMIFS('Dados Mov Financeira'!$N:$N,'Dados Mov Financeira'!$O:$O,'DRE 2024'!$B56,'Dados Mov Financeira'!$A:$A,'DRE 2024'!BC$1,'Dados Mov Financeira'!$B:$B,'DRE 2024'!BC$2)</f>
        <v>0</v>
      </c>
      <c r="BD56" s="91" t="n">
        <f aca="false">IFERROR(BC56/BC$5,0)</f>
        <v>0</v>
      </c>
      <c r="BE56" s="139" t="n">
        <f aca="false">IFERROR((BC56/AZ56)-1,0)</f>
        <v>-1</v>
      </c>
      <c r="BF56" s="157" t="n">
        <v>-295</v>
      </c>
      <c r="BG56" s="91" t="n">
        <f aca="false">IFERROR(BF56/BF$5,0)</f>
        <v>-0.00196666666666667</v>
      </c>
      <c r="BI56" s="157" t="n">
        <f aca="false">SUMIFS('Dados Mov Financeira'!$N:$N,'Dados Mov Financeira'!$O:$O,'DRE 2024'!$B56,'Dados Mov Financeira'!$A:$A,'DRE 2024'!BI$1,'Dados Mov Financeira'!$B:$B,'DRE 2024'!BI$2)</f>
        <v>0</v>
      </c>
      <c r="BJ56" s="91" t="n">
        <f aca="false">IFERROR(BI56/BI$5,0)</f>
        <v>0</v>
      </c>
      <c r="BK56" s="139" t="n">
        <f aca="false">IFERROR((BI56/BF56)-1,0)</f>
        <v>-1</v>
      </c>
      <c r="BL56" s="157" t="n">
        <v>-295</v>
      </c>
      <c r="BM56" s="91" t="n">
        <f aca="false">IFERROR(BL56/BL$5,0)</f>
        <v>-0.00196666666666667</v>
      </c>
      <c r="BO56" s="157" t="n">
        <f aca="false">SUMIFS('Dados Mov Financeira'!$N:$N,'Dados Mov Financeira'!$O:$O,'DRE 2024'!$B56,'Dados Mov Financeira'!$A:$A,'DRE 2024'!BO$1,'Dados Mov Financeira'!$B:$B,'DRE 2024'!BO$2)</f>
        <v>0</v>
      </c>
      <c r="BP56" s="91" t="n">
        <f aca="false">IFERROR(BO56/BO$5,0)</f>
        <v>0</v>
      </c>
      <c r="BQ56" s="139" t="n">
        <f aca="false">IFERROR((BO56/BL56)-1,0)</f>
        <v>-1</v>
      </c>
      <c r="BR56" s="157" t="n">
        <v>-295</v>
      </c>
      <c r="BS56" s="91" t="n">
        <f aca="false">IFERROR(BR56/BR$5,0)</f>
        <v>-0.00196666666666667</v>
      </c>
      <c r="BT56" s="171"/>
      <c r="BU56" s="157" t="n">
        <f aca="false">SUMIFS('Dados Mov Financeira'!$N:$N,'Dados Mov Financeira'!$O:$O,'DRE 2024'!$B56,'Dados Mov Financeira'!$A:$A,'DRE 2024'!BU$1,'Dados Mov Financeira'!$B:$B,'DRE 2024'!BU$2)</f>
        <v>0</v>
      </c>
      <c r="BV56" s="91" t="n">
        <f aca="false">IFERROR(BU56/BU$5,0)</f>
        <v>0</v>
      </c>
      <c r="BW56" s="139" t="n">
        <f aca="false">IFERROR((BU56/BR56)-1,0)</f>
        <v>-1</v>
      </c>
      <c r="BX56" s="172" t="n">
        <f aca="false">SUM(D56,J56,P56,V56,AB56,AH56,AN56,AT56,AZ56,BF56,BL56,BR56)</f>
        <v>-3540</v>
      </c>
      <c r="BY56" s="91" t="n">
        <f aca="false">IFERROR(BX56/BX$5,0)</f>
        <v>-0.00243298969072165</v>
      </c>
      <c r="CA56" s="172" t="n">
        <f aca="false">SUM(G56,M56,S56,Y56,AE56,AK56,AQ56,AW56,BC56,BI56,BO56,BU56)</f>
        <v>0</v>
      </c>
      <c r="CB56" s="91" t="n">
        <f aca="false">IFERROR(CA56/CA$5,0)</f>
        <v>0</v>
      </c>
      <c r="CC56" s="139" t="n">
        <f aca="false">IFERROR((CA56/BX56)-1,0)</f>
        <v>-1</v>
      </c>
      <c r="CE56" s="157" t="n">
        <f aca="false">BX56/$CF$1</f>
        <v>-295</v>
      </c>
      <c r="CF56" s="94" t="n">
        <f aca="false">IFERROR(CE56/CE$5,0)</f>
        <v>-0.00243298969072165</v>
      </c>
      <c r="CH56" s="157" t="n">
        <f aca="false">CA56/$CI$1</f>
        <v>0</v>
      </c>
      <c r="CI56" s="94" t="n">
        <f aca="false">IFERROR(CH56/CH$5,0)</f>
        <v>0</v>
      </c>
    </row>
    <row r="57" customFormat="false" ht="15.75" hidden="false" customHeight="true" outlineLevel="1" collapsed="false">
      <c r="B57" s="169" t="s">
        <v>82</v>
      </c>
      <c r="D57" s="157" t="n">
        <v>0</v>
      </c>
      <c r="E57" s="91" t="n">
        <f aca="false">IFERROR(D57/D$5,0)</f>
        <v>0</v>
      </c>
      <c r="G57" s="157" t="n">
        <f aca="false">SUMIFS('Dados Mov Financeira'!$N:$N,'Dados Mov Financeira'!$O:$O,'DRE 2024'!$B57,'Dados Mov Financeira'!$A:$A,'DRE 2024'!G$1,'Dados Mov Financeira'!$B:$B,'DRE 2024'!G$2)</f>
        <v>0</v>
      </c>
      <c r="H57" s="91" t="n">
        <f aca="false">IFERROR(G57/G$45,0)</f>
        <v>0</v>
      </c>
      <c r="I57" s="138" t="n">
        <f aca="false">IFERROR((G57/D57)-1,0)</f>
        <v>0</v>
      </c>
      <c r="J57" s="157" t="n">
        <v>0</v>
      </c>
      <c r="K57" s="91" t="n">
        <f aca="false">IFERROR(J57/J$5,0)</f>
        <v>0</v>
      </c>
      <c r="M57" s="157" t="n">
        <f aca="false">SUMIFS('Dados Mov Financeira'!$N:$N,'Dados Mov Financeira'!$O:$O,'DRE 2024'!$B57,'Dados Mov Financeira'!$A:$A,'DRE 2024'!M$1,'Dados Mov Financeira'!$B:$B,'DRE 2024'!M$2)</f>
        <v>0</v>
      </c>
      <c r="N57" s="91" t="n">
        <f aca="false">IFERROR(M57/M$5,0)</f>
        <v>0</v>
      </c>
      <c r="O57" s="139" t="n">
        <f aca="false">IFERROR((M57/J57)-1,0)</f>
        <v>0</v>
      </c>
      <c r="P57" s="157" t="n">
        <v>0</v>
      </c>
      <c r="Q57" s="91" t="n">
        <f aca="false">IFERROR(P57/P$5,0)</f>
        <v>0</v>
      </c>
      <c r="S57" s="157" t="n">
        <f aca="false">SUMIFS('Dados Mov Financeira'!$N:$N,'Dados Mov Financeira'!$O:$O,'DRE 2024'!$B57,'Dados Mov Financeira'!$A:$A,'DRE 2024'!S$1,'Dados Mov Financeira'!$B:$B,'DRE 2024'!S$2)</f>
        <v>0</v>
      </c>
      <c r="T57" s="91" t="n">
        <f aca="false">IFERROR(S57/S$5,0)</f>
        <v>0</v>
      </c>
      <c r="U57" s="139" t="n">
        <f aca="false">IFERROR((S57/P57)-1,0)</f>
        <v>0</v>
      </c>
      <c r="V57" s="157" t="n">
        <v>0</v>
      </c>
      <c r="W57" s="91" t="n">
        <f aca="false">IFERROR(V57/V$5,0)</f>
        <v>0</v>
      </c>
      <c r="Y57" s="157" t="n">
        <f aca="false">SUMIFS('Dados Mov Financeira'!$N:$N,'Dados Mov Financeira'!$O:$O,'DRE 2024'!$B57,'Dados Mov Financeira'!$A:$A,'DRE 2024'!Y$1,'Dados Mov Financeira'!$B:$B,'DRE 2024'!Y$2)</f>
        <v>0</v>
      </c>
      <c r="Z57" s="91" t="n">
        <f aca="false">IFERROR(Y57/Y$5,0)</f>
        <v>0</v>
      </c>
      <c r="AA57" s="139" t="n">
        <f aca="false">IFERROR((Y57/V57)-1,0)</f>
        <v>0</v>
      </c>
      <c r="AB57" s="157" t="n">
        <v>0</v>
      </c>
      <c r="AC57" s="91" t="n">
        <f aca="false">IFERROR(AB57/AB$5,0)</f>
        <v>0</v>
      </c>
      <c r="AE57" s="157" t="n">
        <f aca="false">SUMIFS('Dados Mov Financeira'!$N:$N,'Dados Mov Financeira'!$O:$O,'DRE 2024'!$B57,'Dados Mov Financeira'!$A:$A,'DRE 2024'!AE$1,'Dados Mov Financeira'!$B:$B,'DRE 2024'!AE$2)</f>
        <v>0</v>
      </c>
      <c r="AF57" s="91" t="n">
        <f aca="false">IFERROR(AE57/AE$5,0)</f>
        <v>0</v>
      </c>
      <c r="AG57" s="139" t="n">
        <f aca="false">IFERROR((AE57/AB57)-1,0)</f>
        <v>0</v>
      </c>
      <c r="AH57" s="157" t="n">
        <v>0</v>
      </c>
      <c r="AI57" s="91" t="n">
        <f aca="false">IFERROR(AH57/AH$5,0)</f>
        <v>0</v>
      </c>
      <c r="AK57" s="157" t="n">
        <f aca="false">SUMIFS('Dados Mov Financeira'!$N:$N,'Dados Mov Financeira'!$O:$O,'DRE 2024'!$B57,'Dados Mov Financeira'!$A:$A,'DRE 2024'!AK$1,'Dados Mov Financeira'!$B:$B,'DRE 2024'!AK$2)</f>
        <v>0</v>
      </c>
      <c r="AL57" s="91" t="n">
        <f aca="false">IFERROR(AK57/AK$5,0)</f>
        <v>0</v>
      </c>
      <c r="AM57" s="139" t="n">
        <f aca="false">IFERROR((AK57/AH57)-1,0)</f>
        <v>0</v>
      </c>
      <c r="AN57" s="157" t="n">
        <v>0</v>
      </c>
      <c r="AO57" s="91" t="n">
        <f aca="false">IFERROR(AN57/AN$5,0)</f>
        <v>0</v>
      </c>
      <c r="AQ57" s="157" t="n">
        <f aca="false">SUMIFS('Dados Mov Financeira'!$N:$N,'Dados Mov Financeira'!$O:$O,'DRE 2024'!$B57,'Dados Mov Financeira'!$A:$A,'DRE 2024'!AQ$1,'Dados Mov Financeira'!$B:$B,'DRE 2024'!AQ$2)</f>
        <v>0</v>
      </c>
      <c r="AR57" s="91" t="n">
        <f aca="false">IFERROR(AQ57/AQ$5,0)</f>
        <v>0</v>
      </c>
      <c r="AS57" s="139" t="n">
        <f aca="false">IFERROR((AQ57/AN57)-1,0)</f>
        <v>0</v>
      </c>
      <c r="AT57" s="157" t="n">
        <v>0</v>
      </c>
      <c r="AU57" s="91" t="n">
        <f aca="false">IFERROR(AT57/AT$5,0)</f>
        <v>0</v>
      </c>
      <c r="AW57" s="157" t="n">
        <f aca="false">SUMIFS('Dados Mov Financeira'!$N:$N,'Dados Mov Financeira'!$O:$O,'DRE 2024'!$B57,'Dados Mov Financeira'!$A:$A,'DRE 2024'!AW$1,'Dados Mov Financeira'!$B:$B,'DRE 2024'!AW$2)</f>
        <v>0</v>
      </c>
      <c r="AX57" s="91" t="n">
        <f aca="false">IFERROR(AW57/AW$5,0)</f>
        <v>0</v>
      </c>
      <c r="AY57" s="139" t="n">
        <f aca="false">IFERROR((AW57/AT57)-1,0)</f>
        <v>0</v>
      </c>
      <c r="AZ57" s="157" t="n">
        <v>0</v>
      </c>
      <c r="BA57" s="91" t="n">
        <f aca="false">IFERROR(AZ57/AZ$5,0)</f>
        <v>0</v>
      </c>
      <c r="BC57" s="157" t="n">
        <f aca="false">SUMIFS('Dados Mov Financeira'!$N:$N,'Dados Mov Financeira'!$O:$O,'DRE 2024'!$B57,'Dados Mov Financeira'!$A:$A,'DRE 2024'!BC$1,'Dados Mov Financeira'!$B:$B,'DRE 2024'!BC$2)</f>
        <v>0</v>
      </c>
      <c r="BD57" s="91" t="n">
        <f aca="false">IFERROR(BC57/BC$5,0)</f>
        <v>0</v>
      </c>
      <c r="BE57" s="139" t="n">
        <f aca="false">IFERROR((BC57/AZ57)-1,0)</f>
        <v>0</v>
      </c>
      <c r="BF57" s="157" t="n">
        <v>0</v>
      </c>
      <c r="BG57" s="91" t="n">
        <f aca="false">IFERROR(BF57/BF$5,0)</f>
        <v>0</v>
      </c>
      <c r="BI57" s="157" t="n">
        <f aca="false">SUMIFS('Dados Mov Financeira'!$N:$N,'Dados Mov Financeira'!$O:$O,'DRE 2024'!$B57,'Dados Mov Financeira'!$A:$A,'DRE 2024'!BI$1,'Dados Mov Financeira'!$B:$B,'DRE 2024'!BI$2)</f>
        <v>0</v>
      </c>
      <c r="BJ57" s="91" t="n">
        <f aca="false">IFERROR(BI57/BI$5,0)</f>
        <v>0</v>
      </c>
      <c r="BK57" s="139" t="n">
        <f aca="false">IFERROR((BI57/BF57)-1,0)</f>
        <v>0</v>
      </c>
      <c r="BL57" s="157" t="n">
        <v>0</v>
      </c>
      <c r="BM57" s="91" t="n">
        <f aca="false">IFERROR(BL57/BL$5,0)</f>
        <v>0</v>
      </c>
      <c r="BO57" s="157" t="n">
        <f aca="false">SUMIFS('Dados Mov Financeira'!$N:$N,'Dados Mov Financeira'!$O:$O,'DRE 2024'!$B57,'Dados Mov Financeira'!$A:$A,'DRE 2024'!BO$1,'Dados Mov Financeira'!$B:$B,'DRE 2024'!BO$2)</f>
        <v>0</v>
      </c>
      <c r="BP57" s="91" t="n">
        <f aca="false">IFERROR(BO57/BO$5,0)</f>
        <v>0</v>
      </c>
      <c r="BQ57" s="139" t="n">
        <f aca="false">IFERROR((BO57/BL57)-1,0)</f>
        <v>0</v>
      </c>
      <c r="BR57" s="157" t="n">
        <v>0</v>
      </c>
      <c r="BS57" s="91" t="n">
        <f aca="false">IFERROR(BR57/BR$5,0)</f>
        <v>0</v>
      </c>
      <c r="BT57" s="171"/>
      <c r="BU57" s="157" t="n">
        <f aca="false">SUMIFS('Dados Mov Financeira'!$N:$N,'Dados Mov Financeira'!$O:$O,'DRE 2024'!$B57,'Dados Mov Financeira'!$A:$A,'DRE 2024'!BU$1,'Dados Mov Financeira'!$B:$B,'DRE 2024'!BU$2)</f>
        <v>0</v>
      </c>
      <c r="BV57" s="91" t="n">
        <f aca="false">IFERROR(BU57/BU$5,0)</f>
        <v>0</v>
      </c>
      <c r="BW57" s="139" t="n">
        <f aca="false">IFERROR((BU57/BR57)-1,0)</f>
        <v>0</v>
      </c>
      <c r="BX57" s="172" t="n">
        <f aca="false">SUM(D57,J57,P57,V57,AB57,AH57,AN57,AT57,AZ57,BF57,BL57,BR57)</f>
        <v>0</v>
      </c>
      <c r="BY57" s="91" t="n">
        <f aca="false">IFERROR(BX57/BX$5,0)</f>
        <v>0</v>
      </c>
      <c r="CA57" s="172" t="n">
        <f aca="false">SUM(G57,M57,S57,Y57,AE57,AK57,AQ57,AW57,BC57,BI57,BO57,BU57)</f>
        <v>0</v>
      </c>
      <c r="CB57" s="91" t="n">
        <f aca="false">IFERROR(CA57/CA$5,0)</f>
        <v>0</v>
      </c>
      <c r="CC57" s="139" t="n">
        <f aca="false">IFERROR((CA57/BX57)-1,0)</f>
        <v>0</v>
      </c>
      <c r="CE57" s="157" t="n">
        <f aca="false">BX57/$CF$1</f>
        <v>0</v>
      </c>
      <c r="CF57" s="94" t="n">
        <f aca="false">IFERROR(CE57/CE$5,0)</f>
        <v>0</v>
      </c>
      <c r="CH57" s="157" t="n">
        <f aca="false">CA57/$CI$1</f>
        <v>0</v>
      </c>
      <c r="CI57" s="94" t="n">
        <f aca="false">IFERROR(CH57/CH$5,0)</f>
        <v>0</v>
      </c>
    </row>
    <row r="58" customFormat="false" ht="15.75" hidden="false" customHeight="true" outlineLevel="1" collapsed="false">
      <c r="B58" s="169" t="s">
        <v>85</v>
      </c>
      <c r="D58" s="157" t="n">
        <v>0</v>
      </c>
      <c r="E58" s="91" t="n">
        <f aca="false">IFERROR(D58/D$5,0)</f>
        <v>0</v>
      </c>
      <c r="G58" s="157" t="n">
        <f aca="false">SUMIFS('Dados Mov Financeira'!$N:$N,'Dados Mov Financeira'!$O:$O,'DRE 2024'!$B58,'Dados Mov Financeira'!$A:$A,'DRE 2024'!G$1,'Dados Mov Financeira'!$B:$B,'DRE 2024'!G$2)</f>
        <v>0</v>
      </c>
      <c r="H58" s="91" t="n">
        <f aca="false">IFERROR(G58/G$45,0)</f>
        <v>0</v>
      </c>
      <c r="I58" s="138" t="n">
        <f aca="false">IFERROR((G58/D58)-1,0)</f>
        <v>0</v>
      </c>
      <c r="J58" s="157" t="n">
        <v>0</v>
      </c>
      <c r="K58" s="91" t="n">
        <f aca="false">IFERROR(J58/J$5,0)</f>
        <v>0</v>
      </c>
      <c r="M58" s="157" t="n">
        <f aca="false">SUMIFS('Dados Mov Financeira'!$N:$N,'Dados Mov Financeira'!$O:$O,'DRE 2024'!$B58,'Dados Mov Financeira'!$A:$A,'DRE 2024'!M$1,'Dados Mov Financeira'!$B:$B,'DRE 2024'!M$2)</f>
        <v>0</v>
      </c>
      <c r="N58" s="91" t="n">
        <f aca="false">IFERROR(M58/M$5,0)</f>
        <v>0</v>
      </c>
      <c r="O58" s="139" t="n">
        <f aca="false">IFERROR((M58/J58)-1,0)</f>
        <v>0</v>
      </c>
      <c r="P58" s="157" t="n">
        <v>0</v>
      </c>
      <c r="Q58" s="91" t="n">
        <f aca="false">IFERROR(P58/P$5,0)</f>
        <v>0</v>
      </c>
      <c r="S58" s="157" t="n">
        <f aca="false">SUMIFS('Dados Mov Financeira'!$N:$N,'Dados Mov Financeira'!$O:$O,'DRE 2024'!$B58,'Dados Mov Financeira'!$A:$A,'DRE 2024'!S$1,'Dados Mov Financeira'!$B:$B,'DRE 2024'!S$2)</f>
        <v>0</v>
      </c>
      <c r="T58" s="91" t="n">
        <f aca="false">IFERROR(S58/S$5,0)</f>
        <v>0</v>
      </c>
      <c r="U58" s="139" t="n">
        <f aca="false">IFERROR((S58/P58)-1,0)</f>
        <v>0</v>
      </c>
      <c r="V58" s="157" t="n">
        <v>0</v>
      </c>
      <c r="W58" s="91" t="n">
        <f aca="false">IFERROR(V58/V$5,0)</f>
        <v>0</v>
      </c>
      <c r="Y58" s="157" t="n">
        <f aca="false">SUMIFS('Dados Mov Financeira'!$N:$N,'Dados Mov Financeira'!$O:$O,'DRE 2024'!$B58,'Dados Mov Financeira'!$A:$A,'DRE 2024'!Y$1,'Dados Mov Financeira'!$B:$B,'DRE 2024'!Y$2)</f>
        <v>0</v>
      </c>
      <c r="Z58" s="91" t="n">
        <f aca="false">IFERROR(Y58/Y$5,0)</f>
        <v>0</v>
      </c>
      <c r="AA58" s="139" t="n">
        <f aca="false">IFERROR((Y58/V58)-1,0)</f>
        <v>0</v>
      </c>
      <c r="AB58" s="157" t="n">
        <v>0</v>
      </c>
      <c r="AC58" s="91" t="n">
        <f aca="false">IFERROR(AB58/AB$5,0)</f>
        <v>0</v>
      </c>
      <c r="AE58" s="157" t="n">
        <f aca="false">SUMIFS('Dados Mov Financeira'!$N:$N,'Dados Mov Financeira'!$O:$O,'DRE 2024'!$B58,'Dados Mov Financeira'!$A:$A,'DRE 2024'!AE$1,'Dados Mov Financeira'!$B:$B,'DRE 2024'!AE$2)</f>
        <v>0</v>
      </c>
      <c r="AF58" s="91" t="n">
        <f aca="false">IFERROR(AE58/AE$5,0)</f>
        <v>0</v>
      </c>
      <c r="AG58" s="139" t="n">
        <f aca="false">IFERROR((AE58/AB58)-1,0)</f>
        <v>0</v>
      </c>
      <c r="AH58" s="157" t="n">
        <v>0</v>
      </c>
      <c r="AI58" s="91" t="n">
        <f aca="false">IFERROR(AH58/AH$5,0)</f>
        <v>0</v>
      </c>
      <c r="AK58" s="157" t="n">
        <f aca="false">SUMIFS('Dados Mov Financeira'!$N:$N,'Dados Mov Financeira'!$O:$O,'DRE 2024'!$B58,'Dados Mov Financeira'!$A:$A,'DRE 2024'!AK$1,'Dados Mov Financeira'!$B:$B,'DRE 2024'!AK$2)</f>
        <v>0</v>
      </c>
      <c r="AL58" s="91" t="n">
        <f aca="false">IFERROR(AK58/AK$5,0)</f>
        <v>0</v>
      </c>
      <c r="AM58" s="139" t="n">
        <f aca="false">IFERROR((AK58/AH58)-1,0)</f>
        <v>0</v>
      </c>
      <c r="AN58" s="157" t="n">
        <v>0</v>
      </c>
      <c r="AO58" s="91" t="n">
        <f aca="false">IFERROR(AN58/AN$5,0)</f>
        <v>0</v>
      </c>
      <c r="AQ58" s="157" t="n">
        <f aca="false">SUMIFS('Dados Mov Financeira'!$N:$N,'Dados Mov Financeira'!$O:$O,'DRE 2024'!$B58,'Dados Mov Financeira'!$A:$A,'DRE 2024'!AQ$1,'Dados Mov Financeira'!$B:$B,'DRE 2024'!AQ$2)</f>
        <v>0</v>
      </c>
      <c r="AR58" s="91" t="n">
        <f aca="false">IFERROR(AQ58/AQ$5,0)</f>
        <v>0</v>
      </c>
      <c r="AS58" s="139" t="n">
        <f aca="false">IFERROR((AQ58/AN58)-1,0)</f>
        <v>0</v>
      </c>
      <c r="AT58" s="157" t="n">
        <v>0</v>
      </c>
      <c r="AU58" s="91" t="n">
        <f aca="false">IFERROR(AT58/AT$5,0)</f>
        <v>0</v>
      </c>
      <c r="AW58" s="157" t="n">
        <f aca="false">SUMIFS('Dados Mov Financeira'!$N:$N,'Dados Mov Financeira'!$O:$O,'DRE 2024'!$B58,'Dados Mov Financeira'!$A:$A,'DRE 2024'!AW$1,'Dados Mov Financeira'!$B:$B,'DRE 2024'!AW$2)</f>
        <v>0</v>
      </c>
      <c r="AX58" s="91" t="n">
        <f aca="false">IFERROR(AW58/AW$5,0)</f>
        <v>0</v>
      </c>
      <c r="AY58" s="139" t="n">
        <f aca="false">IFERROR((AW58/AT58)-1,0)</f>
        <v>0</v>
      </c>
      <c r="AZ58" s="157" t="n">
        <v>0</v>
      </c>
      <c r="BA58" s="91" t="n">
        <f aca="false">IFERROR(AZ58/AZ$5,0)</f>
        <v>0</v>
      </c>
      <c r="BC58" s="157" t="n">
        <f aca="false">SUMIFS('Dados Mov Financeira'!$N:$N,'Dados Mov Financeira'!$O:$O,'DRE 2024'!$B58,'Dados Mov Financeira'!$A:$A,'DRE 2024'!BC$1,'Dados Mov Financeira'!$B:$B,'DRE 2024'!BC$2)</f>
        <v>0</v>
      </c>
      <c r="BD58" s="91" t="n">
        <f aca="false">IFERROR(BC58/BC$5,0)</f>
        <v>0</v>
      </c>
      <c r="BE58" s="139" t="n">
        <f aca="false">IFERROR((BC58/AZ58)-1,0)</f>
        <v>0</v>
      </c>
      <c r="BF58" s="157" t="n">
        <v>0</v>
      </c>
      <c r="BG58" s="91" t="n">
        <f aca="false">IFERROR(BF58/BF$5,0)</f>
        <v>0</v>
      </c>
      <c r="BI58" s="157" t="n">
        <f aca="false">SUMIFS('Dados Mov Financeira'!$N:$N,'Dados Mov Financeira'!$O:$O,'DRE 2024'!$B58,'Dados Mov Financeira'!$A:$A,'DRE 2024'!BI$1,'Dados Mov Financeira'!$B:$B,'DRE 2024'!BI$2)</f>
        <v>0</v>
      </c>
      <c r="BJ58" s="91" t="n">
        <f aca="false">IFERROR(BI58/BI$5,0)</f>
        <v>0</v>
      </c>
      <c r="BK58" s="139" t="n">
        <f aca="false">IFERROR((BI58/BF58)-1,0)</f>
        <v>0</v>
      </c>
      <c r="BL58" s="157" t="n">
        <v>0</v>
      </c>
      <c r="BM58" s="91" t="n">
        <f aca="false">IFERROR(BL58/BL$5,0)</f>
        <v>0</v>
      </c>
      <c r="BO58" s="157" t="n">
        <f aca="false">SUMIFS('Dados Mov Financeira'!$N:$N,'Dados Mov Financeira'!$O:$O,'DRE 2024'!$B58,'Dados Mov Financeira'!$A:$A,'DRE 2024'!BO$1,'Dados Mov Financeira'!$B:$B,'DRE 2024'!BO$2)</f>
        <v>0</v>
      </c>
      <c r="BP58" s="91" t="n">
        <f aca="false">IFERROR(BO58/BO$5,0)</f>
        <v>0</v>
      </c>
      <c r="BQ58" s="139" t="n">
        <f aca="false">IFERROR((BO58/BL58)-1,0)</f>
        <v>0</v>
      </c>
      <c r="BR58" s="157" t="n">
        <v>0</v>
      </c>
      <c r="BS58" s="91" t="n">
        <f aca="false">IFERROR(BR58/BR$5,0)</f>
        <v>0</v>
      </c>
      <c r="BT58" s="171"/>
      <c r="BU58" s="157" t="n">
        <f aca="false">SUMIFS('Dados Mov Financeira'!$N:$N,'Dados Mov Financeira'!$O:$O,'DRE 2024'!$B58,'Dados Mov Financeira'!$A:$A,'DRE 2024'!BU$1,'Dados Mov Financeira'!$B:$B,'DRE 2024'!BU$2)</f>
        <v>0</v>
      </c>
      <c r="BV58" s="91" t="n">
        <f aca="false">IFERROR(BU58/BU$5,0)</f>
        <v>0</v>
      </c>
      <c r="BW58" s="139" t="n">
        <f aca="false">IFERROR((BU58/BR58)-1,0)</f>
        <v>0</v>
      </c>
      <c r="BX58" s="172" t="n">
        <f aca="false">SUM(D58,J58,P58,V58,AB58,AH58,AN58,AT58,AZ58,BF58,BL58,BR58)</f>
        <v>0</v>
      </c>
      <c r="BY58" s="91" t="n">
        <f aca="false">IFERROR(BX58/BX$5,0)</f>
        <v>0</v>
      </c>
      <c r="CA58" s="172" t="n">
        <f aca="false">SUM(G58,M58,S58,Y58,AE58,AK58,AQ58,AW58,BC58,BI58,BO58,BU58)</f>
        <v>0</v>
      </c>
      <c r="CB58" s="91" t="n">
        <f aca="false">IFERROR(CA58/CA$5,0)</f>
        <v>0</v>
      </c>
      <c r="CC58" s="139" t="n">
        <f aca="false">IFERROR((CA58/BX58)-1,0)</f>
        <v>0</v>
      </c>
      <c r="CE58" s="157" t="n">
        <f aca="false">BX58/$CF$1</f>
        <v>0</v>
      </c>
      <c r="CF58" s="94" t="n">
        <f aca="false">IFERROR(CE58/CE$5,0)</f>
        <v>0</v>
      </c>
      <c r="CH58" s="157" t="n">
        <f aca="false">CA58/$CI$1</f>
        <v>0</v>
      </c>
      <c r="CI58" s="94" t="n">
        <f aca="false">IFERROR(CH58/CH$5,0)</f>
        <v>0</v>
      </c>
    </row>
    <row r="59" customFormat="false" ht="15.75" hidden="false" customHeight="true" outlineLevel="1" collapsed="false">
      <c r="B59" s="169" t="s">
        <v>86</v>
      </c>
      <c r="D59" s="157" t="n">
        <v>-481.734</v>
      </c>
      <c r="E59" s="91" t="n">
        <f aca="false">IFERROR(D59/D$5,0)</f>
        <v>-0.006021675</v>
      </c>
      <c r="G59" s="157" t="n">
        <f aca="false">SUMIFS('Dados Mov Financeira'!$N:$N,'Dados Mov Financeira'!$O:$O,'DRE 2024'!$B59,'Dados Mov Financeira'!$A:$A,'DRE 2024'!G$1,'Dados Mov Financeira'!$B:$B,'DRE 2024'!G$2)</f>
        <v>0</v>
      </c>
      <c r="H59" s="91" t="n">
        <f aca="false">IFERROR(G59/G$45,0)</f>
        <v>0</v>
      </c>
      <c r="I59" s="138" t="n">
        <f aca="false">IFERROR((G59/D59)-1,0)</f>
        <v>-1</v>
      </c>
      <c r="J59" s="157" t="n">
        <v>-481.734</v>
      </c>
      <c r="K59" s="91" t="n">
        <f aca="false">IFERROR(J59/J$5,0)</f>
        <v>-0.00566745882352941</v>
      </c>
      <c r="M59" s="157" t="n">
        <f aca="false">SUMIFS('Dados Mov Financeira'!$N:$N,'Dados Mov Financeira'!$O:$O,'DRE 2024'!$B59,'Dados Mov Financeira'!$A:$A,'DRE 2024'!M$1,'Dados Mov Financeira'!$B:$B,'DRE 2024'!M$2)</f>
        <v>0</v>
      </c>
      <c r="N59" s="91" t="n">
        <f aca="false">IFERROR(M59/M$5,0)</f>
        <v>0</v>
      </c>
      <c r="O59" s="139" t="n">
        <f aca="false">IFERROR((M59/J59)-1,0)</f>
        <v>-1</v>
      </c>
      <c r="P59" s="157" t="n">
        <v>-481.734</v>
      </c>
      <c r="Q59" s="91" t="n">
        <f aca="false">IFERROR(P59/P$5,0)</f>
        <v>-0.0053526</v>
      </c>
      <c r="S59" s="157" t="n">
        <f aca="false">SUMIFS('Dados Mov Financeira'!$N:$N,'Dados Mov Financeira'!$O:$O,'DRE 2024'!$B59,'Dados Mov Financeira'!$A:$A,'DRE 2024'!S$1,'Dados Mov Financeira'!$B:$B,'DRE 2024'!S$2)</f>
        <v>0</v>
      </c>
      <c r="T59" s="91" t="n">
        <f aca="false">IFERROR(S59/S$5,0)</f>
        <v>0</v>
      </c>
      <c r="U59" s="139" t="n">
        <f aca="false">IFERROR((S59/P59)-1,0)</f>
        <v>-1</v>
      </c>
      <c r="V59" s="157" t="n">
        <v>-481.734</v>
      </c>
      <c r="W59" s="91" t="n">
        <f aca="false">IFERROR(V59/V$5,0)</f>
        <v>-0.00481734</v>
      </c>
      <c r="Y59" s="157" t="n">
        <f aca="false">SUMIFS('Dados Mov Financeira'!$N:$N,'Dados Mov Financeira'!$O:$O,'DRE 2024'!$B59,'Dados Mov Financeira'!$A:$A,'DRE 2024'!Y$1,'Dados Mov Financeira'!$B:$B,'DRE 2024'!Y$2)</f>
        <v>0</v>
      </c>
      <c r="Z59" s="91" t="n">
        <f aca="false">IFERROR(Y59/Y$5,0)</f>
        <v>0</v>
      </c>
      <c r="AA59" s="139" t="n">
        <f aca="false">IFERROR((Y59/V59)-1,0)</f>
        <v>-1</v>
      </c>
      <c r="AB59" s="157" t="n">
        <v>-481.734</v>
      </c>
      <c r="AC59" s="91" t="n">
        <f aca="false">IFERROR(AB59/AB$5,0)</f>
        <v>-0.0043794</v>
      </c>
      <c r="AE59" s="157" t="n">
        <f aca="false">SUMIFS('Dados Mov Financeira'!$N:$N,'Dados Mov Financeira'!$O:$O,'DRE 2024'!$B59,'Dados Mov Financeira'!$A:$A,'DRE 2024'!AE$1,'Dados Mov Financeira'!$B:$B,'DRE 2024'!AE$2)</f>
        <v>0</v>
      </c>
      <c r="AF59" s="91" t="n">
        <f aca="false">IFERROR(AE59/AE$5,0)</f>
        <v>0</v>
      </c>
      <c r="AG59" s="139" t="n">
        <f aca="false">IFERROR((AE59/AB59)-1,0)</f>
        <v>-1</v>
      </c>
      <c r="AH59" s="157" t="n">
        <v>-481.734</v>
      </c>
      <c r="AI59" s="91" t="n">
        <f aca="false">IFERROR(AH59/AH$5,0)</f>
        <v>-0.00401445</v>
      </c>
      <c r="AK59" s="157" t="n">
        <f aca="false">SUMIFS('Dados Mov Financeira'!$N:$N,'Dados Mov Financeira'!$O:$O,'DRE 2024'!$B59,'Dados Mov Financeira'!$A:$A,'DRE 2024'!AK$1,'Dados Mov Financeira'!$B:$B,'DRE 2024'!AK$2)</f>
        <v>0</v>
      </c>
      <c r="AL59" s="91" t="n">
        <f aca="false">IFERROR(AK59/AK$5,0)</f>
        <v>0</v>
      </c>
      <c r="AM59" s="139" t="n">
        <f aca="false">IFERROR((AK59/AH59)-1,0)</f>
        <v>-1</v>
      </c>
      <c r="AN59" s="157" t="n">
        <v>-481.734</v>
      </c>
      <c r="AO59" s="91" t="n">
        <f aca="false">IFERROR(AN59/AN$5,0)</f>
        <v>-0.00370564615384615</v>
      </c>
      <c r="AQ59" s="157" t="n">
        <f aca="false">SUMIFS('Dados Mov Financeira'!$N:$N,'Dados Mov Financeira'!$O:$O,'DRE 2024'!$B59,'Dados Mov Financeira'!$A:$A,'DRE 2024'!AQ$1,'Dados Mov Financeira'!$B:$B,'DRE 2024'!AQ$2)</f>
        <v>0</v>
      </c>
      <c r="AR59" s="91" t="n">
        <f aca="false">IFERROR(AQ59/AQ$5,0)</f>
        <v>0</v>
      </c>
      <c r="AS59" s="139" t="n">
        <f aca="false">IFERROR((AQ59/AN59)-1,0)</f>
        <v>-1</v>
      </c>
      <c r="AT59" s="157" t="n">
        <v>-481.734</v>
      </c>
      <c r="AU59" s="91" t="n">
        <f aca="false">IFERROR(AT59/AT$5,0)</f>
        <v>-0.00344095714285714</v>
      </c>
      <c r="AW59" s="157" t="n">
        <f aca="false">SUMIFS('Dados Mov Financeira'!$N:$N,'Dados Mov Financeira'!$O:$O,'DRE 2024'!$B59,'Dados Mov Financeira'!$A:$A,'DRE 2024'!AW$1,'Dados Mov Financeira'!$B:$B,'DRE 2024'!AW$2)</f>
        <v>0</v>
      </c>
      <c r="AX59" s="91" t="n">
        <f aca="false">IFERROR(AW59/AW$5,0)</f>
        <v>0</v>
      </c>
      <c r="AY59" s="139" t="n">
        <f aca="false">IFERROR((AW59/AT59)-1,0)</f>
        <v>-1</v>
      </c>
      <c r="AZ59" s="157" t="n">
        <v>-481.734</v>
      </c>
      <c r="BA59" s="91" t="n">
        <f aca="false">IFERROR(AZ59/AZ$5,0)</f>
        <v>-0.00321156</v>
      </c>
      <c r="BC59" s="157" t="n">
        <f aca="false">SUMIFS('Dados Mov Financeira'!$N:$N,'Dados Mov Financeira'!$O:$O,'DRE 2024'!$B59,'Dados Mov Financeira'!$A:$A,'DRE 2024'!BC$1,'Dados Mov Financeira'!$B:$B,'DRE 2024'!BC$2)</f>
        <v>0</v>
      </c>
      <c r="BD59" s="91" t="n">
        <f aca="false">IFERROR(BC59/BC$5,0)</f>
        <v>0</v>
      </c>
      <c r="BE59" s="139" t="n">
        <f aca="false">IFERROR((BC59/AZ59)-1,0)</f>
        <v>-1</v>
      </c>
      <c r="BF59" s="157" t="n">
        <v>-481.734</v>
      </c>
      <c r="BG59" s="91" t="n">
        <f aca="false">IFERROR(BF59/BF$5,0)</f>
        <v>-0.00321156</v>
      </c>
      <c r="BI59" s="157" t="n">
        <f aca="false">SUMIFS('Dados Mov Financeira'!$N:$N,'Dados Mov Financeira'!$O:$O,'DRE 2024'!$B59,'Dados Mov Financeira'!$A:$A,'DRE 2024'!BI$1,'Dados Mov Financeira'!$B:$B,'DRE 2024'!BI$2)</f>
        <v>0</v>
      </c>
      <c r="BJ59" s="91" t="n">
        <f aca="false">IFERROR(BI59/BI$5,0)</f>
        <v>0</v>
      </c>
      <c r="BK59" s="139" t="n">
        <f aca="false">IFERROR((BI59/BF59)-1,0)</f>
        <v>-1</v>
      </c>
      <c r="BL59" s="157" t="n">
        <v>-481.734</v>
      </c>
      <c r="BM59" s="91" t="n">
        <f aca="false">IFERROR(BL59/BL$5,0)</f>
        <v>-0.00321156</v>
      </c>
      <c r="BO59" s="157" t="n">
        <f aca="false">SUMIFS('Dados Mov Financeira'!$N:$N,'Dados Mov Financeira'!$O:$O,'DRE 2024'!$B59,'Dados Mov Financeira'!$A:$A,'DRE 2024'!BO$1,'Dados Mov Financeira'!$B:$B,'DRE 2024'!BO$2)</f>
        <v>0</v>
      </c>
      <c r="BP59" s="91" t="n">
        <f aca="false">IFERROR(BO59/BO$5,0)</f>
        <v>0</v>
      </c>
      <c r="BQ59" s="139" t="n">
        <f aca="false">IFERROR((BO59/BL59)-1,0)</f>
        <v>-1</v>
      </c>
      <c r="BR59" s="157" t="n">
        <v>-481.734</v>
      </c>
      <c r="BS59" s="91" t="n">
        <f aca="false">IFERROR(BR59/BR$5,0)</f>
        <v>-0.00321156</v>
      </c>
      <c r="BT59" s="171"/>
      <c r="BU59" s="157" t="n">
        <f aca="false">SUMIFS('Dados Mov Financeira'!$N:$N,'Dados Mov Financeira'!$O:$O,'DRE 2024'!$B59,'Dados Mov Financeira'!$A:$A,'DRE 2024'!BU$1,'Dados Mov Financeira'!$B:$B,'DRE 2024'!BU$2)</f>
        <v>0</v>
      </c>
      <c r="BV59" s="91" t="n">
        <f aca="false">IFERROR(BU59/BU$5,0)</f>
        <v>0</v>
      </c>
      <c r="BW59" s="139" t="n">
        <f aca="false">IFERROR((BU59/BR59)-1,0)</f>
        <v>-1</v>
      </c>
      <c r="BX59" s="172" t="n">
        <f aca="false">SUM(D59,J59,P59,V59,AB59,AH59,AN59,AT59,AZ59,BF59,BL59,BR59)</f>
        <v>-5780.808</v>
      </c>
      <c r="BY59" s="91" t="n">
        <f aca="false">IFERROR(BX59/BX$5,0)</f>
        <v>-0.00397306391752577</v>
      </c>
      <c r="CA59" s="172" t="n">
        <f aca="false">SUM(G59,M59,S59,Y59,AE59,AK59,AQ59,AW59,BC59,BI59,BO59,BU59)</f>
        <v>0</v>
      </c>
      <c r="CB59" s="91" t="n">
        <f aca="false">IFERROR(CA59/CA$5,0)</f>
        <v>0</v>
      </c>
      <c r="CC59" s="139" t="n">
        <f aca="false">IFERROR((CA59/BX59)-1,0)</f>
        <v>-1</v>
      </c>
      <c r="CE59" s="157" t="n">
        <f aca="false">BX59/$CF$1</f>
        <v>-481.734</v>
      </c>
      <c r="CF59" s="94" t="n">
        <f aca="false">IFERROR(CE59/CE$5,0)</f>
        <v>-0.00397306391752577</v>
      </c>
      <c r="CH59" s="157" t="n">
        <f aca="false">CA59/$CI$1</f>
        <v>0</v>
      </c>
      <c r="CI59" s="94" t="n">
        <f aca="false">IFERROR(CH59/CH$5,0)</f>
        <v>0</v>
      </c>
    </row>
    <row r="60" customFormat="false" ht="15.75" hidden="false" customHeight="true" outlineLevel="1" collapsed="false">
      <c r="B60" s="169" t="s">
        <v>87</v>
      </c>
      <c r="D60" s="157" t="n">
        <v>-159.088</v>
      </c>
      <c r="E60" s="91" t="n">
        <f aca="false">IFERROR(D60/D$5,0)</f>
        <v>-0.0019886</v>
      </c>
      <c r="G60" s="157" t="n">
        <f aca="false">SUMIFS('Dados Mov Financeira'!$N:$N,'Dados Mov Financeira'!$O:$O,'DRE 2024'!$B60,'Dados Mov Financeira'!$A:$A,'DRE 2024'!G$1,'Dados Mov Financeira'!$B:$B,'DRE 2024'!G$2)</f>
        <v>0</v>
      </c>
      <c r="H60" s="91" t="n">
        <f aca="false">IFERROR(G60/G$45,0)</f>
        <v>0</v>
      </c>
      <c r="I60" s="138" t="n">
        <f aca="false">IFERROR((G60/D60)-1,0)</f>
        <v>-1</v>
      </c>
      <c r="J60" s="157" t="n">
        <v>-159.088</v>
      </c>
      <c r="K60" s="91" t="n">
        <f aca="false">IFERROR(J60/J$5,0)</f>
        <v>-0.00187162352941177</v>
      </c>
      <c r="M60" s="157" t="n">
        <f aca="false">SUMIFS('Dados Mov Financeira'!$N:$N,'Dados Mov Financeira'!$O:$O,'DRE 2024'!$B60,'Dados Mov Financeira'!$A:$A,'DRE 2024'!M$1,'Dados Mov Financeira'!$B:$B,'DRE 2024'!M$2)</f>
        <v>0</v>
      </c>
      <c r="N60" s="91" t="n">
        <f aca="false">IFERROR(M60/M$5,0)</f>
        <v>0</v>
      </c>
      <c r="O60" s="139" t="n">
        <f aca="false">IFERROR((M60/J60)-1,0)</f>
        <v>-1</v>
      </c>
      <c r="P60" s="157" t="n">
        <v>-159.088</v>
      </c>
      <c r="Q60" s="91" t="n">
        <f aca="false">IFERROR(P60/P$5,0)</f>
        <v>-0.00176764444444444</v>
      </c>
      <c r="S60" s="157" t="n">
        <f aca="false">SUMIFS('Dados Mov Financeira'!$N:$N,'Dados Mov Financeira'!$O:$O,'DRE 2024'!$B60,'Dados Mov Financeira'!$A:$A,'DRE 2024'!S$1,'Dados Mov Financeira'!$B:$B,'DRE 2024'!S$2)</f>
        <v>0</v>
      </c>
      <c r="T60" s="91" t="n">
        <f aca="false">IFERROR(S60/S$5,0)</f>
        <v>0</v>
      </c>
      <c r="U60" s="139" t="n">
        <f aca="false">IFERROR((S60/P60)-1,0)</f>
        <v>-1</v>
      </c>
      <c r="V60" s="157" t="n">
        <v>-159.088</v>
      </c>
      <c r="W60" s="91" t="n">
        <f aca="false">IFERROR(V60/V$5,0)</f>
        <v>-0.00159088</v>
      </c>
      <c r="Y60" s="157" t="n">
        <f aca="false">SUMIFS('Dados Mov Financeira'!$N:$N,'Dados Mov Financeira'!$O:$O,'DRE 2024'!$B60,'Dados Mov Financeira'!$A:$A,'DRE 2024'!Y$1,'Dados Mov Financeira'!$B:$B,'DRE 2024'!Y$2)</f>
        <v>0</v>
      </c>
      <c r="Z60" s="91" t="n">
        <f aca="false">IFERROR(Y60/Y$5,0)</f>
        <v>0</v>
      </c>
      <c r="AA60" s="139" t="n">
        <f aca="false">IFERROR((Y60/V60)-1,0)</f>
        <v>-1</v>
      </c>
      <c r="AB60" s="157" t="n">
        <v>-159.088</v>
      </c>
      <c r="AC60" s="91" t="n">
        <f aca="false">IFERROR(AB60/AB$5,0)</f>
        <v>-0.00144625454545455</v>
      </c>
      <c r="AE60" s="157" t="n">
        <f aca="false">SUMIFS('Dados Mov Financeira'!$N:$N,'Dados Mov Financeira'!$O:$O,'DRE 2024'!$B60,'Dados Mov Financeira'!$A:$A,'DRE 2024'!AE$1,'Dados Mov Financeira'!$B:$B,'DRE 2024'!AE$2)</f>
        <v>0</v>
      </c>
      <c r="AF60" s="91" t="n">
        <f aca="false">IFERROR(AE60/AE$5,0)</f>
        <v>0</v>
      </c>
      <c r="AG60" s="139" t="n">
        <f aca="false">IFERROR((AE60/AB60)-1,0)</f>
        <v>-1</v>
      </c>
      <c r="AH60" s="157" t="n">
        <v>-159.088</v>
      </c>
      <c r="AI60" s="91" t="n">
        <f aca="false">IFERROR(AH60/AH$5,0)</f>
        <v>-0.00132573333333333</v>
      </c>
      <c r="AK60" s="157" t="n">
        <f aca="false">SUMIFS('Dados Mov Financeira'!$N:$N,'Dados Mov Financeira'!$O:$O,'DRE 2024'!$B60,'Dados Mov Financeira'!$A:$A,'DRE 2024'!AK$1,'Dados Mov Financeira'!$B:$B,'DRE 2024'!AK$2)</f>
        <v>0</v>
      </c>
      <c r="AL60" s="91" t="n">
        <f aca="false">IFERROR(AK60/AK$5,0)</f>
        <v>0</v>
      </c>
      <c r="AM60" s="139" t="n">
        <f aca="false">IFERROR((AK60/AH60)-1,0)</f>
        <v>-1</v>
      </c>
      <c r="AN60" s="157" t="n">
        <v>-159.088</v>
      </c>
      <c r="AO60" s="91" t="n">
        <f aca="false">IFERROR(AN60/AN$5,0)</f>
        <v>-0.00122375384615385</v>
      </c>
      <c r="AQ60" s="157" t="n">
        <f aca="false">SUMIFS('Dados Mov Financeira'!$N:$N,'Dados Mov Financeira'!$O:$O,'DRE 2024'!$B60,'Dados Mov Financeira'!$A:$A,'DRE 2024'!AQ$1,'Dados Mov Financeira'!$B:$B,'DRE 2024'!AQ$2)</f>
        <v>0</v>
      </c>
      <c r="AR60" s="91" t="n">
        <f aca="false">IFERROR(AQ60/AQ$5,0)</f>
        <v>0</v>
      </c>
      <c r="AS60" s="139" t="n">
        <f aca="false">IFERROR((AQ60/AN60)-1,0)</f>
        <v>-1</v>
      </c>
      <c r="AT60" s="157" t="n">
        <v>-159.088</v>
      </c>
      <c r="AU60" s="91" t="n">
        <f aca="false">IFERROR(AT60/AT$5,0)</f>
        <v>-0.00113634285714286</v>
      </c>
      <c r="AW60" s="157" t="n">
        <f aca="false">SUMIFS('Dados Mov Financeira'!$N:$N,'Dados Mov Financeira'!$O:$O,'DRE 2024'!$B60,'Dados Mov Financeira'!$A:$A,'DRE 2024'!AW$1,'Dados Mov Financeira'!$B:$B,'DRE 2024'!AW$2)</f>
        <v>0</v>
      </c>
      <c r="AX60" s="91" t="n">
        <f aca="false">IFERROR(AW60/AW$5,0)</f>
        <v>0</v>
      </c>
      <c r="AY60" s="139" t="n">
        <f aca="false">IFERROR((AW60/AT60)-1,0)</f>
        <v>-1</v>
      </c>
      <c r="AZ60" s="157" t="n">
        <v>-159.088</v>
      </c>
      <c r="BA60" s="91" t="n">
        <f aca="false">IFERROR(AZ60/AZ$5,0)</f>
        <v>-0.00106058666666667</v>
      </c>
      <c r="BC60" s="157" t="n">
        <f aca="false">SUMIFS('Dados Mov Financeira'!$N:$N,'Dados Mov Financeira'!$O:$O,'DRE 2024'!$B60,'Dados Mov Financeira'!$A:$A,'DRE 2024'!BC$1,'Dados Mov Financeira'!$B:$B,'DRE 2024'!BC$2)</f>
        <v>0</v>
      </c>
      <c r="BD60" s="91" t="n">
        <f aca="false">IFERROR(BC60/BC$5,0)</f>
        <v>0</v>
      </c>
      <c r="BE60" s="139" t="n">
        <f aca="false">IFERROR((BC60/AZ60)-1,0)</f>
        <v>-1</v>
      </c>
      <c r="BF60" s="157" t="n">
        <v>-159.088</v>
      </c>
      <c r="BG60" s="91" t="n">
        <f aca="false">IFERROR(BF60/BF$5,0)</f>
        <v>-0.00106058666666667</v>
      </c>
      <c r="BI60" s="157" t="n">
        <f aca="false">SUMIFS('Dados Mov Financeira'!$N:$N,'Dados Mov Financeira'!$O:$O,'DRE 2024'!$B60,'Dados Mov Financeira'!$A:$A,'DRE 2024'!BI$1,'Dados Mov Financeira'!$B:$B,'DRE 2024'!BI$2)</f>
        <v>0</v>
      </c>
      <c r="BJ60" s="91" t="n">
        <f aca="false">IFERROR(BI60/BI$5,0)</f>
        <v>0</v>
      </c>
      <c r="BK60" s="139" t="n">
        <f aca="false">IFERROR((BI60/BF60)-1,0)</f>
        <v>-1</v>
      </c>
      <c r="BL60" s="157" t="n">
        <v>-159.088</v>
      </c>
      <c r="BM60" s="91" t="n">
        <f aca="false">IFERROR(BL60/BL$5,0)</f>
        <v>-0.00106058666666667</v>
      </c>
      <c r="BO60" s="157" t="n">
        <f aca="false">SUMIFS('Dados Mov Financeira'!$N:$N,'Dados Mov Financeira'!$O:$O,'DRE 2024'!$B60,'Dados Mov Financeira'!$A:$A,'DRE 2024'!BO$1,'Dados Mov Financeira'!$B:$B,'DRE 2024'!BO$2)</f>
        <v>0</v>
      </c>
      <c r="BP60" s="91" t="n">
        <f aca="false">IFERROR(BO60/BO$5,0)</f>
        <v>0</v>
      </c>
      <c r="BQ60" s="139" t="n">
        <f aca="false">IFERROR((BO60/BL60)-1,0)</f>
        <v>-1</v>
      </c>
      <c r="BR60" s="157" t="n">
        <v>-159.088</v>
      </c>
      <c r="BS60" s="91" t="n">
        <f aca="false">IFERROR(BR60/BR$5,0)</f>
        <v>-0.00106058666666667</v>
      </c>
      <c r="BT60" s="171"/>
      <c r="BU60" s="157" t="n">
        <f aca="false">SUMIFS('Dados Mov Financeira'!$N:$N,'Dados Mov Financeira'!$O:$O,'DRE 2024'!$B60,'Dados Mov Financeira'!$A:$A,'DRE 2024'!BU$1,'Dados Mov Financeira'!$B:$B,'DRE 2024'!BU$2)</f>
        <v>0</v>
      </c>
      <c r="BV60" s="91" t="n">
        <f aca="false">IFERROR(BU60/BU$5,0)</f>
        <v>0</v>
      </c>
      <c r="BW60" s="139" t="n">
        <f aca="false">IFERROR((BU60/BR60)-1,0)</f>
        <v>-1</v>
      </c>
      <c r="BX60" s="172" t="n">
        <f aca="false">SUM(D60,J60,P60,V60,AB60,AH60,AN60,AT60,AZ60,BF60,BL60,BR60)</f>
        <v>-1909.056</v>
      </c>
      <c r="BY60" s="91" t="n">
        <f aca="false">IFERROR(BX60/BX$5,0)</f>
        <v>-0.00131206597938144</v>
      </c>
      <c r="CA60" s="172" t="n">
        <f aca="false">SUM(G60,M60,S60,Y60,AE60,AK60,AQ60,AW60,BC60,BI60,BO60,BU60)</f>
        <v>0</v>
      </c>
      <c r="CB60" s="91" t="n">
        <f aca="false">IFERROR(CA60/CA$5,0)</f>
        <v>0</v>
      </c>
      <c r="CC60" s="139" t="n">
        <f aca="false">IFERROR((CA60/BX60)-1,0)</f>
        <v>-1</v>
      </c>
      <c r="CE60" s="157" t="n">
        <f aca="false">BX60/$CF$1</f>
        <v>-159.088</v>
      </c>
      <c r="CF60" s="94" t="n">
        <f aca="false">IFERROR(CE60/CE$5,0)</f>
        <v>-0.00131206597938144</v>
      </c>
      <c r="CH60" s="157" t="n">
        <f aca="false">CA60/$CI$1</f>
        <v>0</v>
      </c>
      <c r="CI60" s="94" t="n">
        <f aca="false">IFERROR(CH60/CH$5,0)</f>
        <v>0</v>
      </c>
    </row>
    <row r="61" s="178" customFormat="true" ht="15.75" hidden="false" customHeight="true" outlineLevel="1" collapsed="false">
      <c r="B61" s="179" t="s">
        <v>88</v>
      </c>
      <c r="D61" s="181" t="n">
        <v>-350</v>
      </c>
      <c r="E61" s="182" t="n">
        <f aca="false">IFERROR(D61/D$5,0)</f>
        <v>-0.004375</v>
      </c>
      <c r="G61" s="181" t="n">
        <f aca="false">SUMIFS('Dados Mov Financeira'!$N:$N,'Dados Mov Financeira'!$O:$O,'DRE 2024'!$B61,'Dados Mov Financeira'!$A:$A,'DRE 2024'!G$1,'Dados Mov Financeira'!$B:$B,'DRE 2024'!G$2)</f>
        <v>0</v>
      </c>
      <c r="H61" s="182" t="n">
        <f aca="false">IFERROR(G61/G$45,0)</f>
        <v>0</v>
      </c>
      <c r="I61" s="183" t="n">
        <f aca="false">IFERROR((G61/D61)-1,0)</f>
        <v>-1</v>
      </c>
      <c r="J61" s="181" t="n">
        <v>-350</v>
      </c>
      <c r="K61" s="182" t="n">
        <f aca="false">IFERROR(J61/J$5,0)</f>
        <v>-0.00411764705882353</v>
      </c>
      <c r="M61" s="181" t="n">
        <f aca="false">SUMIFS('Dados Mov Financeira'!$N:$N,'Dados Mov Financeira'!$O:$O,'DRE 2024'!$B61,'Dados Mov Financeira'!$A:$A,'DRE 2024'!M$1,'Dados Mov Financeira'!$B:$B,'DRE 2024'!M$2)</f>
        <v>0</v>
      </c>
      <c r="N61" s="182" t="n">
        <f aca="false">IFERROR(M61/M$5,0)</f>
        <v>0</v>
      </c>
      <c r="O61" s="183" t="n">
        <f aca="false">IFERROR((M61/J61)-1,0)</f>
        <v>-1</v>
      </c>
      <c r="P61" s="181" t="n">
        <v>-350</v>
      </c>
      <c r="Q61" s="182" t="n">
        <f aca="false">IFERROR(P61/P$5,0)</f>
        <v>-0.00388888888888889</v>
      </c>
      <c r="S61" s="181" t="n">
        <f aca="false">SUMIFS('Dados Mov Financeira'!$N:$N,'Dados Mov Financeira'!$O:$O,'DRE 2024'!$B61,'Dados Mov Financeira'!$A:$A,'DRE 2024'!S$1,'Dados Mov Financeira'!$B:$B,'DRE 2024'!S$2)</f>
        <v>0</v>
      </c>
      <c r="T61" s="182" t="n">
        <f aca="false">IFERROR(S61/S$5,0)</f>
        <v>0</v>
      </c>
      <c r="U61" s="183" t="n">
        <f aca="false">IFERROR((S61/P61)-1,0)</f>
        <v>-1</v>
      </c>
      <c r="V61" s="181" t="n">
        <v>-350</v>
      </c>
      <c r="W61" s="182" t="n">
        <f aca="false">IFERROR(V61/V$5,0)</f>
        <v>-0.0035</v>
      </c>
      <c r="Y61" s="181" t="n">
        <f aca="false">SUMIFS('Dados Mov Financeira'!$N:$N,'Dados Mov Financeira'!$O:$O,'DRE 2024'!$B61,'Dados Mov Financeira'!$A:$A,'DRE 2024'!Y$1,'Dados Mov Financeira'!$B:$B,'DRE 2024'!Y$2)</f>
        <v>0</v>
      </c>
      <c r="Z61" s="182" t="n">
        <f aca="false">IFERROR(Y61/Y$5,0)</f>
        <v>0</v>
      </c>
      <c r="AA61" s="183" t="n">
        <f aca="false">IFERROR((Y61/V61)-1,0)</f>
        <v>-1</v>
      </c>
      <c r="AB61" s="181" t="n">
        <v>-350</v>
      </c>
      <c r="AC61" s="182" t="n">
        <f aca="false">IFERROR(AB61/AB$5,0)</f>
        <v>-0.00318181818181818</v>
      </c>
      <c r="AE61" s="181" t="n">
        <f aca="false">SUMIFS('Dados Mov Financeira'!$N:$N,'Dados Mov Financeira'!$O:$O,'DRE 2024'!$B61,'Dados Mov Financeira'!$A:$A,'DRE 2024'!AE$1,'Dados Mov Financeira'!$B:$B,'DRE 2024'!AE$2)</f>
        <v>0</v>
      </c>
      <c r="AF61" s="182" t="n">
        <f aca="false">IFERROR(AE61/AE$5,0)</f>
        <v>0</v>
      </c>
      <c r="AG61" s="183" t="n">
        <f aca="false">IFERROR((AE61/AB61)-1,0)</f>
        <v>-1</v>
      </c>
      <c r="AH61" s="181" t="n">
        <v>-350</v>
      </c>
      <c r="AI61" s="182" t="n">
        <f aca="false">IFERROR(AH61/AH$5,0)</f>
        <v>-0.00291666666666667</v>
      </c>
      <c r="AK61" s="181" t="n">
        <f aca="false">SUMIFS('Dados Mov Financeira'!$N:$N,'Dados Mov Financeira'!$O:$O,'DRE 2024'!$B61,'Dados Mov Financeira'!$A:$A,'DRE 2024'!AK$1,'Dados Mov Financeira'!$B:$B,'DRE 2024'!AK$2)</f>
        <v>0</v>
      </c>
      <c r="AL61" s="182" t="n">
        <f aca="false">IFERROR(AK61/AK$5,0)</f>
        <v>0</v>
      </c>
      <c r="AM61" s="183" t="n">
        <f aca="false">IFERROR((AK61/AH61)-1,0)</f>
        <v>-1</v>
      </c>
      <c r="AN61" s="181" t="n">
        <v>-350</v>
      </c>
      <c r="AO61" s="182" t="n">
        <f aca="false">IFERROR(AN61/AN$5,0)</f>
        <v>-0.00269230769230769</v>
      </c>
      <c r="AQ61" s="181" t="n">
        <f aca="false">SUMIFS('Dados Mov Financeira'!$N:$N,'Dados Mov Financeira'!$O:$O,'DRE 2024'!$B61,'Dados Mov Financeira'!$A:$A,'DRE 2024'!AQ$1,'Dados Mov Financeira'!$B:$B,'DRE 2024'!AQ$2)</f>
        <v>0</v>
      </c>
      <c r="AR61" s="182" t="n">
        <f aca="false">IFERROR(AQ61/AQ$5,0)</f>
        <v>0</v>
      </c>
      <c r="AS61" s="183" t="n">
        <f aca="false">IFERROR((AQ61/AN61)-1,0)</f>
        <v>-1</v>
      </c>
      <c r="AT61" s="181" t="n">
        <v>-350</v>
      </c>
      <c r="AU61" s="182" t="n">
        <f aca="false">IFERROR(AT61/AT$5,0)</f>
        <v>-0.0025</v>
      </c>
      <c r="AW61" s="181" t="n">
        <f aca="false">SUMIFS('Dados Mov Financeira'!$N:$N,'Dados Mov Financeira'!$O:$O,'DRE 2024'!$B61,'Dados Mov Financeira'!$A:$A,'DRE 2024'!AW$1,'Dados Mov Financeira'!$B:$B,'DRE 2024'!AW$2)</f>
        <v>0</v>
      </c>
      <c r="AX61" s="182" t="n">
        <f aca="false">IFERROR(AW61/AW$5,0)</f>
        <v>0</v>
      </c>
      <c r="AY61" s="183" t="n">
        <f aca="false">IFERROR((AW61/AT61)-1,0)</f>
        <v>-1</v>
      </c>
      <c r="AZ61" s="181" t="n">
        <v>-350</v>
      </c>
      <c r="BA61" s="182" t="n">
        <f aca="false">IFERROR(AZ61/AZ$5,0)</f>
        <v>-0.00233333333333333</v>
      </c>
      <c r="BC61" s="181" t="n">
        <f aca="false">SUMIFS('Dados Mov Financeira'!$N:$N,'Dados Mov Financeira'!$O:$O,'DRE 2024'!$B61,'Dados Mov Financeira'!$A:$A,'DRE 2024'!BC$1,'Dados Mov Financeira'!$B:$B,'DRE 2024'!BC$2)</f>
        <v>0</v>
      </c>
      <c r="BD61" s="182" t="n">
        <f aca="false">IFERROR(BC61/BC$5,0)</f>
        <v>0</v>
      </c>
      <c r="BE61" s="183" t="n">
        <f aca="false">IFERROR((BC61/AZ61)-1,0)</f>
        <v>-1</v>
      </c>
      <c r="BF61" s="181" t="n">
        <v>-350</v>
      </c>
      <c r="BG61" s="182" t="n">
        <f aca="false">IFERROR(BF61/BF$5,0)</f>
        <v>-0.00233333333333333</v>
      </c>
      <c r="BI61" s="181" t="n">
        <f aca="false">SUMIFS('Dados Mov Financeira'!$N:$N,'Dados Mov Financeira'!$O:$O,'DRE 2024'!$B61,'Dados Mov Financeira'!$A:$A,'DRE 2024'!BI$1,'Dados Mov Financeira'!$B:$B,'DRE 2024'!BI$2)</f>
        <v>0</v>
      </c>
      <c r="BJ61" s="182" t="n">
        <f aca="false">IFERROR(BI61/BI$5,0)</f>
        <v>0</v>
      </c>
      <c r="BK61" s="183" t="n">
        <f aca="false">IFERROR((BI61/BF61)-1,0)</f>
        <v>-1</v>
      </c>
      <c r="BL61" s="181" t="n">
        <v>-350</v>
      </c>
      <c r="BM61" s="182" t="n">
        <f aca="false">IFERROR(BL61/BL$5,0)</f>
        <v>-0.00233333333333333</v>
      </c>
      <c r="BO61" s="181" t="n">
        <f aca="false">SUMIFS('Dados Mov Financeira'!$N:$N,'Dados Mov Financeira'!$O:$O,'DRE 2024'!$B61,'Dados Mov Financeira'!$A:$A,'DRE 2024'!BO$1,'Dados Mov Financeira'!$B:$B,'DRE 2024'!BO$2)</f>
        <v>0</v>
      </c>
      <c r="BP61" s="182" t="n">
        <f aca="false">IFERROR(BO61/BO$5,0)</f>
        <v>0</v>
      </c>
      <c r="BQ61" s="183" t="n">
        <f aca="false">IFERROR((BO61/BL61)-1,0)</f>
        <v>-1</v>
      </c>
      <c r="BR61" s="181" t="n">
        <v>-350</v>
      </c>
      <c r="BS61" s="182" t="n">
        <f aca="false">IFERROR(BR61/BR$5,0)</f>
        <v>-0.00233333333333333</v>
      </c>
      <c r="BT61" s="184"/>
      <c r="BU61" s="181" t="n">
        <f aca="false">SUMIFS('Dados Mov Financeira'!$N:$N,'Dados Mov Financeira'!$O:$O,'DRE 2024'!$B61,'Dados Mov Financeira'!$A:$A,'DRE 2024'!BU$1,'Dados Mov Financeira'!$B:$B,'DRE 2024'!BU$2)</f>
        <v>0</v>
      </c>
      <c r="BV61" s="182" t="n">
        <f aca="false">IFERROR(BU61/BU$5,0)</f>
        <v>0</v>
      </c>
      <c r="BW61" s="183" t="n">
        <f aca="false">IFERROR((BU61/BR61)-1,0)</f>
        <v>-1</v>
      </c>
      <c r="BX61" s="185" t="n">
        <f aca="false">SUM(D61,J61,P61,V61,AB61,AH61,AN61,AT61,AZ61,BF61,BL61,BR61)</f>
        <v>-4200</v>
      </c>
      <c r="BY61" s="182" t="n">
        <f aca="false">IFERROR(BX61/BX$5,0)</f>
        <v>-0.00288659793814433</v>
      </c>
      <c r="CA61" s="185" t="n">
        <f aca="false">SUM(G61,M61,S61,Y61,AE61,AK61,AQ61,AW61,BC61,BI61,BO61,BU61)</f>
        <v>0</v>
      </c>
      <c r="CB61" s="182" t="n">
        <f aca="false">IFERROR(CA61/CA$5,0)</f>
        <v>0</v>
      </c>
      <c r="CC61" s="183" t="n">
        <f aca="false">IFERROR((CA61/BX61)-1,0)</f>
        <v>-1</v>
      </c>
      <c r="CE61" s="181" t="n">
        <f aca="false">BX61/$CF$1</f>
        <v>-350</v>
      </c>
      <c r="CF61" s="182" t="n">
        <f aca="false">IFERROR(CE61/CE$5,0)</f>
        <v>-0.00288659793814433</v>
      </c>
      <c r="CH61" s="181" t="n">
        <f aca="false">CA61/$CI$1</f>
        <v>0</v>
      </c>
      <c r="CI61" s="182" t="n">
        <f aca="false">IFERROR(CH61/CH$5,0)</f>
        <v>0</v>
      </c>
    </row>
    <row r="62" customFormat="false" ht="15.75" hidden="false" customHeight="true" outlineLevel="1" collapsed="false">
      <c r="B62" s="169" t="s">
        <v>89</v>
      </c>
      <c r="D62" s="157" t="n">
        <v>-160</v>
      </c>
      <c r="E62" s="91" t="n">
        <f aca="false">IFERROR(D62/D$5,0)</f>
        <v>-0.002</v>
      </c>
      <c r="G62" s="157" t="n">
        <f aca="false">SUMIFS('Dados Mov Financeira'!$N:$N,'Dados Mov Financeira'!$O:$O,'DRE 2024'!$B62,'Dados Mov Financeira'!$A:$A,'DRE 2024'!G$1,'Dados Mov Financeira'!$B:$B,'DRE 2024'!G$2)</f>
        <v>0</v>
      </c>
      <c r="H62" s="91" t="n">
        <f aca="false">IFERROR(G62/G$45,0)</f>
        <v>0</v>
      </c>
      <c r="I62" s="138" t="n">
        <f aca="false">IFERROR((G62/D62)-1,0)</f>
        <v>-1</v>
      </c>
      <c r="J62" s="157" t="n">
        <v>-750</v>
      </c>
      <c r="K62" s="91" t="n">
        <f aca="false">IFERROR(J62/J$5,0)</f>
        <v>-0.00882352941176471</v>
      </c>
      <c r="M62" s="157" t="n">
        <f aca="false">SUMIFS('Dados Mov Financeira'!$N:$N,'Dados Mov Financeira'!$O:$O,'DRE 2024'!$B62,'Dados Mov Financeira'!$A:$A,'DRE 2024'!M$1,'Dados Mov Financeira'!$B:$B,'DRE 2024'!M$2)</f>
        <v>0</v>
      </c>
      <c r="N62" s="91" t="n">
        <f aca="false">IFERROR(M62/M$5,0)</f>
        <v>0</v>
      </c>
      <c r="O62" s="139" t="n">
        <f aca="false">IFERROR((M62/J62)-1,0)</f>
        <v>-1</v>
      </c>
      <c r="P62" s="157" t="n">
        <v>-750</v>
      </c>
      <c r="Q62" s="91" t="n">
        <f aca="false">IFERROR(P62/P$5,0)</f>
        <v>-0.00833333333333333</v>
      </c>
      <c r="S62" s="157" t="n">
        <f aca="false">SUMIFS('Dados Mov Financeira'!$N:$N,'Dados Mov Financeira'!$O:$O,'DRE 2024'!$B62,'Dados Mov Financeira'!$A:$A,'DRE 2024'!S$1,'Dados Mov Financeira'!$B:$B,'DRE 2024'!S$2)</f>
        <v>0</v>
      </c>
      <c r="T62" s="91" t="n">
        <f aca="false">IFERROR(S62/S$5,0)</f>
        <v>0</v>
      </c>
      <c r="U62" s="139" t="n">
        <f aca="false">IFERROR((S62/P62)-1,0)</f>
        <v>-1</v>
      </c>
      <c r="V62" s="157" t="n">
        <v>-750</v>
      </c>
      <c r="W62" s="91" t="n">
        <f aca="false">IFERROR(V62/V$5,0)</f>
        <v>-0.0075</v>
      </c>
      <c r="Y62" s="157" t="n">
        <f aca="false">SUMIFS('Dados Mov Financeira'!$N:$N,'Dados Mov Financeira'!$O:$O,'DRE 2024'!$B62,'Dados Mov Financeira'!$A:$A,'DRE 2024'!Y$1,'Dados Mov Financeira'!$B:$B,'DRE 2024'!Y$2)</f>
        <v>0</v>
      </c>
      <c r="Z62" s="91" t="n">
        <f aca="false">IFERROR(Y62/Y$5,0)</f>
        <v>0</v>
      </c>
      <c r="AA62" s="139" t="n">
        <f aca="false">IFERROR((Y62/V62)-1,0)</f>
        <v>-1</v>
      </c>
      <c r="AB62" s="157" t="n">
        <v>-750</v>
      </c>
      <c r="AC62" s="91" t="n">
        <f aca="false">IFERROR(AB62/AB$5,0)</f>
        <v>-0.00681818181818182</v>
      </c>
      <c r="AE62" s="157" t="n">
        <f aca="false">SUMIFS('Dados Mov Financeira'!$N:$N,'Dados Mov Financeira'!$O:$O,'DRE 2024'!$B62,'Dados Mov Financeira'!$A:$A,'DRE 2024'!AE$1,'Dados Mov Financeira'!$B:$B,'DRE 2024'!AE$2)</f>
        <v>0</v>
      </c>
      <c r="AF62" s="91" t="n">
        <f aca="false">IFERROR(AE62/AE$5,0)</f>
        <v>0</v>
      </c>
      <c r="AG62" s="139" t="n">
        <f aca="false">IFERROR((AE62/AB62)-1,0)</f>
        <v>-1</v>
      </c>
      <c r="AH62" s="157" t="n">
        <v>-750</v>
      </c>
      <c r="AI62" s="91" t="n">
        <f aca="false">IFERROR(AH62/AH$5,0)</f>
        <v>-0.00625</v>
      </c>
      <c r="AK62" s="157" t="n">
        <f aca="false">SUMIFS('Dados Mov Financeira'!$N:$N,'Dados Mov Financeira'!$O:$O,'DRE 2024'!$B62,'Dados Mov Financeira'!$A:$A,'DRE 2024'!AK$1,'Dados Mov Financeira'!$B:$B,'DRE 2024'!AK$2)</f>
        <v>0</v>
      </c>
      <c r="AL62" s="91" t="n">
        <f aca="false">IFERROR(AK62/AK$5,0)</f>
        <v>0</v>
      </c>
      <c r="AM62" s="139" t="n">
        <f aca="false">IFERROR((AK62/AH62)-1,0)</f>
        <v>-1</v>
      </c>
      <c r="AN62" s="157" t="n">
        <v>-750</v>
      </c>
      <c r="AO62" s="91" t="n">
        <f aca="false">IFERROR(AN62/AN$5,0)</f>
        <v>-0.00576923076923077</v>
      </c>
      <c r="AQ62" s="157" t="n">
        <f aca="false">SUMIFS('Dados Mov Financeira'!$N:$N,'Dados Mov Financeira'!$O:$O,'DRE 2024'!$B62,'Dados Mov Financeira'!$A:$A,'DRE 2024'!AQ$1,'Dados Mov Financeira'!$B:$B,'DRE 2024'!AQ$2)</f>
        <v>0</v>
      </c>
      <c r="AR62" s="91" t="n">
        <f aca="false">IFERROR(AQ62/AQ$5,0)</f>
        <v>0</v>
      </c>
      <c r="AS62" s="139" t="n">
        <f aca="false">IFERROR((AQ62/AN62)-1,0)</f>
        <v>-1</v>
      </c>
      <c r="AT62" s="157" t="n">
        <v>-750</v>
      </c>
      <c r="AU62" s="91" t="n">
        <f aca="false">IFERROR(AT62/AT$5,0)</f>
        <v>-0.00535714285714286</v>
      </c>
      <c r="AW62" s="157" t="n">
        <f aca="false">SUMIFS('Dados Mov Financeira'!$N:$N,'Dados Mov Financeira'!$O:$O,'DRE 2024'!$B62,'Dados Mov Financeira'!$A:$A,'DRE 2024'!AW$1,'Dados Mov Financeira'!$B:$B,'DRE 2024'!AW$2)</f>
        <v>0</v>
      </c>
      <c r="AX62" s="91" t="n">
        <f aca="false">IFERROR(AW62/AW$5,0)</f>
        <v>0</v>
      </c>
      <c r="AY62" s="139" t="n">
        <f aca="false">IFERROR((AW62/AT62)-1,0)</f>
        <v>-1</v>
      </c>
      <c r="AZ62" s="157" t="n">
        <v>-750</v>
      </c>
      <c r="BA62" s="91" t="n">
        <f aca="false">IFERROR(AZ62/AZ$5,0)</f>
        <v>-0.005</v>
      </c>
      <c r="BC62" s="157" t="n">
        <f aca="false">SUMIFS('Dados Mov Financeira'!$N:$N,'Dados Mov Financeira'!$O:$O,'DRE 2024'!$B62,'Dados Mov Financeira'!$A:$A,'DRE 2024'!BC$1,'Dados Mov Financeira'!$B:$B,'DRE 2024'!BC$2)</f>
        <v>0</v>
      </c>
      <c r="BD62" s="91" t="n">
        <f aca="false">IFERROR(BC62/BC$5,0)</f>
        <v>0</v>
      </c>
      <c r="BE62" s="139" t="n">
        <f aca="false">IFERROR((BC62/AZ62)-1,0)</f>
        <v>-1</v>
      </c>
      <c r="BF62" s="157" t="n">
        <v>-750</v>
      </c>
      <c r="BG62" s="91" t="n">
        <f aca="false">IFERROR(BF62/BF$5,0)</f>
        <v>-0.005</v>
      </c>
      <c r="BI62" s="157" t="n">
        <f aca="false">SUMIFS('Dados Mov Financeira'!$N:$N,'Dados Mov Financeira'!$O:$O,'DRE 2024'!$B62,'Dados Mov Financeira'!$A:$A,'DRE 2024'!BI$1,'Dados Mov Financeira'!$B:$B,'DRE 2024'!BI$2)</f>
        <v>0</v>
      </c>
      <c r="BJ62" s="91" t="n">
        <f aca="false">IFERROR(BI62/BI$5,0)</f>
        <v>0</v>
      </c>
      <c r="BK62" s="139" t="n">
        <f aca="false">IFERROR((BI62/BF62)-1,0)</f>
        <v>-1</v>
      </c>
      <c r="BL62" s="157" t="n">
        <v>-750</v>
      </c>
      <c r="BM62" s="91" t="n">
        <f aca="false">IFERROR(BL62/BL$5,0)</f>
        <v>-0.005</v>
      </c>
      <c r="BO62" s="157" t="n">
        <f aca="false">SUMIFS('Dados Mov Financeira'!$N:$N,'Dados Mov Financeira'!$O:$O,'DRE 2024'!$B62,'Dados Mov Financeira'!$A:$A,'DRE 2024'!BO$1,'Dados Mov Financeira'!$B:$B,'DRE 2024'!BO$2)</f>
        <v>0</v>
      </c>
      <c r="BP62" s="91" t="n">
        <f aca="false">IFERROR(BO62/BO$5,0)</f>
        <v>0</v>
      </c>
      <c r="BQ62" s="139" t="n">
        <f aca="false">IFERROR((BO62/BL62)-1,0)</f>
        <v>-1</v>
      </c>
      <c r="BR62" s="157" t="n">
        <v>-750</v>
      </c>
      <c r="BS62" s="91" t="n">
        <f aca="false">IFERROR(BR62/BR$5,0)</f>
        <v>-0.005</v>
      </c>
      <c r="BT62" s="171"/>
      <c r="BU62" s="157" t="n">
        <f aca="false">SUMIFS('Dados Mov Financeira'!$N:$N,'Dados Mov Financeira'!$O:$O,'DRE 2024'!$B62,'Dados Mov Financeira'!$A:$A,'DRE 2024'!BU$1,'Dados Mov Financeira'!$B:$B,'DRE 2024'!BU$2)</f>
        <v>0</v>
      </c>
      <c r="BV62" s="91" t="n">
        <f aca="false">IFERROR(BU62/BU$5,0)</f>
        <v>0</v>
      </c>
      <c r="BW62" s="139" t="n">
        <f aca="false">IFERROR((BU62/BR62)-1,0)</f>
        <v>-1</v>
      </c>
      <c r="BX62" s="172" t="n">
        <f aca="false">SUM(D62,J62,P62,V62,AB62,AH62,AN62,AT62,AZ62,BF62,BL62,BR62)</f>
        <v>-8410</v>
      </c>
      <c r="BY62" s="91" t="n">
        <f aca="false">IFERROR(BX62/BX$5,0)</f>
        <v>-0.00578006872852234</v>
      </c>
      <c r="CA62" s="172" t="n">
        <f aca="false">SUM(G62,M62,S62,Y62,AE62,AK62,AQ62,AW62,BC62,BI62,BO62,BU62)</f>
        <v>0</v>
      </c>
      <c r="CB62" s="91" t="n">
        <f aca="false">IFERROR(CA62/CA$5,0)</f>
        <v>0</v>
      </c>
      <c r="CC62" s="139" t="n">
        <f aca="false">IFERROR((CA62/BX62)-1,0)</f>
        <v>-1</v>
      </c>
      <c r="CE62" s="157" t="n">
        <f aca="false">BX62/$CF$1</f>
        <v>-700.833333333333</v>
      </c>
      <c r="CF62" s="94" t="n">
        <f aca="false">IFERROR(CE62/CE$5,0)</f>
        <v>-0.00578006872852234</v>
      </c>
      <c r="CH62" s="157" t="n">
        <f aca="false">CA62/$CI$1</f>
        <v>0</v>
      </c>
      <c r="CI62" s="94" t="n">
        <f aca="false">IFERROR(CH62/CH$5,0)</f>
        <v>0</v>
      </c>
    </row>
    <row r="63" customFormat="false" ht="15.75" hidden="false" customHeight="true" outlineLevel="1" collapsed="false">
      <c r="B63" s="169" t="s">
        <v>90</v>
      </c>
      <c r="D63" s="157" t="n">
        <v>-180</v>
      </c>
      <c r="E63" s="91" t="n">
        <f aca="false">IFERROR(D63/D$5,0)</f>
        <v>-0.00225</v>
      </c>
      <c r="G63" s="157" t="n">
        <f aca="false">SUMIFS('Dados Mov Financeira'!$N:$N,'Dados Mov Financeira'!$O:$O,'DRE 2024'!$B63,'Dados Mov Financeira'!$A:$A,'DRE 2024'!G$1,'Dados Mov Financeira'!$B:$B,'DRE 2024'!G$2)</f>
        <v>0</v>
      </c>
      <c r="H63" s="91" t="n">
        <f aca="false">IFERROR(G63/G$45,0)</f>
        <v>0</v>
      </c>
      <c r="I63" s="138" t="n">
        <f aca="false">IFERROR((G63/D63)-1,0)</f>
        <v>-1</v>
      </c>
      <c r="J63" s="157" t="n">
        <v>-180</v>
      </c>
      <c r="K63" s="91" t="n">
        <f aca="false">IFERROR(J63/J$5,0)</f>
        <v>-0.00211764705882353</v>
      </c>
      <c r="M63" s="157" t="n">
        <f aca="false">SUMIFS('Dados Mov Financeira'!$N:$N,'Dados Mov Financeira'!$O:$O,'DRE 2024'!$B63,'Dados Mov Financeira'!$A:$A,'DRE 2024'!M$1,'Dados Mov Financeira'!$B:$B,'DRE 2024'!M$2)</f>
        <v>0</v>
      </c>
      <c r="N63" s="91" t="n">
        <f aca="false">IFERROR(M63/M$5,0)</f>
        <v>0</v>
      </c>
      <c r="O63" s="139" t="n">
        <f aca="false">IFERROR((M63/J63)-1,0)</f>
        <v>-1</v>
      </c>
      <c r="P63" s="157" t="n">
        <v>-180</v>
      </c>
      <c r="Q63" s="91" t="n">
        <f aca="false">IFERROR(P63/P$5,0)</f>
        <v>-0.002</v>
      </c>
      <c r="S63" s="157" t="n">
        <f aca="false">SUMIFS('Dados Mov Financeira'!$N:$N,'Dados Mov Financeira'!$O:$O,'DRE 2024'!$B63,'Dados Mov Financeira'!$A:$A,'DRE 2024'!S$1,'Dados Mov Financeira'!$B:$B,'DRE 2024'!S$2)</f>
        <v>0</v>
      </c>
      <c r="T63" s="91" t="n">
        <f aca="false">IFERROR(S63/S$5,0)</f>
        <v>0</v>
      </c>
      <c r="U63" s="139" t="n">
        <f aca="false">IFERROR((S63/P63)-1,0)</f>
        <v>-1</v>
      </c>
      <c r="V63" s="157" t="n">
        <v>-180</v>
      </c>
      <c r="W63" s="91" t="n">
        <f aca="false">IFERROR(V63/V$5,0)</f>
        <v>-0.0018</v>
      </c>
      <c r="Y63" s="173" t="n">
        <f aca="false">SUMIFS('Dados Mov Financeira'!$N:$N,'Dados Mov Financeira'!$O:$O,'DRE 2024'!$B63,'Dados Mov Financeira'!$A:$A,'DRE 2024'!Y$1,'Dados Mov Financeira'!$B:$B,'DRE 2024'!Y$2)</f>
        <v>0</v>
      </c>
      <c r="Z63" s="91" t="n">
        <f aca="false">IFERROR(Y63/Y$5,0)</f>
        <v>0</v>
      </c>
      <c r="AA63" s="139" t="n">
        <f aca="false">IFERROR((Y63/V63)-1,0)</f>
        <v>-1</v>
      </c>
      <c r="AB63" s="157" t="n">
        <v>-180</v>
      </c>
      <c r="AC63" s="91" t="n">
        <f aca="false">IFERROR(AB63/AB$5,0)</f>
        <v>-0.00163636363636364</v>
      </c>
      <c r="AE63" s="157" t="n">
        <f aca="false">SUMIFS('Dados Mov Financeira'!$N:$N,'Dados Mov Financeira'!$O:$O,'DRE 2024'!$B63,'Dados Mov Financeira'!$A:$A,'DRE 2024'!AE$1,'Dados Mov Financeira'!$B:$B,'DRE 2024'!AE$2)</f>
        <v>0</v>
      </c>
      <c r="AF63" s="91" t="n">
        <f aca="false">IFERROR(AE63/AE$5,0)</f>
        <v>0</v>
      </c>
      <c r="AG63" s="139" t="n">
        <f aca="false">IFERROR((AE63/AB63)-1,0)</f>
        <v>-1</v>
      </c>
      <c r="AH63" s="157" t="n">
        <v>-180</v>
      </c>
      <c r="AI63" s="91" t="n">
        <f aca="false">IFERROR(AH63/AH$5,0)</f>
        <v>-0.0015</v>
      </c>
      <c r="AK63" s="157" t="n">
        <f aca="false">SUMIFS('Dados Mov Financeira'!$N:$N,'Dados Mov Financeira'!$O:$O,'DRE 2024'!$B63,'Dados Mov Financeira'!$A:$A,'DRE 2024'!AK$1,'Dados Mov Financeira'!$B:$B,'DRE 2024'!AK$2)</f>
        <v>0</v>
      </c>
      <c r="AL63" s="91" t="n">
        <f aca="false">IFERROR(AK63/AK$5,0)</f>
        <v>0</v>
      </c>
      <c r="AM63" s="139" t="n">
        <f aca="false">IFERROR((AK63/AH63)-1,0)</f>
        <v>-1</v>
      </c>
      <c r="AN63" s="157" t="n">
        <v>-180</v>
      </c>
      <c r="AO63" s="91" t="n">
        <f aca="false">IFERROR(AN63/AN$5,0)</f>
        <v>-0.00138461538461538</v>
      </c>
      <c r="AQ63" s="157" t="n">
        <f aca="false">SUMIFS('Dados Mov Financeira'!$N:$N,'Dados Mov Financeira'!$O:$O,'DRE 2024'!$B63,'Dados Mov Financeira'!$A:$A,'DRE 2024'!AQ$1,'Dados Mov Financeira'!$B:$B,'DRE 2024'!AQ$2)</f>
        <v>0</v>
      </c>
      <c r="AR63" s="91" t="n">
        <f aca="false">IFERROR(AQ63/AQ$5,0)</f>
        <v>0</v>
      </c>
      <c r="AS63" s="139" t="n">
        <f aca="false">IFERROR((AQ63/AN63)-1,0)</f>
        <v>-1</v>
      </c>
      <c r="AT63" s="157" t="n">
        <v>-180</v>
      </c>
      <c r="AU63" s="91" t="n">
        <f aca="false">IFERROR(AT63/AT$5,0)</f>
        <v>-0.00128571428571429</v>
      </c>
      <c r="AW63" s="157" t="n">
        <f aca="false">SUMIFS('Dados Mov Financeira'!$N:$N,'Dados Mov Financeira'!$O:$O,'DRE 2024'!$B63,'Dados Mov Financeira'!$A:$A,'DRE 2024'!AW$1,'Dados Mov Financeira'!$B:$B,'DRE 2024'!AW$2)</f>
        <v>0</v>
      </c>
      <c r="AX63" s="91" t="n">
        <f aca="false">IFERROR(AW63/AW$5,0)</f>
        <v>0</v>
      </c>
      <c r="AY63" s="139" t="n">
        <f aca="false">IFERROR((AW63/AT63)-1,0)</f>
        <v>-1</v>
      </c>
      <c r="AZ63" s="157" t="n">
        <v>-180</v>
      </c>
      <c r="BA63" s="91" t="n">
        <f aca="false">IFERROR(AZ63/AZ$5,0)</f>
        <v>-0.0012</v>
      </c>
      <c r="BC63" s="157" t="n">
        <f aca="false">SUMIFS('Dados Mov Financeira'!$N:$N,'Dados Mov Financeira'!$O:$O,'DRE 2024'!$B63,'Dados Mov Financeira'!$A:$A,'DRE 2024'!BC$1,'Dados Mov Financeira'!$B:$B,'DRE 2024'!BC$2)</f>
        <v>0</v>
      </c>
      <c r="BD63" s="91" t="n">
        <f aca="false">IFERROR(BC63/BC$5,0)</f>
        <v>0</v>
      </c>
      <c r="BE63" s="139" t="n">
        <f aca="false">IFERROR((BC63/AZ63)-1,0)</f>
        <v>-1</v>
      </c>
      <c r="BF63" s="157" t="n">
        <v>-180</v>
      </c>
      <c r="BG63" s="91" t="n">
        <f aca="false">IFERROR(BF63/BF$5,0)</f>
        <v>-0.0012</v>
      </c>
      <c r="BI63" s="157" t="n">
        <f aca="false">SUMIFS('Dados Mov Financeira'!$N:$N,'Dados Mov Financeira'!$O:$O,'DRE 2024'!$B63,'Dados Mov Financeira'!$A:$A,'DRE 2024'!BI$1,'Dados Mov Financeira'!$B:$B,'DRE 2024'!BI$2)</f>
        <v>0</v>
      </c>
      <c r="BJ63" s="91" t="n">
        <f aca="false">IFERROR(BI63/BI$5,0)</f>
        <v>0</v>
      </c>
      <c r="BK63" s="139" t="n">
        <f aca="false">IFERROR((BI63/BF63)-1,0)</f>
        <v>-1</v>
      </c>
      <c r="BL63" s="157" t="n">
        <v>-180</v>
      </c>
      <c r="BM63" s="91" t="n">
        <f aca="false">IFERROR(BL63/BL$5,0)</f>
        <v>-0.0012</v>
      </c>
      <c r="BO63" s="157" t="n">
        <f aca="false">SUMIFS('Dados Mov Financeira'!$N:$N,'Dados Mov Financeira'!$O:$O,'DRE 2024'!$B63,'Dados Mov Financeira'!$A:$A,'DRE 2024'!BO$1,'Dados Mov Financeira'!$B:$B,'DRE 2024'!BO$2)</f>
        <v>0</v>
      </c>
      <c r="BP63" s="91" t="n">
        <f aca="false">IFERROR(BO63/BO$5,0)</f>
        <v>0</v>
      </c>
      <c r="BQ63" s="139" t="n">
        <f aca="false">IFERROR((BO63/BL63)-1,0)</f>
        <v>-1</v>
      </c>
      <c r="BR63" s="157" t="n">
        <v>-180</v>
      </c>
      <c r="BS63" s="91" t="n">
        <f aca="false">IFERROR(BR63/BR$5,0)</f>
        <v>-0.0012</v>
      </c>
      <c r="BT63" s="171"/>
      <c r="BU63" s="157" t="n">
        <f aca="false">SUMIFS('Dados Mov Financeira'!$N:$N,'Dados Mov Financeira'!$O:$O,'DRE 2024'!$B63,'Dados Mov Financeira'!$A:$A,'DRE 2024'!BU$1,'Dados Mov Financeira'!$B:$B,'DRE 2024'!BU$2)</f>
        <v>0</v>
      </c>
      <c r="BV63" s="91" t="n">
        <f aca="false">IFERROR(BU63/BU$5,0)</f>
        <v>0</v>
      </c>
      <c r="BW63" s="139" t="n">
        <f aca="false">IFERROR((BU63/BR63)-1,0)</f>
        <v>-1</v>
      </c>
      <c r="BX63" s="172" t="n">
        <f aca="false">SUM(D63,J63,P63,V63,AB63,AH63,AN63,AT63,AZ63,BF63,BL63,BR63)</f>
        <v>-2160</v>
      </c>
      <c r="BY63" s="91" t="n">
        <f aca="false">IFERROR(BX63/BX$5,0)</f>
        <v>-0.00148453608247423</v>
      </c>
      <c r="CA63" s="172" t="n">
        <f aca="false">SUM(G63,M63,S63,Y63,AE63,AK63,AQ63,AW63,BC63,BI63,BO63,BU63)</f>
        <v>0</v>
      </c>
      <c r="CB63" s="91" t="n">
        <f aca="false">IFERROR(CA63/CA$5,0)</f>
        <v>0</v>
      </c>
      <c r="CC63" s="139" t="n">
        <f aca="false">IFERROR((CA63/BX63)-1,0)</f>
        <v>-1</v>
      </c>
      <c r="CE63" s="157" t="n">
        <f aca="false">BX63/$CF$1</f>
        <v>-180</v>
      </c>
      <c r="CF63" s="94" t="n">
        <f aca="false">IFERROR(CE63/CE$5,0)</f>
        <v>-0.00148453608247423</v>
      </c>
      <c r="CH63" s="157" t="n">
        <f aca="false">CA63/$CI$1</f>
        <v>0</v>
      </c>
      <c r="CI63" s="94" t="n">
        <f aca="false">IFERROR(CH63/CH$5,0)</f>
        <v>0</v>
      </c>
    </row>
    <row r="64" customFormat="false" ht="15.75" hidden="false" customHeight="true" outlineLevel="1" collapsed="false">
      <c r="B64" s="169" t="s">
        <v>92</v>
      </c>
      <c r="D64" s="157" t="n">
        <v>-4000</v>
      </c>
      <c r="E64" s="91" t="n">
        <f aca="false">IFERROR(D64/D$5,0)</f>
        <v>-0.05</v>
      </c>
      <c r="G64" s="157" t="n">
        <f aca="false">SUMIFS('Dados Mov Financeira'!$N:$N,'Dados Mov Financeira'!$O:$O,'DRE 2024'!$B64,'Dados Mov Financeira'!$A:$A,'DRE 2024'!G$1,'Dados Mov Financeira'!$B:$B,'DRE 2024'!G$2)</f>
        <v>0</v>
      </c>
      <c r="H64" s="91" t="n">
        <f aca="false">IFERROR(G64/G$45,0)</f>
        <v>0</v>
      </c>
      <c r="I64" s="138" t="n">
        <f aca="false">IFERROR((G64/D64)-1,0)</f>
        <v>-1</v>
      </c>
      <c r="J64" s="157" t="n">
        <v>-4000</v>
      </c>
      <c r="K64" s="91" t="n">
        <f aca="false">IFERROR(J64/J$5,0)</f>
        <v>-0.0470588235294118</v>
      </c>
      <c r="M64" s="157" t="n">
        <f aca="false">SUMIFS('Dados Mov Financeira'!$N:$N,'Dados Mov Financeira'!$O:$O,'DRE 2024'!$B64,'Dados Mov Financeira'!$A:$A,'DRE 2024'!M$1,'Dados Mov Financeira'!$B:$B,'DRE 2024'!M$2)</f>
        <v>0</v>
      </c>
      <c r="N64" s="91" t="n">
        <f aca="false">IFERROR(M64/M$5,0)</f>
        <v>0</v>
      </c>
      <c r="O64" s="139" t="n">
        <f aca="false">IFERROR((M64/J64)-1,0)</f>
        <v>-1</v>
      </c>
      <c r="P64" s="157" t="n">
        <v>-4000</v>
      </c>
      <c r="Q64" s="91" t="n">
        <f aca="false">IFERROR(P64/P$5,0)</f>
        <v>-0.0444444444444444</v>
      </c>
      <c r="S64" s="157" t="n">
        <f aca="false">SUMIFS('Dados Mov Financeira'!$N:$N,'Dados Mov Financeira'!$O:$O,'DRE 2024'!$B64,'Dados Mov Financeira'!$A:$A,'DRE 2024'!S$1,'Dados Mov Financeira'!$B:$B,'DRE 2024'!S$2)</f>
        <v>0</v>
      </c>
      <c r="T64" s="91" t="n">
        <f aca="false">IFERROR(S64/S$5,0)</f>
        <v>0</v>
      </c>
      <c r="U64" s="139" t="n">
        <f aca="false">IFERROR((S64/P64)-1,0)</f>
        <v>-1</v>
      </c>
      <c r="V64" s="157" t="n">
        <v>-4000</v>
      </c>
      <c r="W64" s="91" t="n">
        <f aca="false">IFERROR(V64/V$5,0)</f>
        <v>-0.04</v>
      </c>
      <c r="Y64" s="157" t="n">
        <f aca="false">SUMIFS('Dados Mov Financeira'!$N:$N,'Dados Mov Financeira'!$O:$O,'DRE 2024'!$B64,'Dados Mov Financeira'!$A:$A,'DRE 2024'!Y$1,'Dados Mov Financeira'!$B:$B,'DRE 2024'!Y$2)</f>
        <v>0</v>
      </c>
      <c r="Z64" s="91" t="n">
        <f aca="false">IFERROR(Y64/Y$5,0)</f>
        <v>0</v>
      </c>
      <c r="AA64" s="139" t="n">
        <f aca="false">IFERROR((Y64/V64)-1,0)</f>
        <v>-1</v>
      </c>
      <c r="AB64" s="157" t="n">
        <v>-4000</v>
      </c>
      <c r="AC64" s="91" t="n">
        <f aca="false">IFERROR(AB64/AB$5,0)</f>
        <v>-0.0363636363636364</v>
      </c>
      <c r="AE64" s="173" t="n">
        <f aca="false">SUMIFS('Dados Mov Financeira'!$N:$N,'Dados Mov Financeira'!$O:$O,'DRE 2024'!$B64,'Dados Mov Financeira'!$A:$A,'DRE 2024'!AE$1,'Dados Mov Financeira'!$B:$B,'DRE 2024'!AE$2)</f>
        <v>0</v>
      </c>
      <c r="AF64" s="91" t="n">
        <f aca="false">IFERROR(AE64/AE$5,0)</f>
        <v>0</v>
      </c>
      <c r="AG64" s="139" t="n">
        <f aca="false">IFERROR((AE64/AB64)-1,0)</f>
        <v>-1</v>
      </c>
      <c r="AH64" s="157" t="n">
        <v>-4000</v>
      </c>
      <c r="AI64" s="91" t="n">
        <f aca="false">IFERROR(AH64/AH$5,0)</f>
        <v>-0.0333333333333333</v>
      </c>
      <c r="AK64" s="173" t="n">
        <f aca="false">SUMIFS('Dados Mov Financeira'!$N:$N,'Dados Mov Financeira'!$O:$O,'DRE 2024'!$B64,'Dados Mov Financeira'!$A:$A,'DRE 2024'!AK$1,'Dados Mov Financeira'!$B:$B,'DRE 2024'!AK$2)</f>
        <v>0</v>
      </c>
      <c r="AL64" s="91" t="n">
        <f aca="false">IFERROR(AK64/AK$5,0)</f>
        <v>0</v>
      </c>
      <c r="AM64" s="139" t="n">
        <f aca="false">IFERROR((AK64/AH64)-1,0)</f>
        <v>-1</v>
      </c>
      <c r="AN64" s="157" t="n">
        <v>-4000</v>
      </c>
      <c r="AO64" s="91" t="n">
        <f aca="false">IFERROR(AN64/AN$5,0)</f>
        <v>-0.0307692307692308</v>
      </c>
      <c r="AQ64" s="173" t="n">
        <f aca="false">SUMIFS('Dados Mov Financeira'!$N:$N,'Dados Mov Financeira'!$O:$O,'DRE 2024'!$B64,'Dados Mov Financeira'!$A:$A,'DRE 2024'!AQ$1,'Dados Mov Financeira'!$B:$B,'DRE 2024'!AQ$2)</f>
        <v>0</v>
      </c>
      <c r="AR64" s="91" t="n">
        <f aca="false">IFERROR(AQ64/AQ$5,0)</f>
        <v>0</v>
      </c>
      <c r="AS64" s="139" t="n">
        <f aca="false">IFERROR((AQ64/AN64)-1,0)</f>
        <v>-1</v>
      </c>
      <c r="AT64" s="157" t="n">
        <v>-4000</v>
      </c>
      <c r="AU64" s="91" t="n">
        <f aca="false">IFERROR(AT64/AT$5,0)</f>
        <v>-0.0285714285714286</v>
      </c>
      <c r="AW64" s="173" t="n">
        <f aca="false">SUMIFS('Dados Mov Financeira'!$N:$N,'Dados Mov Financeira'!$O:$O,'DRE 2024'!$B64,'Dados Mov Financeira'!$A:$A,'DRE 2024'!AW$1,'Dados Mov Financeira'!$B:$B,'DRE 2024'!AW$2)</f>
        <v>0</v>
      </c>
      <c r="AX64" s="91" t="n">
        <f aca="false">IFERROR(AW64/AW$5,0)</f>
        <v>0</v>
      </c>
      <c r="AY64" s="139" t="n">
        <f aca="false">IFERROR((AW64/AT64)-1,0)</f>
        <v>-1</v>
      </c>
      <c r="AZ64" s="157" t="n">
        <v>-4000</v>
      </c>
      <c r="BA64" s="91" t="n">
        <f aca="false">IFERROR(AZ64/AZ$5,0)</f>
        <v>-0.0266666666666667</v>
      </c>
      <c r="BC64" s="173" t="n">
        <f aca="false">SUMIFS('Dados Mov Financeira'!$N:$N,'Dados Mov Financeira'!$O:$O,'DRE 2024'!$B64,'Dados Mov Financeira'!$A:$A,'DRE 2024'!BC$1,'Dados Mov Financeira'!$B:$B,'DRE 2024'!BC$2)</f>
        <v>0</v>
      </c>
      <c r="BD64" s="91" t="n">
        <f aca="false">IFERROR(BC64/BC$5,0)</f>
        <v>0</v>
      </c>
      <c r="BE64" s="139" t="n">
        <f aca="false">IFERROR((BC64/AZ64)-1,0)</f>
        <v>-1</v>
      </c>
      <c r="BF64" s="157" t="n">
        <v>-4000</v>
      </c>
      <c r="BG64" s="91" t="n">
        <f aca="false">IFERROR(BF64/BF$5,0)</f>
        <v>-0.0266666666666667</v>
      </c>
      <c r="BI64" s="173" t="n">
        <f aca="false">SUMIFS('Dados Mov Financeira'!$N:$N,'Dados Mov Financeira'!$O:$O,'DRE 2024'!$B64,'Dados Mov Financeira'!$A:$A,'DRE 2024'!BI$1,'Dados Mov Financeira'!$B:$B,'DRE 2024'!BI$2)</f>
        <v>0</v>
      </c>
      <c r="BJ64" s="91" t="n">
        <f aca="false">IFERROR(BI64/BI$5,0)</f>
        <v>0</v>
      </c>
      <c r="BK64" s="139" t="n">
        <f aca="false">IFERROR((BI64/BF64)-1,0)</f>
        <v>-1</v>
      </c>
      <c r="BL64" s="157" t="n">
        <v>-4000</v>
      </c>
      <c r="BM64" s="91" t="n">
        <f aca="false">IFERROR(BL64/BL$5,0)</f>
        <v>-0.0266666666666667</v>
      </c>
      <c r="BO64" s="173" t="n">
        <f aca="false">SUMIFS('Dados Mov Financeira'!$N:$N,'Dados Mov Financeira'!$O:$O,'DRE 2024'!$B64,'Dados Mov Financeira'!$A:$A,'DRE 2024'!BO$1,'Dados Mov Financeira'!$B:$B,'DRE 2024'!BO$2)</f>
        <v>0</v>
      </c>
      <c r="BP64" s="91" t="n">
        <f aca="false">IFERROR(BO64/BO$5,0)</f>
        <v>0</v>
      </c>
      <c r="BQ64" s="139" t="n">
        <f aca="false">IFERROR((BO64/BL64)-1,0)</f>
        <v>-1</v>
      </c>
      <c r="BR64" s="157" t="n">
        <v>-4000</v>
      </c>
      <c r="BS64" s="91" t="n">
        <f aca="false">IFERROR(BR64/BR$5,0)</f>
        <v>-0.0266666666666667</v>
      </c>
      <c r="BT64" s="171"/>
      <c r="BU64" s="173" t="n">
        <f aca="false">SUMIFS('Dados Mov Financeira'!$N:$N,'Dados Mov Financeira'!$O:$O,'DRE 2024'!$B64,'Dados Mov Financeira'!$A:$A,'DRE 2024'!BU$1,'Dados Mov Financeira'!$B:$B,'DRE 2024'!BU$2)</f>
        <v>0</v>
      </c>
      <c r="BV64" s="91" t="n">
        <f aca="false">IFERROR(BU64/BU$5,0)</f>
        <v>0</v>
      </c>
      <c r="BW64" s="139" t="n">
        <f aca="false">IFERROR((BU64/BR64)-1,0)</f>
        <v>-1</v>
      </c>
      <c r="BX64" s="172" t="n">
        <f aca="false">SUM(D64,J64,P64,V64,AB64,AH64,AN64,AT64,AZ64,BF64,BL64,BR64)</f>
        <v>-48000</v>
      </c>
      <c r="BY64" s="91" t="n">
        <f aca="false">IFERROR(BX64/BX$5,0)</f>
        <v>-0.0329896907216495</v>
      </c>
      <c r="CA64" s="172" t="n">
        <f aca="false">SUM(G64,M64,S64,Y64,AE64,AK64,AQ64,AW64,BC64,BI64,BO64,BU64)</f>
        <v>0</v>
      </c>
      <c r="CB64" s="91" t="n">
        <f aca="false">IFERROR(CA64/CA$5,0)</f>
        <v>0</v>
      </c>
      <c r="CC64" s="139" t="n">
        <f aca="false">IFERROR((CA64/BX64)-1,0)</f>
        <v>-1</v>
      </c>
      <c r="CE64" s="157" t="n">
        <f aca="false">BX64/$CF$1</f>
        <v>-4000</v>
      </c>
      <c r="CF64" s="94" t="n">
        <f aca="false">IFERROR(CE64/CE$5,0)</f>
        <v>-0.0329896907216495</v>
      </c>
      <c r="CH64" s="157" t="n">
        <f aca="false">CA64/$CI$1</f>
        <v>0</v>
      </c>
      <c r="CI64" s="94" t="n">
        <f aca="false">IFERROR(CH64/CH$5,0)</f>
        <v>0</v>
      </c>
    </row>
    <row r="65" customFormat="false" ht="15.75" hidden="false" customHeight="true" outlineLevel="1" collapsed="false">
      <c r="B65" s="169" t="s">
        <v>93</v>
      </c>
      <c r="D65" s="157" t="n">
        <v>-100</v>
      </c>
      <c r="E65" s="91" t="n">
        <f aca="false">IFERROR(D65/D$5,0)</f>
        <v>-0.00125</v>
      </c>
      <c r="G65" s="157" t="n">
        <f aca="false">SUMIFS('Dados Mov Financeira'!$N:$N,'Dados Mov Financeira'!$O:$O,'DRE 2024'!$B65,'Dados Mov Financeira'!$A:$A,'DRE 2024'!G$1,'Dados Mov Financeira'!$B:$B,'DRE 2024'!G$2)</f>
        <v>0</v>
      </c>
      <c r="H65" s="91" t="n">
        <f aca="false">IFERROR(G65/G$45,0)</f>
        <v>0</v>
      </c>
      <c r="I65" s="138" t="n">
        <f aca="false">IFERROR((G65/D65)-1,0)</f>
        <v>-1</v>
      </c>
      <c r="J65" s="157" t="n">
        <v>-100</v>
      </c>
      <c r="K65" s="91" t="n">
        <f aca="false">IFERROR(J65/J$5,0)</f>
        <v>-0.00117647058823529</v>
      </c>
      <c r="M65" s="157" t="n">
        <f aca="false">SUMIFS('Dados Mov Financeira'!$N:$N,'Dados Mov Financeira'!$O:$O,'DRE 2024'!$B65,'Dados Mov Financeira'!$A:$A,'DRE 2024'!M$1,'Dados Mov Financeira'!$B:$B,'DRE 2024'!M$2)</f>
        <v>0</v>
      </c>
      <c r="N65" s="91" t="n">
        <f aca="false">IFERROR(M65/M$5,0)</f>
        <v>0</v>
      </c>
      <c r="O65" s="139" t="n">
        <f aca="false">IFERROR((M65/J65)-1,0)</f>
        <v>-1</v>
      </c>
      <c r="P65" s="157" t="n">
        <v>-100</v>
      </c>
      <c r="Q65" s="91" t="n">
        <f aca="false">IFERROR(P65/P$5,0)</f>
        <v>-0.00111111111111111</v>
      </c>
      <c r="S65" s="157" t="n">
        <f aca="false">SUMIFS('Dados Mov Financeira'!$N:$N,'Dados Mov Financeira'!$O:$O,'DRE 2024'!$B65,'Dados Mov Financeira'!$A:$A,'DRE 2024'!S$1,'Dados Mov Financeira'!$B:$B,'DRE 2024'!S$2)</f>
        <v>0</v>
      </c>
      <c r="T65" s="91" t="n">
        <f aca="false">IFERROR(S65/S$5,0)</f>
        <v>0</v>
      </c>
      <c r="U65" s="139" t="n">
        <f aca="false">IFERROR((S65/P65)-1,0)</f>
        <v>-1</v>
      </c>
      <c r="V65" s="157" t="n">
        <v>-100</v>
      </c>
      <c r="W65" s="91" t="n">
        <f aca="false">IFERROR(V65/V$5,0)</f>
        <v>-0.001</v>
      </c>
      <c r="Y65" s="157" t="n">
        <f aca="false">SUMIFS('Dados Mov Financeira'!$N:$N,'Dados Mov Financeira'!$O:$O,'DRE 2024'!$B65,'Dados Mov Financeira'!$A:$A,'DRE 2024'!Y$1,'Dados Mov Financeira'!$B:$B,'DRE 2024'!Y$2)</f>
        <v>0</v>
      </c>
      <c r="Z65" s="91" t="n">
        <f aca="false">IFERROR(Y65/Y$5,0)</f>
        <v>0</v>
      </c>
      <c r="AA65" s="139" t="n">
        <f aca="false">IFERROR((Y65/V65)-1,0)</f>
        <v>-1</v>
      </c>
      <c r="AB65" s="157" t="n">
        <v>-100</v>
      </c>
      <c r="AC65" s="91" t="n">
        <f aca="false">IFERROR(AB65/AB$5,0)</f>
        <v>-0.000909090909090909</v>
      </c>
      <c r="AE65" s="157" t="n">
        <f aca="false">SUMIFS('Dados Mov Financeira'!$N:$N,'Dados Mov Financeira'!$O:$O,'DRE 2024'!$B65,'Dados Mov Financeira'!$A:$A,'DRE 2024'!AE$1,'Dados Mov Financeira'!$B:$B,'DRE 2024'!AE$2)</f>
        <v>0</v>
      </c>
      <c r="AF65" s="91" t="n">
        <f aca="false">IFERROR(AE65/AE$5,0)</f>
        <v>0</v>
      </c>
      <c r="AG65" s="139" t="n">
        <f aca="false">IFERROR((AE65/AB65)-1,0)</f>
        <v>-1</v>
      </c>
      <c r="AH65" s="157" t="n">
        <v>-100</v>
      </c>
      <c r="AI65" s="91" t="n">
        <f aca="false">IFERROR(AH65/AH$5,0)</f>
        <v>-0.000833333333333333</v>
      </c>
      <c r="AK65" s="157" t="n">
        <f aca="false">SUMIFS('Dados Mov Financeira'!$N:$N,'Dados Mov Financeira'!$O:$O,'DRE 2024'!$B65,'Dados Mov Financeira'!$A:$A,'DRE 2024'!AK$1,'Dados Mov Financeira'!$B:$B,'DRE 2024'!AK$2)</f>
        <v>0</v>
      </c>
      <c r="AL65" s="91" t="n">
        <f aca="false">IFERROR(AK65/AK$5,0)</f>
        <v>0</v>
      </c>
      <c r="AM65" s="139" t="n">
        <f aca="false">IFERROR((AK65/AH65)-1,0)</f>
        <v>-1</v>
      </c>
      <c r="AN65" s="157" t="n">
        <v>-100</v>
      </c>
      <c r="AO65" s="91" t="n">
        <f aca="false">IFERROR(AN65/AN$5,0)</f>
        <v>-0.000769230769230769</v>
      </c>
      <c r="AQ65" s="157" t="n">
        <f aca="false">SUMIFS('Dados Mov Financeira'!$N:$N,'Dados Mov Financeira'!$O:$O,'DRE 2024'!$B65,'Dados Mov Financeira'!$A:$A,'DRE 2024'!AQ$1,'Dados Mov Financeira'!$B:$B,'DRE 2024'!AQ$2)</f>
        <v>0</v>
      </c>
      <c r="AR65" s="91" t="n">
        <f aca="false">IFERROR(AQ65/AQ$5,0)</f>
        <v>0</v>
      </c>
      <c r="AS65" s="139" t="n">
        <f aca="false">IFERROR((AQ65/AN65)-1,0)</f>
        <v>-1</v>
      </c>
      <c r="AT65" s="157" t="n">
        <v>-100</v>
      </c>
      <c r="AU65" s="91" t="n">
        <f aca="false">IFERROR(AT65/AT$5,0)</f>
        <v>-0.000714285714285714</v>
      </c>
      <c r="AW65" s="157" t="n">
        <f aca="false">SUMIFS('Dados Mov Financeira'!$N:$N,'Dados Mov Financeira'!$O:$O,'DRE 2024'!$B65,'Dados Mov Financeira'!$A:$A,'DRE 2024'!AW$1,'Dados Mov Financeira'!$B:$B,'DRE 2024'!AW$2)</f>
        <v>0</v>
      </c>
      <c r="AX65" s="91" t="n">
        <f aca="false">IFERROR(AW65/AW$5,0)</f>
        <v>0</v>
      </c>
      <c r="AY65" s="139" t="n">
        <f aca="false">IFERROR((AW65/AT65)-1,0)</f>
        <v>-1</v>
      </c>
      <c r="AZ65" s="157" t="n">
        <v>-100</v>
      </c>
      <c r="BA65" s="91" t="n">
        <f aca="false">IFERROR(AZ65/AZ$5,0)</f>
        <v>-0.000666666666666667</v>
      </c>
      <c r="BC65" s="157" t="n">
        <f aca="false">SUMIFS('Dados Mov Financeira'!$N:$N,'Dados Mov Financeira'!$O:$O,'DRE 2024'!$B65,'Dados Mov Financeira'!$A:$A,'DRE 2024'!BC$1,'Dados Mov Financeira'!$B:$B,'DRE 2024'!BC$2)</f>
        <v>0</v>
      </c>
      <c r="BD65" s="91" t="n">
        <f aca="false">IFERROR(BC65/BC$5,0)</f>
        <v>0</v>
      </c>
      <c r="BE65" s="139" t="n">
        <f aca="false">IFERROR((BC65/AZ65)-1,0)</f>
        <v>-1</v>
      </c>
      <c r="BF65" s="157" t="n">
        <v>-100</v>
      </c>
      <c r="BG65" s="91" t="n">
        <f aca="false">IFERROR(BF65/BF$5,0)</f>
        <v>-0.000666666666666667</v>
      </c>
      <c r="BI65" s="157" t="n">
        <f aca="false">SUMIFS('Dados Mov Financeira'!$N:$N,'Dados Mov Financeira'!$O:$O,'DRE 2024'!$B65,'Dados Mov Financeira'!$A:$A,'DRE 2024'!BI$1,'Dados Mov Financeira'!$B:$B,'DRE 2024'!BI$2)</f>
        <v>0</v>
      </c>
      <c r="BJ65" s="91" t="n">
        <f aca="false">IFERROR(BI65/BI$5,0)</f>
        <v>0</v>
      </c>
      <c r="BK65" s="139" t="n">
        <f aca="false">IFERROR((BI65/BF65)-1,0)</f>
        <v>-1</v>
      </c>
      <c r="BL65" s="157" t="n">
        <v>-100</v>
      </c>
      <c r="BM65" s="91" t="n">
        <f aca="false">IFERROR(BL65/BL$5,0)</f>
        <v>-0.000666666666666667</v>
      </c>
      <c r="BO65" s="157" t="n">
        <f aca="false">SUMIFS('Dados Mov Financeira'!$N:$N,'Dados Mov Financeira'!$O:$O,'DRE 2024'!$B65,'Dados Mov Financeira'!$A:$A,'DRE 2024'!BO$1,'Dados Mov Financeira'!$B:$B,'DRE 2024'!BO$2)</f>
        <v>0</v>
      </c>
      <c r="BP65" s="91" t="n">
        <f aca="false">IFERROR(BO65/BO$5,0)</f>
        <v>0</v>
      </c>
      <c r="BQ65" s="139" t="n">
        <f aca="false">IFERROR((BO65/BL65)-1,0)</f>
        <v>-1</v>
      </c>
      <c r="BR65" s="157" t="n">
        <v>-100</v>
      </c>
      <c r="BS65" s="91" t="n">
        <f aca="false">IFERROR(BR65/BR$5,0)</f>
        <v>-0.000666666666666667</v>
      </c>
      <c r="BT65" s="171"/>
      <c r="BU65" s="157" t="n">
        <f aca="false">SUMIFS('Dados Mov Financeira'!$N:$N,'Dados Mov Financeira'!$O:$O,'DRE 2024'!$B65,'Dados Mov Financeira'!$A:$A,'DRE 2024'!BU$1,'Dados Mov Financeira'!$B:$B,'DRE 2024'!BU$2)</f>
        <v>0</v>
      </c>
      <c r="BV65" s="91" t="n">
        <f aca="false">IFERROR(BU65/BU$5,0)</f>
        <v>0</v>
      </c>
      <c r="BW65" s="139" t="n">
        <f aca="false">IFERROR((BU65/BR65)-1,0)</f>
        <v>-1</v>
      </c>
      <c r="BX65" s="172" t="n">
        <f aca="false">SUM(D65,J65,P65,V65,AB65,AH65,AN65,AT65,AZ65,BF65,BL65,BR65)</f>
        <v>-1200</v>
      </c>
      <c r="BY65" s="91" t="n">
        <f aca="false">IFERROR(BX65/BX$5,0)</f>
        <v>-0.000824742268041237</v>
      </c>
      <c r="CA65" s="172" t="n">
        <f aca="false">SUM(G65,M65,S65,Y65,AE65,AK65,AQ65,AW65,BC65,BI65,BO65,BU65)</f>
        <v>0</v>
      </c>
      <c r="CB65" s="91" t="n">
        <f aca="false">IFERROR(CA65/CA$5,0)</f>
        <v>0</v>
      </c>
      <c r="CC65" s="139" t="n">
        <f aca="false">IFERROR((CA65/BX65)-1,0)</f>
        <v>-1</v>
      </c>
      <c r="CE65" s="157" t="n">
        <f aca="false">BX65/$CF$1</f>
        <v>-100</v>
      </c>
      <c r="CF65" s="94" t="n">
        <f aca="false">IFERROR(CE65/CE$5,0)</f>
        <v>-0.000824742268041237</v>
      </c>
      <c r="CH65" s="157" t="n">
        <f aca="false">CA65/$CI$1</f>
        <v>0</v>
      </c>
      <c r="CI65" s="94" t="n">
        <f aca="false">IFERROR(CH65/CH$5,0)</f>
        <v>0</v>
      </c>
    </row>
    <row r="66" customFormat="false" ht="15.75" hidden="false" customHeight="true" outlineLevel="1" collapsed="false">
      <c r="B66" s="169" t="s">
        <v>94</v>
      </c>
      <c r="D66" s="157" t="n">
        <v>-65</v>
      </c>
      <c r="E66" s="91" t="n">
        <f aca="false">IFERROR(D66/D$5,0)</f>
        <v>-0.0008125</v>
      </c>
      <c r="G66" s="157" t="n">
        <f aca="false">SUMIFS('Dados Mov Financeira'!$N:$N,'Dados Mov Financeira'!$O:$O,'DRE 2024'!$B66,'Dados Mov Financeira'!$A:$A,'DRE 2024'!G$1,'Dados Mov Financeira'!$B:$B,'DRE 2024'!G$2)</f>
        <v>0</v>
      </c>
      <c r="H66" s="91" t="n">
        <f aca="false">IFERROR(G66/G$45,0)</f>
        <v>0</v>
      </c>
      <c r="I66" s="138" t="n">
        <f aca="false">IFERROR((G66/D66)-1,0)</f>
        <v>-1</v>
      </c>
      <c r="J66" s="157" t="n">
        <v>-65</v>
      </c>
      <c r="K66" s="91" t="n">
        <f aca="false">IFERROR(J66/J$5,0)</f>
        <v>-0.000764705882352941</v>
      </c>
      <c r="M66" s="157" t="n">
        <f aca="false">SUMIFS('Dados Mov Financeira'!$N:$N,'Dados Mov Financeira'!$O:$O,'DRE 2024'!$B66,'Dados Mov Financeira'!$A:$A,'DRE 2024'!M$1,'Dados Mov Financeira'!$B:$B,'DRE 2024'!M$2)</f>
        <v>0</v>
      </c>
      <c r="N66" s="91" t="n">
        <f aca="false">IFERROR(M66/M$5,0)</f>
        <v>0</v>
      </c>
      <c r="O66" s="139" t="n">
        <f aca="false">IFERROR((M66/J66)-1,0)</f>
        <v>-1</v>
      </c>
      <c r="P66" s="157" t="n">
        <v>-50</v>
      </c>
      <c r="Q66" s="91" t="n">
        <f aca="false">IFERROR(P66/P$5,0)</f>
        <v>-0.000555555555555556</v>
      </c>
      <c r="S66" s="157" t="n">
        <f aca="false">SUMIFS('Dados Mov Financeira'!$N:$N,'Dados Mov Financeira'!$O:$O,'DRE 2024'!$B66,'Dados Mov Financeira'!$A:$A,'DRE 2024'!S$1,'Dados Mov Financeira'!$B:$B,'DRE 2024'!S$2)</f>
        <v>0</v>
      </c>
      <c r="T66" s="91" t="n">
        <f aca="false">IFERROR(S66/S$5,0)</f>
        <v>0</v>
      </c>
      <c r="U66" s="139" t="n">
        <f aca="false">IFERROR((S66/P66)-1,0)</f>
        <v>-1</v>
      </c>
      <c r="V66" s="157" t="n">
        <v>-50</v>
      </c>
      <c r="W66" s="91" t="n">
        <f aca="false">IFERROR(V66/V$5,0)</f>
        <v>-0.0005</v>
      </c>
      <c r="Y66" s="157" t="n">
        <f aca="false">SUMIFS('Dados Mov Financeira'!$N:$N,'Dados Mov Financeira'!$O:$O,'DRE 2024'!$B66,'Dados Mov Financeira'!$A:$A,'DRE 2024'!Y$1,'Dados Mov Financeira'!$B:$B,'DRE 2024'!Y$2)</f>
        <v>0</v>
      </c>
      <c r="Z66" s="91" t="n">
        <f aca="false">IFERROR(Y66/Y$5,0)</f>
        <v>0</v>
      </c>
      <c r="AA66" s="139" t="n">
        <f aca="false">IFERROR((Y66/V66)-1,0)</f>
        <v>-1</v>
      </c>
      <c r="AB66" s="157" t="n">
        <v>-50</v>
      </c>
      <c r="AC66" s="91" t="n">
        <f aca="false">IFERROR(AB66/AB$5,0)</f>
        <v>-0.000454545454545455</v>
      </c>
      <c r="AE66" s="157" t="n">
        <f aca="false">SUMIFS('Dados Mov Financeira'!$N:$N,'Dados Mov Financeira'!$O:$O,'DRE 2024'!$B66,'Dados Mov Financeira'!$A:$A,'DRE 2024'!AE$1,'Dados Mov Financeira'!$B:$B,'DRE 2024'!AE$2)</f>
        <v>0</v>
      </c>
      <c r="AF66" s="91" t="n">
        <f aca="false">IFERROR(AE66/AE$5,0)</f>
        <v>0</v>
      </c>
      <c r="AG66" s="139" t="n">
        <f aca="false">IFERROR((AE66/AB66)-1,0)</f>
        <v>-1</v>
      </c>
      <c r="AH66" s="157" t="n">
        <v>-50</v>
      </c>
      <c r="AI66" s="91" t="n">
        <f aca="false">IFERROR(AH66/AH$5,0)</f>
        <v>-0.000416666666666667</v>
      </c>
      <c r="AK66" s="157" t="n">
        <f aca="false">SUMIFS('Dados Mov Financeira'!$N:$N,'Dados Mov Financeira'!$O:$O,'DRE 2024'!$B66,'Dados Mov Financeira'!$A:$A,'DRE 2024'!AK$1,'Dados Mov Financeira'!$B:$B,'DRE 2024'!AK$2)</f>
        <v>0</v>
      </c>
      <c r="AL66" s="91" t="n">
        <f aca="false">IFERROR(AK66/AK$5,0)</f>
        <v>0</v>
      </c>
      <c r="AM66" s="139" t="n">
        <f aca="false">IFERROR((AK66/AH66)-1,0)</f>
        <v>-1</v>
      </c>
      <c r="AN66" s="157" t="n">
        <v>-50</v>
      </c>
      <c r="AO66" s="91" t="n">
        <f aca="false">IFERROR(AN66/AN$5,0)</f>
        <v>-0.000384615384615385</v>
      </c>
      <c r="AQ66" s="157" t="n">
        <f aca="false">SUMIFS('Dados Mov Financeira'!$N:$N,'Dados Mov Financeira'!$O:$O,'DRE 2024'!$B66,'Dados Mov Financeira'!$A:$A,'DRE 2024'!AQ$1,'Dados Mov Financeira'!$B:$B,'DRE 2024'!AQ$2)</f>
        <v>0</v>
      </c>
      <c r="AR66" s="91" t="n">
        <f aca="false">IFERROR(AQ66/AQ$5,0)</f>
        <v>0</v>
      </c>
      <c r="AS66" s="139" t="n">
        <f aca="false">IFERROR((AQ66/AN66)-1,0)</f>
        <v>-1</v>
      </c>
      <c r="AT66" s="157" t="n">
        <v>-50</v>
      </c>
      <c r="AU66" s="91" t="n">
        <f aca="false">IFERROR(AT66/AT$5,0)</f>
        <v>-0.000357142857142857</v>
      </c>
      <c r="AW66" s="157" t="n">
        <f aca="false">SUMIFS('Dados Mov Financeira'!$N:$N,'Dados Mov Financeira'!$O:$O,'DRE 2024'!$B66,'Dados Mov Financeira'!$A:$A,'DRE 2024'!AW$1,'Dados Mov Financeira'!$B:$B,'DRE 2024'!AW$2)</f>
        <v>0</v>
      </c>
      <c r="AX66" s="91" t="n">
        <f aca="false">IFERROR(AW66/AW$5,0)</f>
        <v>0</v>
      </c>
      <c r="AY66" s="139" t="n">
        <f aca="false">IFERROR((AW66/AT66)-1,0)</f>
        <v>-1</v>
      </c>
      <c r="AZ66" s="157" t="n">
        <v>-50</v>
      </c>
      <c r="BA66" s="91" t="n">
        <f aca="false">IFERROR(AZ66/AZ$5,0)</f>
        <v>-0.000333333333333333</v>
      </c>
      <c r="BC66" s="157" t="n">
        <f aca="false">SUMIFS('Dados Mov Financeira'!$N:$N,'Dados Mov Financeira'!$O:$O,'DRE 2024'!$B66,'Dados Mov Financeira'!$A:$A,'DRE 2024'!BC$1,'Dados Mov Financeira'!$B:$B,'DRE 2024'!BC$2)</f>
        <v>0</v>
      </c>
      <c r="BD66" s="91" t="n">
        <f aca="false">IFERROR(BC66/BC$5,0)</f>
        <v>0</v>
      </c>
      <c r="BE66" s="139" t="n">
        <f aca="false">IFERROR((BC66/AZ66)-1,0)</f>
        <v>-1</v>
      </c>
      <c r="BF66" s="157" t="n">
        <v>-50</v>
      </c>
      <c r="BG66" s="91" t="n">
        <f aca="false">IFERROR(BF66/BF$5,0)</f>
        <v>-0.000333333333333333</v>
      </c>
      <c r="BI66" s="157" t="n">
        <f aca="false">SUMIFS('Dados Mov Financeira'!$N:$N,'Dados Mov Financeira'!$O:$O,'DRE 2024'!$B66,'Dados Mov Financeira'!$A:$A,'DRE 2024'!BI$1,'Dados Mov Financeira'!$B:$B,'DRE 2024'!BI$2)</f>
        <v>0</v>
      </c>
      <c r="BJ66" s="91" t="n">
        <f aca="false">IFERROR(BI66/BI$5,0)</f>
        <v>0</v>
      </c>
      <c r="BK66" s="139" t="n">
        <f aca="false">IFERROR((BI66/BF66)-1,0)</f>
        <v>-1</v>
      </c>
      <c r="BL66" s="157" t="n">
        <v>-50</v>
      </c>
      <c r="BM66" s="91" t="n">
        <f aca="false">IFERROR(BL66/BL$5,0)</f>
        <v>-0.000333333333333333</v>
      </c>
      <c r="BO66" s="157" t="n">
        <f aca="false">SUMIFS('Dados Mov Financeira'!$N:$N,'Dados Mov Financeira'!$O:$O,'DRE 2024'!$B66,'Dados Mov Financeira'!$A:$A,'DRE 2024'!BO$1,'Dados Mov Financeira'!$B:$B,'DRE 2024'!BO$2)</f>
        <v>0</v>
      </c>
      <c r="BP66" s="91" t="n">
        <f aca="false">IFERROR(BO66/BO$5,0)</f>
        <v>0</v>
      </c>
      <c r="BQ66" s="139" t="n">
        <f aca="false">IFERROR((BO66/BL66)-1,0)</f>
        <v>-1</v>
      </c>
      <c r="BR66" s="157" t="n">
        <v>-50</v>
      </c>
      <c r="BS66" s="91" t="n">
        <f aca="false">IFERROR(BR66/BR$5,0)</f>
        <v>-0.000333333333333333</v>
      </c>
      <c r="BT66" s="171"/>
      <c r="BU66" s="157" t="n">
        <f aca="false">SUMIFS('Dados Mov Financeira'!$N:$N,'Dados Mov Financeira'!$O:$O,'DRE 2024'!$B66,'Dados Mov Financeira'!$A:$A,'DRE 2024'!BU$1,'Dados Mov Financeira'!$B:$B,'DRE 2024'!BU$2)</f>
        <v>0</v>
      </c>
      <c r="BV66" s="91" t="n">
        <f aca="false">IFERROR(BU66/BU$5,0)</f>
        <v>0</v>
      </c>
      <c r="BW66" s="139" t="n">
        <f aca="false">IFERROR((BU66/BR66)-1,0)</f>
        <v>-1</v>
      </c>
      <c r="BX66" s="172" t="n">
        <f aca="false">SUM(D66,J66,P66,V66,AB66,AH66,AN66,AT66,AZ66,BF66,BL66,BR66)</f>
        <v>-630</v>
      </c>
      <c r="BY66" s="91" t="n">
        <f aca="false">IFERROR(BX66/BX$5,0)</f>
        <v>-0.000432989690721649</v>
      </c>
      <c r="CA66" s="172" t="n">
        <f aca="false">SUM(G66,M66,S66,Y66,AE66,AK66,AQ66,AW66,BC66,BI66,BO66,BU66)</f>
        <v>0</v>
      </c>
      <c r="CB66" s="91" t="n">
        <f aca="false">IFERROR(CA66/CA$5,0)</f>
        <v>0</v>
      </c>
      <c r="CC66" s="139" t="n">
        <f aca="false">IFERROR((CA66/BX66)-1,0)</f>
        <v>-1</v>
      </c>
      <c r="CE66" s="157" t="n">
        <f aca="false">BX66/$CF$1</f>
        <v>-52.5</v>
      </c>
      <c r="CF66" s="94" t="n">
        <f aca="false">IFERROR(CE66/CE$5,0)</f>
        <v>-0.000432989690721649</v>
      </c>
      <c r="CH66" s="157" t="n">
        <f aca="false">CA66/$CI$1</f>
        <v>0</v>
      </c>
      <c r="CI66" s="94" t="n">
        <f aca="false">IFERROR(CH66/CH$5,0)</f>
        <v>0</v>
      </c>
    </row>
    <row r="67" customFormat="false" ht="15.75" hidden="false" customHeight="true" outlineLevel="1" collapsed="false">
      <c r="B67" s="169" t="s">
        <v>95</v>
      </c>
      <c r="D67" s="157" t="n">
        <v>-1500</v>
      </c>
      <c r="E67" s="91" t="n">
        <f aca="false">IFERROR(D67/D$5,0)</f>
        <v>-0.01875</v>
      </c>
      <c r="G67" s="157" t="n">
        <f aca="false">SUMIFS('Dados Mov Financeira'!$N:$N,'Dados Mov Financeira'!$O:$O,'DRE 2024'!$B67,'Dados Mov Financeira'!$A:$A,'DRE 2024'!G$1,'Dados Mov Financeira'!$B:$B,'DRE 2024'!G$2)</f>
        <v>0</v>
      </c>
      <c r="H67" s="91" t="n">
        <f aca="false">IFERROR(G67/G$45,0)</f>
        <v>0</v>
      </c>
      <c r="I67" s="138" t="n">
        <f aca="false">IFERROR((G67/D67)-1,0)</f>
        <v>-1</v>
      </c>
      <c r="J67" s="157" t="n">
        <v>-1500</v>
      </c>
      <c r="K67" s="91" t="n">
        <f aca="false">IFERROR(J67/J$5,0)</f>
        <v>-0.0176470588235294</v>
      </c>
      <c r="M67" s="157" t="n">
        <f aca="false">SUMIFS('Dados Mov Financeira'!$N:$N,'Dados Mov Financeira'!$O:$O,'DRE 2024'!$B67,'Dados Mov Financeira'!$A:$A,'DRE 2024'!M$1,'Dados Mov Financeira'!$B:$B,'DRE 2024'!M$2)</f>
        <v>0</v>
      </c>
      <c r="N67" s="91" t="n">
        <f aca="false">IFERROR(M67/M$5,0)</f>
        <v>0</v>
      </c>
      <c r="O67" s="139" t="n">
        <f aca="false">IFERROR((M67/J67)-1,0)</f>
        <v>-1</v>
      </c>
      <c r="P67" s="157" t="n">
        <v>-1500</v>
      </c>
      <c r="Q67" s="91" t="n">
        <f aca="false">IFERROR(P67/P$5,0)</f>
        <v>-0.0166666666666667</v>
      </c>
      <c r="S67" s="157" t="n">
        <f aca="false">SUMIFS('Dados Mov Financeira'!$N:$N,'Dados Mov Financeira'!$O:$O,'DRE 2024'!$B67,'Dados Mov Financeira'!$A:$A,'DRE 2024'!S$1,'Dados Mov Financeira'!$B:$B,'DRE 2024'!S$2)</f>
        <v>0</v>
      </c>
      <c r="T67" s="91" t="n">
        <f aca="false">IFERROR(S67/S$5,0)</f>
        <v>0</v>
      </c>
      <c r="U67" s="139" t="n">
        <f aca="false">IFERROR((S67/P67)-1,0)</f>
        <v>-1</v>
      </c>
      <c r="V67" s="157" t="n">
        <v>-1500</v>
      </c>
      <c r="W67" s="91" t="n">
        <f aca="false">IFERROR(V67/V$5,0)</f>
        <v>-0.015</v>
      </c>
      <c r="Y67" s="157" t="n">
        <f aca="false">SUMIFS('Dados Mov Financeira'!$N:$N,'Dados Mov Financeira'!$O:$O,'DRE 2024'!$B67,'Dados Mov Financeira'!$A:$A,'DRE 2024'!Y$1,'Dados Mov Financeira'!$B:$B,'DRE 2024'!Y$2)</f>
        <v>0</v>
      </c>
      <c r="Z67" s="91" t="n">
        <f aca="false">IFERROR(Y67/Y$5,0)</f>
        <v>0</v>
      </c>
      <c r="AA67" s="139" t="n">
        <f aca="false">IFERROR((Y67/V67)-1,0)</f>
        <v>-1</v>
      </c>
      <c r="AB67" s="157" t="n">
        <v>-1500</v>
      </c>
      <c r="AC67" s="91" t="n">
        <f aca="false">IFERROR(AB67/AB$5,0)</f>
        <v>-0.0136363636363636</v>
      </c>
      <c r="AE67" s="157" t="n">
        <f aca="false">SUMIFS('Dados Mov Financeira'!$N:$N,'Dados Mov Financeira'!$O:$O,'DRE 2024'!$B67,'Dados Mov Financeira'!$A:$A,'DRE 2024'!AE$1,'Dados Mov Financeira'!$B:$B,'DRE 2024'!AE$2)</f>
        <v>0</v>
      </c>
      <c r="AF67" s="91" t="n">
        <f aca="false">IFERROR(AE67/AE$5,0)</f>
        <v>0</v>
      </c>
      <c r="AG67" s="139" t="n">
        <f aca="false">IFERROR((AE67/AB67)-1,0)</f>
        <v>-1</v>
      </c>
      <c r="AH67" s="157" t="n">
        <v>-1500</v>
      </c>
      <c r="AI67" s="91" t="n">
        <f aca="false">IFERROR(AH67/AH$5,0)</f>
        <v>-0.0125</v>
      </c>
      <c r="AK67" s="157" t="n">
        <f aca="false">SUMIFS('Dados Mov Financeira'!$N:$N,'Dados Mov Financeira'!$O:$O,'DRE 2024'!$B67,'Dados Mov Financeira'!$A:$A,'DRE 2024'!AK$1,'Dados Mov Financeira'!$B:$B,'DRE 2024'!AK$2)</f>
        <v>0</v>
      </c>
      <c r="AL67" s="91" t="n">
        <f aca="false">IFERROR(AK67/AK$5,0)</f>
        <v>0</v>
      </c>
      <c r="AM67" s="139" t="n">
        <f aca="false">IFERROR((AK67/AH67)-1,0)</f>
        <v>-1</v>
      </c>
      <c r="AN67" s="157" t="n">
        <v>-1500</v>
      </c>
      <c r="AO67" s="91" t="n">
        <f aca="false">IFERROR(AN67/AN$5,0)</f>
        <v>-0.0115384615384615</v>
      </c>
      <c r="AQ67" s="157" t="n">
        <f aca="false">SUMIFS('Dados Mov Financeira'!$N:$N,'Dados Mov Financeira'!$O:$O,'DRE 2024'!$B67,'Dados Mov Financeira'!$A:$A,'DRE 2024'!AQ$1,'Dados Mov Financeira'!$B:$B,'DRE 2024'!AQ$2)</f>
        <v>0</v>
      </c>
      <c r="AR67" s="91" t="n">
        <f aca="false">IFERROR(AQ67/AQ$5,0)</f>
        <v>0</v>
      </c>
      <c r="AS67" s="139" t="n">
        <f aca="false">IFERROR((AQ67/AN67)-1,0)</f>
        <v>-1</v>
      </c>
      <c r="AT67" s="157" t="n">
        <v>-1500</v>
      </c>
      <c r="AU67" s="91" t="n">
        <f aca="false">IFERROR(AT67/AT$5,0)</f>
        <v>-0.0107142857142857</v>
      </c>
      <c r="AW67" s="157" t="n">
        <f aca="false">SUMIFS('Dados Mov Financeira'!$N:$N,'Dados Mov Financeira'!$O:$O,'DRE 2024'!$B67,'Dados Mov Financeira'!$A:$A,'DRE 2024'!AW$1,'Dados Mov Financeira'!$B:$B,'DRE 2024'!AW$2)</f>
        <v>0</v>
      </c>
      <c r="AX67" s="91" t="n">
        <f aca="false">IFERROR(AW67/AW$5,0)</f>
        <v>0</v>
      </c>
      <c r="AY67" s="139" t="n">
        <f aca="false">IFERROR((AW67/AT67)-1,0)</f>
        <v>-1</v>
      </c>
      <c r="AZ67" s="157" t="n">
        <v>-1500</v>
      </c>
      <c r="BA67" s="91" t="n">
        <f aca="false">IFERROR(AZ67/AZ$5,0)</f>
        <v>-0.01</v>
      </c>
      <c r="BC67" s="157" t="n">
        <f aca="false">SUMIFS('Dados Mov Financeira'!$N:$N,'Dados Mov Financeira'!$O:$O,'DRE 2024'!$B67,'Dados Mov Financeira'!$A:$A,'DRE 2024'!BC$1,'Dados Mov Financeira'!$B:$B,'DRE 2024'!BC$2)</f>
        <v>0</v>
      </c>
      <c r="BD67" s="91" t="n">
        <f aca="false">IFERROR(BC67/BC$5,0)</f>
        <v>0</v>
      </c>
      <c r="BE67" s="139" t="n">
        <f aca="false">IFERROR((BC67/AZ67)-1,0)</f>
        <v>-1</v>
      </c>
      <c r="BF67" s="157" t="n">
        <v>-1500</v>
      </c>
      <c r="BG67" s="91" t="n">
        <f aca="false">IFERROR(BF67/BF$5,0)</f>
        <v>-0.01</v>
      </c>
      <c r="BI67" s="157" t="n">
        <f aca="false">SUMIFS('Dados Mov Financeira'!$N:$N,'Dados Mov Financeira'!$O:$O,'DRE 2024'!$B67,'Dados Mov Financeira'!$A:$A,'DRE 2024'!BI$1,'Dados Mov Financeira'!$B:$B,'DRE 2024'!BI$2)</f>
        <v>0</v>
      </c>
      <c r="BJ67" s="91" t="n">
        <f aca="false">IFERROR(BI67/BI$5,0)</f>
        <v>0</v>
      </c>
      <c r="BK67" s="139" t="n">
        <f aca="false">IFERROR((BI67/BF67)-1,0)</f>
        <v>-1</v>
      </c>
      <c r="BL67" s="157" t="n">
        <v>-1500</v>
      </c>
      <c r="BM67" s="91" t="n">
        <f aca="false">IFERROR(BL67/BL$5,0)</f>
        <v>-0.01</v>
      </c>
      <c r="BO67" s="157" t="n">
        <f aca="false">SUMIFS('Dados Mov Financeira'!$N:$N,'Dados Mov Financeira'!$O:$O,'DRE 2024'!$B67,'Dados Mov Financeira'!$A:$A,'DRE 2024'!BO$1,'Dados Mov Financeira'!$B:$B,'DRE 2024'!BO$2)</f>
        <v>0</v>
      </c>
      <c r="BP67" s="91" t="n">
        <f aca="false">IFERROR(BO67/BO$5,0)</f>
        <v>0</v>
      </c>
      <c r="BQ67" s="139" t="n">
        <f aca="false">IFERROR((BO67/BL67)-1,0)</f>
        <v>-1</v>
      </c>
      <c r="BR67" s="157" t="n">
        <v>-1500</v>
      </c>
      <c r="BS67" s="91" t="n">
        <f aca="false">IFERROR(BR67/BR$5,0)</f>
        <v>-0.01</v>
      </c>
      <c r="BT67" s="171"/>
      <c r="BU67" s="157" t="n">
        <f aca="false">SUMIFS('Dados Mov Financeira'!$N:$N,'Dados Mov Financeira'!$O:$O,'DRE 2024'!$B67,'Dados Mov Financeira'!$A:$A,'DRE 2024'!BU$1,'Dados Mov Financeira'!$B:$B,'DRE 2024'!BU$2)</f>
        <v>0</v>
      </c>
      <c r="BV67" s="91" t="n">
        <f aca="false">IFERROR(BU67/BU$5,0)</f>
        <v>0</v>
      </c>
      <c r="BW67" s="139" t="n">
        <f aca="false">IFERROR((BU67/BR67)-1,0)</f>
        <v>-1</v>
      </c>
      <c r="BX67" s="172" t="n">
        <f aca="false">SUM(D67,J67,P67,V67,AB67,AH67,AN67,AT67,AZ67,BF67,BL67,BR67)</f>
        <v>-18000</v>
      </c>
      <c r="BY67" s="91" t="n">
        <f aca="false">IFERROR(BX67/BX$5,0)</f>
        <v>-0.0123711340206186</v>
      </c>
      <c r="CA67" s="172" t="n">
        <f aca="false">SUM(G67,M67,S67,Y67,AE67,AK67,AQ67,AW67,BC67,BI67,BO67,BU67)</f>
        <v>0</v>
      </c>
      <c r="CB67" s="91" t="n">
        <f aca="false">IFERROR(CA67/CA$5,0)</f>
        <v>0</v>
      </c>
      <c r="CC67" s="139" t="n">
        <f aca="false">IFERROR((CA67/BX67)-1,0)</f>
        <v>-1</v>
      </c>
      <c r="CE67" s="157" t="n">
        <f aca="false">BX67/$CF$1</f>
        <v>-1500</v>
      </c>
      <c r="CF67" s="94" t="n">
        <f aca="false">IFERROR(CE67/CE$5,0)</f>
        <v>-0.0123711340206186</v>
      </c>
      <c r="CH67" s="157" t="n">
        <f aca="false">CA67/$CI$1</f>
        <v>0</v>
      </c>
      <c r="CI67" s="94" t="n">
        <f aca="false">IFERROR(CH67/CH$5,0)</f>
        <v>0</v>
      </c>
    </row>
    <row r="68" customFormat="false" ht="15.75" hidden="false" customHeight="true" outlineLevel="1" collapsed="false">
      <c r="B68" s="169" t="s">
        <v>96</v>
      </c>
      <c r="D68" s="157" t="n">
        <v>0</v>
      </c>
      <c r="E68" s="91" t="n">
        <f aca="false">IFERROR(D68/D$5,0)</f>
        <v>0</v>
      </c>
      <c r="G68" s="157" t="n">
        <f aca="false">SUMIFS('Dados Mov Financeira'!$N:$N,'Dados Mov Financeira'!$O:$O,'DRE 2024'!$B68,'Dados Mov Financeira'!$A:$A,'DRE 2024'!G$1,'Dados Mov Financeira'!$B:$B,'DRE 2024'!G$2)</f>
        <v>0</v>
      </c>
      <c r="H68" s="91" t="n">
        <f aca="false">IFERROR(G68/G$45,0)</f>
        <v>0</v>
      </c>
      <c r="I68" s="138" t="n">
        <f aca="false">IFERROR((G68/D68)-1,0)</f>
        <v>0</v>
      </c>
      <c r="J68" s="157" t="n">
        <v>0</v>
      </c>
      <c r="K68" s="91" t="n">
        <f aca="false">IFERROR(J68/J$5,0)</f>
        <v>0</v>
      </c>
      <c r="M68" s="157" t="n">
        <f aca="false">SUMIFS('Dados Mov Financeira'!$N:$N,'Dados Mov Financeira'!$O:$O,'DRE 2024'!$B68,'Dados Mov Financeira'!$A:$A,'DRE 2024'!M$1,'Dados Mov Financeira'!$B:$B,'DRE 2024'!M$2)</f>
        <v>0</v>
      </c>
      <c r="N68" s="91" t="n">
        <f aca="false">IFERROR(M68/M$5,0)</f>
        <v>0</v>
      </c>
      <c r="O68" s="139" t="n">
        <f aca="false">IFERROR((M68/J68)-1,0)</f>
        <v>0</v>
      </c>
      <c r="P68" s="157" t="n">
        <v>0</v>
      </c>
      <c r="Q68" s="91" t="n">
        <f aca="false">IFERROR(P68/P$5,0)</f>
        <v>0</v>
      </c>
      <c r="S68" s="157" t="n">
        <f aca="false">SUMIFS('Dados Mov Financeira'!$N:$N,'Dados Mov Financeira'!$O:$O,'DRE 2024'!$B68,'Dados Mov Financeira'!$A:$A,'DRE 2024'!S$1,'Dados Mov Financeira'!$B:$B,'DRE 2024'!S$2)</f>
        <v>0</v>
      </c>
      <c r="T68" s="91" t="n">
        <f aca="false">IFERROR(S68/S$5,0)</f>
        <v>0</v>
      </c>
      <c r="U68" s="139" t="n">
        <f aca="false">IFERROR((S68/P68)-1,0)</f>
        <v>0</v>
      </c>
      <c r="V68" s="157" t="n">
        <v>0</v>
      </c>
      <c r="W68" s="91" t="n">
        <f aca="false">IFERROR(V68/V$5,0)</f>
        <v>0</v>
      </c>
      <c r="Y68" s="157" t="n">
        <f aca="false">SUMIFS('Dados Mov Financeira'!$N:$N,'Dados Mov Financeira'!$O:$O,'DRE 2024'!$B68,'Dados Mov Financeira'!$A:$A,'DRE 2024'!Y$1,'Dados Mov Financeira'!$B:$B,'DRE 2024'!Y$2)</f>
        <v>0</v>
      </c>
      <c r="Z68" s="91" t="n">
        <f aca="false">IFERROR(Y68/Y$5,0)</f>
        <v>0</v>
      </c>
      <c r="AA68" s="139" t="n">
        <f aca="false">IFERROR((Y68/V68)-1,0)</f>
        <v>0</v>
      </c>
      <c r="AB68" s="157" t="n">
        <v>0</v>
      </c>
      <c r="AC68" s="91" t="n">
        <f aca="false">IFERROR(AB68/AB$5,0)</f>
        <v>0</v>
      </c>
      <c r="AE68" s="157" t="n">
        <f aca="false">SUMIFS('Dados Mov Financeira'!$N:$N,'Dados Mov Financeira'!$O:$O,'DRE 2024'!$B68,'Dados Mov Financeira'!$A:$A,'DRE 2024'!AE$1,'Dados Mov Financeira'!$B:$B,'DRE 2024'!AE$2)</f>
        <v>0</v>
      </c>
      <c r="AF68" s="91" t="n">
        <f aca="false">IFERROR(AE68/AE$5,0)</f>
        <v>0</v>
      </c>
      <c r="AG68" s="139" t="n">
        <f aca="false">IFERROR((AE68/AB68)-1,0)</f>
        <v>0</v>
      </c>
      <c r="AH68" s="157" t="n">
        <v>0</v>
      </c>
      <c r="AI68" s="91" t="n">
        <f aca="false">IFERROR(AH68/AH$5,0)</f>
        <v>0</v>
      </c>
      <c r="AK68" s="157" t="n">
        <f aca="false">SUMIFS('Dados Mov Financeira'!$N:$N,'Dados Mov Financeira'!$O:$O,'DRE 2024'!$B68,'Dados Mov Financeira'!$A:$A,'DRE 2024'!AK$1,'Dados Mov Financeira'!$B:$B,'DRE 2024'!AK$2)</f>
        <v>0</v>
      </c>
      <c r="AL68" s="91" t="n">
        <f aca="false">IFERROR(AK68/AK$5,0)</f>
        <v>0</v>
      </c>
      <c r="AM68" s="139" t="n">
        <f aca="false">IFERROR((AK68/AH68)-1,0)</f>
        <v>0</v>
      </c>
      <c r="AN68" s="157" t="n">
        <v>0</v>
      </c>
      <c r="AO68" s="91" t="n">
        <f aca="false">IFERROR(AN68/AN$5,0)</f>
        <v>0</v>
      </c>
      <c r="AQ68" s="157" t="n">
        <f aca="false">SUMIFS('Dados Mov Financeira'!$N:$N,'Dados Mov Financeira'!$O:$O,'DRE 2024'!$B68,'Dados Mov Financeira'!$A:$A,'DRE 2024'!AQ$1,'Dados Mov Financeira'!$B:$B,'DRE 2024'!AQ$2)</f>
        <v>0</v>
      </c>
      <c r="AR68" s="91" t="n">
        <f aca="false">IFERROR(AQ68/AQ$5,0)</f>
        <v>0</v>
      </c>
      <c r="AS68" s="139" t="n">
        <f aca="false">IFERROR((AQ68/AN68)-1,0)</f>
        <v>0</v>
      </c>
      <c r="AT68" s="157" t="n">
        <v>0</v>
      </c>
      <c r="AU68" s="91" t="n">
        <f aca="false">IFERROR(AT68/AT$5,0)</f>
        <v>0</v>
      </c>
      <c r="AW68" s="157" t="n">
        <f aca="false">SUMIFS('Dados Mov Financeira'!$N:$N,'Dados Mov Financeira'!$O:$O,'DRE 2024'!$B68,'Dados Mov Financeira'!$A:$A,'DRE 2024'!AW$1,'Dados Mov Financeira'!$B:$B,'DRE 2024'!AW$2)</f>
        <v>0</v>
      </c>
      <c r="AX68" s="91" t="n">
        <f aca="false">IFERROR(AW68/AW$5,0)</f>
        <v>0</v>
      </c>
      <c r="AY68" s="139" t="n">
        <f aca="false">IFERROR((AW68/AT68)-1,0)</f>
        <v>0</v>
      </c>
      <c r="AZ68" s="157" t="n">
        <v>0</v>
      </c>
      <c r="BA68" s="91" t="n">
        <f aca="false">IFERROR(AZ68/AZ$5,0)</f>
        <v>0</v>
      </c>
      <c r="BC68" s="157" t="n">
        <f aca="false">SUMIFS('Dados Mov Financeira'!$N:$N,'Dados Mov Financeira'!$O:$O,'DRE 2024'!$B68,'Dados Mov Financeira'!$A:$A,'DRE 2024'!BC$1,'Dados Mov Financeira'!$B:$B,'DRE 2024'!BC$2)</f>
        <v>0</v>
      </c>
      <c r="BD68" s="91" t="n">
        <f aca="false">IFERROR(BC68/BC$5,0)</f>
        <v>0</v>
      </c>
      <c r="BE68" s="139" t="n">
        <f aca="false">IFERROR((BC68/AZ68)-1,0)</f>
        <v>0</v>
      </c>
      <c r="BF68" s="157" t="n">
        <v>0</v>
      </c>
      <c r="BG68" s="91" t="n">
        <f aca="false">IFERROR(BF68/BF$5,0)</f>
        <v>0</v>
      </c>
      <c r="BI68" s="157" t="n">
        <f aca="false">SUMIFS('Dados Mov Financeira'!$N:$N,'Dados Mov Financeira'!$O:$O,'DRE 2024'!$B68,'Dados Mov Financeira'!$A:$A,'DRE 2024'!BI$1,'Dados Mov Financeira'!$B:$B,'DRE 2024'!BI$2)</f>
        <v>0</v>
      </c>
      <c r="BJ68" s="91" t="n">
        <f aca="false">IFERROR(BI68/BI$5,0)</f>
        <v>0</v>
      </c>
      <c r="BK68" s="139" t="n">
        <f aca="false">IFERROR((BI68/BF68)-1,0)</f>
        <v>0</v>
      </c>
      <c r="BL68" s="157" t="n">
        <v>0</v>
      </c>
      <c r="BM68" s="91" t="n">
        <f aca="false">IFERROR(BL68/BL$5,0)</f>
        <v>0</v>
      </c>
      <c r="BO68" s="157" t="n">
        <f aca="false">SUMIFS('Dados Mov Financeira'!$N:$N,'Dados Mov Financeira'!$O:$O,'DRE 2024'!$B68,'Dados Mov Financeira'!$A:$A,'DRE 2024'!BO$1,'Dados Mov Financeira'!$B:$B,'DRE 2024'!BO$2)</f>
        <v>0</v>
      </c>
      <c r="BP68" s="91" t="n">
        <f aca="false">IFERROR(BO68/BO$5,0)</f>
        <v>0</v>
      </c>
      <c r="BQ68" s="139" t="n">
        <f aca="false">IFERROR((BO68/BL68)-1,0)</f>
        <v>0</v>
      </c>
      <c r="BR68" s="157" t="n">
        <v>0</v>
      </c>
      <c r="BS68" s="91" t="n">
        <f aca="false">IFERROR(BR68/BR$5,0)</f>
        <v>0</v>
      </c>
      <c r="BT68" s="171"/>
      <c r="BU68" s="157" t="n">
        <f aca="false">SUMIFS('Dados Mov Financeira'!$N:$N,'Dados Mov Financeira'!$O:$O,'DRE 2024'!$B68,'Dados Mov Financeira'!$A:$A,'DRE 2024'!BU$1,'Dados Mov Financeira'!$B:$B,'DRE 2024'!BU$2)</f>
        <v>0</v>
      </c>
      <c r="BV68" s="91" t="n">
        <f aca="false">IFERROR(BU68/BU$5,0)</f>
        <v>0</v>
      </c>
      <c r="BW68" s="139" t="n">
        <f aca="false">IFERROR((BU68/BR68)-1,0)</f>
        <v>0</v>
      </c>
      <c r="BX68" s="172" t="n">
        <f aca="false">SUM(D68,J68,P68,V68,AB68,AH68,AN68,AT68,AZ68,BF68,BL68,BR68)</f>
        <v>0</v>
      </c>
      <c r="BY68" s="91" t="n">
        <f aca="false">IFERROR(BX68/BX$5,0)</f>
        <v>0</v>
      </c>
      <c r="CA68" s="172" t="n">
        <f aca="false">SUM(G68,M68,S68,Y68,AE68,AK68,AQ68,AW68,BC68,BI68,BO68,BU68)</f>
        <v>0</v>
      </c>
      <c r="CB68" s="91" t="n">
        <f aca="false">IFERROR(CA68/CA$5,0)</f>
        <v>0</v>
      </c>
      <c r="CC68" s="139" t="n">
        <f aca="false">IFERROR((CA68/BX68)-1,0)</f>
        <v>0</v>
      </c>
      <c r="CE68" s="157" t="n">
        <f aca="false">BX68/$CF$1</f>
        <v>0</v>
      </c>
      <c r="CF68" s="94" t="n">
        <f aca="false">IFERROR(CE68/CE$5,0)</f>
        <v>0</v>
      </c>
      <c r="CH68" s="157" t="n">
        <f aca="false">CA68/$CI$1</f>
        <v>0</v>
      </c>
      <c r="CI68" s="94" t="n">
        <f aca="false">IFERROR(CH68/CH$5,0)</f>
        <v>0</v>
      </c>
    </row>
    <row r="69" customFormat="false" ht="15.75" hidden="false" customHeight="true" outlineLevel="1" collapsed="false">
      <c r="B69" s="169" t="s">
        <v>97</v>
      </c>
      <c r="D69" s="157" t="n">
        <v>-195.8</v>
      </c>
      <c r="E69" s="91" t="n">
        <f aca="false">IFERROR(D69/D$5,0)</f>
        <v>-0.0024475</v>
      </c>
      <c r="G69" s="157" t="n">
        <f aca="false">SUMIFS('Dados Mov Financeira'!$N:$N,'Dados Mov Financeira'!$O:$O,'DRE 2024'!$B69,'Dados Mov Financeira'!$A:$A,'DRE 2024'!G$1,'Dados Mov Financeira'!$B:$B,'DRE 2024'!G$2)</f>
        <v>0</v>
      </c>
      <c r="H69" s="91" t="n">
        <f aca="false">IFERROR(G69/G$45,0)</f>
        <v>0</v>
      </c>
      <c r="I69" s="138" t="n">
        <f aca="false">IFERROR((G69/D69)-1,0)</f>
        <v>-1</v>
      </c>
      <c r="J69" s="157" t="n">
        <v>-195.8</v>
      </c>
      <c r="K69" s="91" t="n">
        <f aca="false">IFERROR(J69/J$5,0)</f>
        <v>-0.00230352941176471</v>
      </c>
      <c r="M69" s="157" t="n">
        <f aca="false">SUMIFS('Dados Mov Financeira'!$N:$N,'Dados Mov Financeira'!$O:$O,'DRE 2024'!$B69,'Dados Mov Financeira'!$A:$A,'DRE 2024'!M$1,'Dados Mov Financeira'!$B:$B,'DRE 2024'!M$2)</f>
        <v>0</v>
      </c>
      <c r="N69" s="91" t="n">
        <f aca="false">IFERROR(M69/M$5,0)</f>
        <v>0</v>
      </c>
      <c r="O69" s="139" t="n">
        <f aca="false">IFERROR((M69/J69)-1,0)</f>
        <v>-1</v>
      </c>
      <c r="P69" s="157" t="n">
        <v>-195.8</v>
      </c>
      <c r="Q69" s="91" t="n">
        <f aca="false">IFERROR(P69/P$5,0)</f>
        <v>-0.00217555555555556</v>
      </c>
      <c r="S69" s="157" t="n">
        <f aca="false">SUMIFS('Dados Mov Financeira'!$N:$N,'Dados Mov Financeira'!$O:$O,'DRE 2024'!$B69,'Dados Mov Financeira'!$A:$A,'DRE 2024'!S$1,'Dados Mov Financeira'!$B:$B,'DRE 2024'!S$2)</f>
        <v>0</v>
      </c>
      <c r="T69" s="91" t="n">
        <f aca="false">IFERROR(S69/S$5,0)</f>
        <v>0</v>
      </c>
      <c r="U69" s="139" t="n">
        <f aca="false">IFERROR((S69/P69)-1,0)</f>
        <v>-1</v>
      </c>
      <c r="V69" s="157" t="n">
        <v>-195.8</v>
      </c>
      <c r="W69" s="91" t="n">
        <f aca="false">IFERROR(V69/V$5,0)</f>
        <v>-0.001958</v>
      </c>
      <c r="Y69" s="173" t="n">
        <f aca="false">SUMIFS('Dados Mov Financeira'!$N:$N,'Dados Mov Financeira'!$O:$O,'DRE 2024'!$B69,'Dados Mov Financeira'!$A:$A,'DRE 2024'!Y$1,'Dados Mov Financeira'!$B:$B,'DRE 2024'!Y$2)</f>
        <v>0</v>
      </c>
      <c r="Z69" s="91" t="n">
        <f aca="false">IFERROR(Y69/Y$5,0)</f>
        <v>0</v>
      </c>
      <c r="AA69" s="139" t="n">
        <f aca="false">IFERROR((Y69/V69)-1,0)</f>
        <v>-1</v>
      </c>
      <c r="AB69" s="157" t="n">
        <v>-195.8</v>
      </c>
      <c r="AC69" s="91" t="n">
        <f aca="false">IFERROR(AB69/AB$5,0)</f>
        <v>-0.00178</v>
      </c>
      <c r="AE69" s="173" t="n">
        <f aca="false">SUMIFS('Dados Mov Financeira'!$N:$N,'Dados Mov Financeira'!$O:$O,'DRE 2024'!$B69,'Dados Mov Financeira'!$A:$A,'DRE 2024'!AE$1,'Dados Mov Financeira'!$B:$B,'DRE 2024'!AE$2)</f>
        <v>0</v>
      </c>
      <c r="AF69" s="91" t="n">
        <f aca="false">IFERROR(AE69/AE$5,0)</f>
        <v>0</v>
      </c>
      <c r="AG69" s="139" t="n">
        <f aca="false">IFERROR((AE69/AB69)-1,0)</f>
        <v>-1</v>
      </c>
      <c r="AH69" s="157" t="n">
        <v>-195.8</v>
      </c>
      <c r="AI69" s="91" t="n">
        <f aca="false">IFERROR(AH69/AH$5,0)</f>
        <v>-0.00163166666666667</v>
      </c>
      <c r="AK69" s="173" t="n">
        <f aca="false">SUMIFS('Dados Mov Financeira'!$N:$N,'Dados Mov Financeira'!$O:$O,'DRE 2024'!$B69,'Dados Mov Financeira'!$A:$A,'DRE 2024'!AK$1,'Dados Mov Financeira'!$B:$B,'DRE 2024'!AK$2)</f>
        <v>0</v>
      </c>
      <c r="AL69" s="91" t="n">
        <f aca="false">IFERROR(AK69/AK$5,0)</f>
        <v>0</v>
      </c>
      <c r="AM69" s="139" t="n">
        <f aca="false">IFERROR((AK69/AH69)-1,0)</f>
        <v>-1</v>
      </c>
      <c r="AN69" s="157" t="n">
        <v>-195.8</v>
      </c>
      <c r="AO69" s="91" t="n">
        <f aca="false">IFERROR(AN69/AN$5,0)</f>
        <v>-0.00150615384615385</v>
      </c>
      <c r="AQ69" s="173" t="n">
        <f aca="false">SUMIFS('Dados Mov Financeira'!$N:$N,'Dados Mov Financeira'!$O:$O,'DRE 2024'!$B69,'Dados Mov Financeira'!$A:$A,'DRE 2024'!AQ$1,'Dados Mov Financeira'!$B:$B,'DRE 2024'!AQ$2)</f>
        <v>0</v>
      </c>
      <c r="AR69" s="91" t="n">
        <f aca="false">IFERROR(AQ69/AQ$5,0)</f>
        <v>0</v>
      </c>
      <c r="AS69" s="139" t="n">
        <f aca="false">IFERROR((AQ69/AN69)-1,0)</f>
        <v>-1</v>
      </c>
      <c r="AT69" s="157" t="n">
        <v>-195.8</v>
      </c>
      <c r="AU69" s="91" t="n">
        <f aca="false">IFERROR(AT69/AT$5,0)</f>
        <v>-0.00139857142857143</v>
      </c>
      <c r="AW69" s="173" t="n">
        <f aca="false">SUMIFS('Dados Mov Financeira'!$N:$N,'Dados Mov Financeira'!$O:$O,'DRE 2024'!$B69,'Dados Mov Financeira'!$A:$A,'DRE 2024'!AW$1,'Dados Mov Financeira'!$B:$B,'DRE 2024'!AW$2)</f>
        <v>0</v>
      </c>
      <c r="AX69" s="91" t="n">
        <f aca="false">IFERROR(AW69/AW$5,0)</f>
        <v>0</v>
      </c>
      <c r="AY69" s="139" t="n">
        <f aca="false">IFERROR((AW69/AT69)-1,0)</f>
        <v>-1</v>
      </c>
      <c r="AZ69" s="157" t="n">
        <v>-195.8</v>
      </c>
      <c r="BA69" s="91" t="n">
        <f aca="false">IFERROR(AZ69/AZ$5,0)</f>
        <v>-0.00130533333333333</v>
      </c>
      <c r="BC69" s="173" t="n">
        <f aca="false">SUMIFS('Dados Mov Financeira'!$N:$N,'Dados Mov Financeira'!$O:$O,'DRE 2024'!$B69,'Dados Mov Financeira'!$A:$A,'DRE 2024'!BC$1,'Dados Mov Financeira'!$B:$B,'DRE 2024'!BC$2)</f>
        <v>0</v>
      </c>
      <c r="BD69" s="91" t="n">
        <f aca="false">IFERROR(BC69/BC$5,0)</f>
        <v>0</v>
      </c>
      <c r="BE69" s="139" t="n">
        <f aca="false">IFERROR((BC69/AZ69)-1,0)</f>
        <v>-1</v>
      </c>
      <c r="BF69" s="157" t="n">
        <v>-195.8</v>
      </c>
      <c r="BG69" s="91" t="n">
        <f aca="false">IFERROR(BF69/BF$5,0)</f>
        <v>-0.00130533333333333</v>
      </c>
      <c r="BI69" s="173" t="n">
        <f aca="false">SUMIFS('Dados Mov Financeira'!$N:$N,'Dados Mov Financeira'!$O:$O,'DRE 2024'!$B69,'Dados Mov Financeira'!$A:$A,'DRE 2024'!BI$1,'Dados Mov Financeira'!$B:$B,'DRE 2024'!BI$2)</f>
        <v>0</v>
      </c>
      <c r="BJ69" s="91" t="n">
        <f aca="false">IFERROR(BI69/BI$5,0)</f>
        <v>0</v>
      </c>
      <c r="BK69" s="139" t="n">
        <f aca="false">IFERROR((BI69/BF69)-1,0)</f>
        <v>-1</v>
      </c>
      <c r="BL69" s="157" t="n">
        <v>-195.8</v>
      </c>
      <c r="BM69" s="91" t="n">
        <f aca="false">IFERROR(BL69/BL$5,0)</f>
        <v>-0.00130533333333333</v>
      </c>
      <c r="BO69" s="173" t="n">
        <f aca="false">SUMIFS('Dados Mov Financeira'!$N:$N,'Dados Mov Financeira'!$O:$O,'DRE 2024'!$B69,'Dados Mov Financeira'!$A:$A,'DRE 2024'!BO$1,'Dados Mov Financeira'!$B:$B,'DRE 2024'!BO$2)</f>
        <v>0</v>
      </c>
      <c r="BP69" s="91" t="n">
        <f aca="false">IFERROR(BO69/BO$5,0)</f>
        <v>0</v>
      </c>
      <c r="BQ69" s="139" t="n">
        <f aca="false">IFERROR((BO69/BL69)-1,0)</f>
        <v>-1</v>
      </c>
      <c r="BR69" s="157" t="n">
        <v>-195.8</v>
      </c>
      <c r="BS69" s="91" t="n">
        <f aca="false">IFERROR(BR69/BR$5,0)</f>
        <v>-0.00130533333333333</v>
      </c>
      <c r="BT69" s="171"/>
      <c r="BU69" s="173" t="n">
        <f aca="false">SUMIFS('Dados Mov Financeira'!$N:$N,'Dados Mov Financeira'!$O:$O,'DRE 2024'!$B69,'Dados Mov Financeira'!$A:$A,'DRE 2024'!BU$1,'Dados Mov Financeira'!$B:$B,'DRE 2024'!BU$2)</f>
        <v>0</v>
      </c>
      <c r="BV69" s="91" t="n">
        <f aca="false">IFERROR(BU69/BU$5,0)</f>
        <v>0</v>
      </c>
      <c r="BW69" s="139" t="n">
        <f aca="false">IFERROR((BU69/BR69)-1,0)</f>
        <v>-1</v>
      </c>
      <c r="BX69" s="172" t="n">
        <f aca="false">SUM(D69,J69,P69,V69,AB69,AH69,AN69,AT69,AZ69,BF69,BL69,BR69)</f>
        <v>-2349.6</v>
      </c>
      <c r="BY69" s="91" t="n">
        <f aca="false">IFERROR(BX69/BX$5,0)</f>
        <v>-0.00161484536082474</v>
      </c>
      <c r="CA69" s="172" t="n">
        <f aca="false">SUM(G69,M69,S69,Y69,AE69,AK69,AQ69,AW69,BC69,BI69,BO69,BU69)</f>
        <v>0</v>
      </c>
      <c r="CB69" s="91" t="n">
        <f aca="false">IFERROR(CA69/CA$5,0)</f>
        <v>0</v>
      </c>
      <c r="CC69" s="139" t="n">
        <f aca="false">IFERROR((CA69/BX69)-1,0)</f>
        <v>-1</v>
      </c>
      <c r="CE69" s="157" t="n">
        <f aca="false">BX69/$CF$1</f>
        <v>-195.8</v>
      </c>
      <c r="CF69" s="94" t="n">
        <f aca="false">IFERROR(CE69/CE$5,0)</f>
        <v>-0.00161484536082474</v>
      </c>
      <c r="CH69" s="157" t="n">
        <f aca="false">CA69/$CI$1</f>
        <v>0</v>
      </c>
      <c r="CI69" s="94" t="n">
        <f aca="false">IFERROR(CH69/CH$5,0)</f>
        <v>0</v>
      </c>
    </row>
    <row r="70" s="150" customFormat="true" ht="14.25" hidden="false" customHeight="false" outlineLevel="0" collapsed="false">
      <c r="B70" s="190" t="s">
        <v>98</v>
      </c>
      <c r="D70" s="157" t="n">
        <f aca="false">SUM(D71:D84)</f>
        <v>-8455</v>
      </c>
      <c r="E70" s="88" t="n">
        <f aca="false">IFERROR(D70/D$5,0)</f>
        <v>-0.1056875</v>
      </c>
      <c r="G70" s="157" t="n">
        <f aca="false">SUM(G71:G84)</f>
        <v>0</v>
      </c>
      <c r="H70" s="88" t="n">
        <f aca="false">IFERROR(G70/G$5,0)</f>
        <v>0</v>
      </c>
      <c r="I70" s="138" t="n">
        <f aca="false">IFERROR((G70/D70)-1,0)</f>
        <v>-1</v>
      </c>
      <c r="J70" s="157" t="n">
        <f aca="false">SUM(J71:J84)</f>
        <v>-8455</v>
      </c>
      <c r="K70" s="88" t="n">
        <f aca="false">IFERROR(J70/J$5,0)</f>
        <v>-0.0994705882352941</v>
      </c>
      <c r="M70" s="157" t="n">
        <f aca="false">SUM(M71:M84)</f>
        <v>0</v>
      </c>
      <c r="N70" s="88" t="n">
        <f aca="false">IFERROR(M70/M$5,0)</f>
        <v>0</v>
      </c>
      <c r="O70" s="139" t="n">
        <f aca="false">IFERROR((M70/J70)-1,0)</f>
        <v>-1</v>
      </c>
      <c r="P70" s="157" t="n">
        <f aca="false">SUM(P71:P84)</f>
        <v>-8455</v>
      </c>
      <c r="Q70" s="88" t="n">
        <f aca="false">IFERROR(P70/P$5,0)</f>
        <v>-0.0939444444444444</v>
      </c>
      <c r="S70" s="157" t="n">
        <f aca="false">SUM(S71:S84)</f>
        <v>0</v>
      </c>
      <c r="T70" s="88" t="n">
        <f aca="false">IFERROR(S70/S$5,0)</f>
        <v>0</v>
      </c>
      <c r="U70" s="139" t="n">
        <f aca="false">IFERROR((S70/P70)-1,0)</f>
        <v>-1</v>
      </c>
      <c r="V70" s="157" t="n">
        <f aca="false">SUM(V71:V84)</f>
        <v>-8455</v>
      </c>
      <c r="W70" s="88" t="n">
        <f aca="false">IFERROR(V70/V$5,0)</f>
        <v>-0.08455</v>
      </c>
      <c r="Y70" s="157" t="n">
        <f aca="false">SUM(Y71:Y84)</f>
        <v>0</v>
      </c>
      <c r="Z70" s="88" t="n">
        <f aca="false">IFERROR(Y70/Y$5,0)</f>
        <v>0</v>
      </c>
      <c r="AA70" s="139" t="n">
        <f aca="false">IFERROR((Y70/V70)-1,0)</f>
        <v>-1</v>
      </c>
      <c r="AB70" s="157" t="n">
        <f aca="false">SUM(AB71:AB84)</f>
        <v>-8455</v>
      </c>
      <c r="AC70" s="88" t="n">
        <f aca="false">IFERROR(AB70/AB$5,0)</f>
        <v>-0.0768636363636364</v>
      </c>
      <c r="AE70" s="157" t="n">
        <f aca="false">SUM(AE71:AE84)</f>
        <v>0</v>
      </c>
      <c r="AF70" s="88" t="n">
        <f aca="false">IFERROR(AE70/AE$5,0)</f>
        <v>0</v>
      </c>
      <c r="AG70" s="139" t="n">
        <f aca="false">IFERROR((AE70/AB70)-1,0)</f>
        <v>-1</v>
      </c>
      <c r="AH70" s="157" t="n">
        <f aca="false">SUM(AH71:AH84)</f>
        <v>-8455</v>
      </c>
      <c r="AI70" s="88" t="n">
        <f aca="false">IFERROR(AH70/AH$5,0)</f>
        <v>-0.0704583333333333</v>
      </c>
      <c r="AK70" s="157" t="n">
        <f aca="false">SUM(AK71:AK84)</f>
        <v>0</v>
      </c>
      <c r="AL70" s="88" t="n">
        <f aca="false">IFERROR(AK70/AK$5,0)</f>
        <v>0</v>
      </c>
      <c r="AM70" s="139" t="n">
        <f aca="false">IFERROR((AK70/AH70)-1,0)</f>
        <v>-1</v>
      </c>
      <c r="AN70" s="157" t="n">
        <f aca="false">SUM(AN71:AN84)</f>
        <v>-8455</v>
      </c>
      <c r="AO70" s="88" t="n">
        <f aca="false">IFERROR(AN70/AN$5,0)</f>
        <v>-0.0650384615384615</v>
      </c>
      <c r="AQ70" s="157" t="n">
        <f aca="false">SUM(AQ71:AQ84)</f>
        <v>0</v>
      </c>
      <c r="AR70" s="88" t="n">
        <f aca="false">IFERROR(AQ70/AQ$5,0)</f>
        <v>0</v>
      </c>
      <c r="AS70" s="139" t="n">
        <f aca="false">IFERROR((AQ70/AN70)-1,0)</f>
        <v>-1</v>
      </c>
      <c r="AT70" s="157" t="n">
        <f aca="false">SUM(AT71:AT84)</f>
        <v>-8455</v>
      </c>
      <c r="AU70" s="88" t="n">
        <f aca="false">IFERROR(AT70/AT$5,0)</f>
        <v>-0.0603928571428571</v>
      </c>
      <c r="AW70" s="157" t="n">
        <f aca="false">SUM(AW71:AW84)</f>
        <v>0</v>
      </c>
      <c r="AX70" s="88" t="n">
        <f aca="false">IFERROR(AW70/AW$5,0)</f>
        <v>0</v>
      </c>
      <c r="AY70" s="139" t="n">
        <f aca="false">IFERROR((AW70/AT70)-1,0)</f>
        <v>-1</v>
      </c>
      <c r="AZ70" s="157" t="n">
        <f aca="false">SUM(AZ71:AZ84)</f>
        <v>-8455</v>
      </c>
      <c r="BA70" s="88" t="n">
        <f aca="false">IFERROR(AZ70/AZ$5,0)</f>
        <v>-0.0563666666666667</v>
      </c>
      <c r="BC70" s="157" t="n">
        <f aca="false">SUM(BC71:BC84)</f>
        <v>0</v>
      </c>
      <c r="BD70" s="88" t="n">
        <f aca="false">IFERROR(BC70/BC$5,0)</f>
        <v>0</v>
      </c>
      <c r="BE70" s="139" t="n">
        <f aca="false">IFERROR((BC70/AZ70)-1,0)</f>
        <v>-1</v>
      </c>
      <c r="BF70" s="157" t="n">
        <f aca="false">SUM(BF71:BF84)</f>
        <v>-8455</v>
      </c>
      <c r="BG70" s="88" t="n">
        <f aca="false">IFERROR(BF70/BF$5,0)</f>
        <v>-0.0563666666666667</v>
      </c>
      <c r="BI70" s="157" t="n">
        <f aca="false">SUM(BI71:BI84)</f>
        <v>0</v>
      </c>
      <c r="BJ70" s="88" t="n">
        <f aca="false">IFERROR(BI70/BI$5,0)</f>
        <v>0</v>
      </c>
      <c r="BK70" s="139" t="n">
        <f aca="false">IFERROR((BI70/BF70)-1,0)</f>
        <v>-1</v>
      </c>
      <c r="BL70" s="157" t="n">
        <f aca="false">SUM(BL71:BL84)</f>
        <v>-11755</v>
      </c>
      <c r="BM70" s="88" t="n">
        <f aca="false">IFERROR(BL70/BL$5,0)</f>
        <v>-0.0783666666666667</v>
      </c>
      <c r="BO70" s="157" t="n">
        <f aca="false">SUM(BO71:BO84)</f>
        <v>0</v>
      </c>
      <c r="BP70" s="88" t="n">
        <f aca="false">IFERROR(BO70/BO$5,0)</f>
        <v>0</v>
      </c>
      <c r="BQ70" s="139" t="n">
        <f aca="false">IFERROR((BO70/BL70)-1,0)</f>
        <v>-1</v>
      </c>
      <c r="BR70" s="157" t="n">
        <f aca="false">SUM(BR71:BR84)</f>
        <v>-11755</v>
      </c>
      <c r="BS70" s="88" t="n">
        <f aca="false">IFERROR(BR70/BR$5,0)</f>
        <v>-0.0783666666666667</v>
      </c>
      <c r="BT70" s="158"/>
      <c r="BU70" s="157" t="n">
        <f aca="false">SUM(BU71:BU84)</f>
        <v>0</v>
      </c>
      <c r="BV70" s="88" t="n">
        <f aca="false">IFERROR(BU70/BU$5,0)</f>
        <v>0</v>
      </c>
      <c r="BW70" s="139" t="n">
        <f aca="false">IFERROR((BU70/BR70)-1,0)</f>
        <v>-1</v>
      </c>
      <c r="BX70" s="157" t="n">
        <f aca="false">SUM(D70,J70,P70,V70,AB70,AH70,AN70,AT70,AZ70,BF70,BL70,BR70)</f>
        <v>-108060</v>
      </c>
      <c r="BY70" s="88" t="n">
        <f aca="false">IFERROR(BX70/BX$5,0)</f>
        <v>-0.0742680412371134</v>
      </c>
      <c r="CA70" s="157" t="n">
        <f aca="false">SUM(G70,M70,S70,Y70,AE70,AK70,AQ70,AW70,BC70,BI70,BO70,BU70)</f>
        <v>0</v>
      </c>
      <c r="CB70" s="88" t="n">
        <f aca="false">IFERROR(CA70/CA$5,0)</f>
        <v>0</v>
      </c>
      <c r="CC70" s="139" t="n">
        <f aca="false">IFERROR((CA70/BX70)-1,0)</f>
        <v>-1</v>
      </c>
      <c r="CE70" s="157" t="n">
        <f aca="false">BX70/$CF$1</f>
        <v>-9005</v>
      </c>
      <c r="CF70" s="76" t="n">
        <f aca="false">IFERROR(CE70/CE$5,0)</f>
        <v>-0.0742680412371134</v>
      </c>
      <c r="CH70" s="157" t="n">
        <f aca="false">CA70/$CI$1</f>
        <v>0</v>
      </c>
      <c r="CI70" s="76" t="n">
        <f aca="false">IFERROR(CH70/CH$5,0)</f>
        <v>0</v>
      </c>
    </row>
    <row r="71" customFormat="false" ht="14.25" hidden="false" customHeight="false" outlineLevel="1" collapsed="false">
      <c r="B71" s="169" t="s">
        <v>99</v>
      </c>
      <c r="D71" s="157" t="n">
        <v>0</v>
      </c>
      <c r="E71" s="91" t="n">
        <f aca="false">IFERROR(D71/D$5,0)</f>
        <v>0</v>
      </c>
      <c r="G71" s="157" t="n">
        <f aca="false">SUMIFS('Dados Mov Financeira'!$N:$N,'Dados Mov Financeira'!$O:$O,'DRE 2024'!$B71,'Dados Mov Financeira'!$A:$A,'DRE 2024'!G$1,'Dados Mov Financeira'!$B:$B,'DRE 2024'!G$2)</f>
        <v>0</v>
      </c>
      <c r="H71" s="91" t="n">
        <f aca="false">IFERROR(G71/G$5,0)</f>
        <v>0</v>
      </c>
      <c r="I71" s="138" t="n">
        <f aca="false">IFERROR((G71/D71)-1,0)</f>
        <v>0</v>
      </c>
      <c r="J71" s="157" t="n">
        <v>0</v>
      </c>
      <c r="K71" s="91" t="n">
        <f aca="false">IFERROR(J71/J$5,0)</f>
        <v>0</v>
      </c>
      <c r="M71" s="157" t="n">
        <f aca="false">SUMIFS('Dados Mov Financeira'!$N:$N,'Dados Mov Financeira'!$O:$O,'DRE 2024'!$B71,'Dados Mov Financeira'!$A:$A,'DRE 2024'!M$1,'Dados Mov Financeira'!$B:$B,'DRE 2024'!M$2)</f>
        <v>0</v>
      </c>
      <c r="N71" s="91" t="n">
        <f aca="false">IFERROR(M71/M$5,0)</f>
        <v>0</v>
      </c>
      <c r="O71" s="139" t="n">
        <f aca="false">IFERROR((M71/J71)-1,0)</f>
        <v>0</v>
      </c>
      <c r="P71" s="157" t="n">
        <v>0</v>
      </c>
      <c r="Q71" s="91" t="n">
        <f aca="false">IFERROR(P71/P$5,0)</f>
        <v>0</v>
      </c>
      <c r="S71" s="157" t="n">
        <f aca="false">SUMIFS('Dados Mov Financeira'!$N:$N,'Dados Mov Financeira'!$O:$O,'DRE 2024'!$B71,'Dados Mov Financeira'!$A:$A,'DRE 2024'!S$1,'Dados Mov Financeira'!$B:$B,'DRE 2024'!S$2)</f>
        <v>0</v>
      </c>
      <c r="T71" s="91" t="n">
        <f aca="false">IFERROR(S71/S$5,0)</f>
        <v>0</v>
      </c>
      <c r="U71" s="139" t="n">
        <f aca="false">IFERROR((S71/P71)-1,0)</f>
        <v>0</v>
      </c>
      <c r="V71" s="157" t="n">
        <v>0</v>
      </c>
      <c r="W71" s="91" t="n">
        <f aca="false">IFERROR(V71/V$5,0)</f>
        <v>0</v>
      </c>
      <c r="Y71" s="157" t="n">
        <f aca="false">SUMIFS('Dados Mov Financeira'!$N:$N,'Dados Mov Financeira'!$O:$O,'DRE 2024'!$B71,'Dados Mov Financeira'!$A:$A,'DRE 2024'!Y$1,'Dados Mov Financeira'!$B:$B,'DRE 2024'!Y$2)</f>
        <v>0</v>
      </c>
      <c r="Z71" s="91" t="n">
        <f aca="false">IFERROR(Y71/Y$5,0)</f>
        <v>0</v>
      </c>
      <c r="AA71" s="139" t="n">
        <f aca="false">IFERROR((Y71/V71)-1,0)</f>
        <v>0</v>
      </c>
      <c r="AB71" s="157" t="n">
        <v>0</v>
      </c>
      <c r="AC71" s="91" t="n">
        <f aca="false">IFERROR(AB71/AB$5,0)</f>
        <v>0</v>
      </c>
      <c r="AE71" s="157" t="n">
        <f aca="false">SUMIFS('Dados Mov Financeira'!$N:$N,'Dados Mov Financeira'!$O:$O,'DRE 2024'!$B71,'Dados Mov Financeira'!$A:$A,'DRE 2024'!AE$1,'Dados Mov Financeira'!$B:$B,'DRE 2024'!AE$2)</f>
        <v>0</v>
      </c>
      <c r="AF71" s="91" t="n">
        <f aca="false">IFERROR(AE71/AE$5,0)</f>
        <v>0</v>
      </c>
      <c r="AG71" s="139" t="n">
        <f aca="false">IFERROR((AE71/AB71)-1,0)</f>
        <v>0</v>
      </c>
      <c r="AH71" s="157" t="n">
        <v>0</v>
      </c>
      <c r="AI71" s="91" t="n">
        <f aca="false">IFERROR(AH71/AH$5,0)</f>
        <v>0</v>
      </c>
      <c r="AK71" s="157" t="n">
        <f aca="false">SUMIFS('Dados Mov Financeira'!$N:$N,'Dados Mov Financeira'!$O:$O,'DRE 2024'!$B71,'Dados Mov Financeira'!$A:$A,'DRE 2024'!AK$1,'Dados Mov Financeira'!$B:$B,'DRE 2024'!AK$2)</f>
        <v>0</v>
      </c>
      <c r="AL71" s="91" t="n">
        <f aca="false">IFERROR(AK71/AK$5,0)</f>
        <v>0</v>
      </c>
      <c r="AM71" s="139" t="n">
        <f aca="false">IFERROR((AK71/AH71)-1,0)</f>
        <v>0</v>
      </c>
      <c r="AN71" s="157" t="n">
        <v>0</v>
      </c>
      <c r="AO71" s="91" t="n">
        <f aca="false">IFERROR(AN71/AN$5,0)</f>
        <v>0</v>
      </c>
      <c r="AQ71" s="157" t="n">
        <f aca="false">SUMIFS('Dados Mov Financeira'!$N:$N,'Dados Mov Financeira'!$O:$O,'DRE 2024'!$B71,'Dados Mov Financeira'!$A:$A,'DRE 2024'!AQ$1,'Dados Mov Financeira'!$B:$B,'DRE 2024'!AQ$2)</f>
        <v>0</v>
      </c>
      <c r="AR71" s="91" t="n">
        <f aca="false">IFERROR(AQ71/AQ$5,0)</f>
        <v>0</v>
      </c>
      <c r="AS71" s="139" t="n">
        <f aca="false">IFERROR((AQ71/AN71)-1,0)</f>
        <v>0</v>
      </c>
      <c r="AT71" s="157" t="n">
        <v>0</v>
      </c>
      <c r="AU71" s="91" t="n">
        <f aca="false">IFERROR(AT71/AT$5,0)</f>
        <v>0</v>
      </c>
      <c r="AW71" s="157" t="n">
        <f aca="false">SUMIFS('Dados Mov Financeira'!$N:$N,'Dados Mov Financeira'!$O:$O,'DRE 2024'!$B71,'Dados Mov Financeira'!$A:$A,'DRE 2024'!AW$1,'Dados Mov Financeira'!$B:$B,'DRE 2024'!AW$2)</f>
        <v>0</v>
      </c>
      <c r="AX71" s="91" t="n">
        <f aca="false">IFERROR(AW71/AW$5,0)</f>
        <v>0</v>
      </c>
      <c r="AY71" s="139" t="n">
        <f aca="false">IFERROR((AW71/AT71)-1,0)</f>
        <v>0</v>
      </c>
      <c r="AZ71" s="157" t="n">
        <v>0</v>
      </c>
      <c r="BA71" s="91" t="n">
        <f aca="false">IFERROR(AZ71/AZ$5,0)</f>
        <v>0</v>
      </c>
      <c r="BC71" s="157" t="n">
        <f aca="false">SUMIFS('Dados Mov Financeira'!$N:$N,'Dados Mov Financeira'!$O:$O,'DRE 2024'!$B71,'Dados Mov Financeira'!$A:$A,'DRE 2024'!BC$1,'Dados Mov Financeira'!$B:$B,'DRE 2024'!BC$2)</f>
        <v>0</v>
      </c>
      <c r="BD71" s="91" t="n">
        <f aca="false">IFERROR(BC71/BC$5,0)</f>
        <v>0</v>
      </c>
      <c r="BE71" s="139" t="n">
        <f aca="false">IFERROR((BC71/AZ71)-1,0)</f>
        <v>0</v>
      </c>
      <c r="BF71" s="157" t="n">
        <v>0</v>
      </c>
      <c r="BG71" s="91" t="n">
        <f aca="false">IFERROR(BF71/BF$5,0)</f>
        <v>0</v>
      </c>
      <c r="BI71" s="157" t="n">
        <f aca="false">SUMIFS('Dados Mov Financeira'!$N:$N,'Dados Mov Financeira'!$O:$O,'DRE 2024'!$B71,'Dados Mov Financeira'!$A:$A,'DRE 2024'!BI$1,'Dados Mov Financeira'!$B:$B,'DRE 2024'!BI$2)</f>
        <v>0</v>
      </c>
      <c r="BJ71" s="91" t="n">
        <f aca="false">IFERROR(BI71/BI$5,0)</f>
        <v>0</v>
      </c>
      <c r="BK71" s="139" t="n">
        <f aca="false">IFERROR((BI71/BF71)-1,0)</f>
        <v>0</v>
      </c>
      <c r="BL71" s="157" t="n">
        <v>-3300</v>
      </c>
      <c r="BM71" s="91" t="n">
        <f aca="false">IFERROR(BL71/BL$5,0)</f>
        <v>-0.022</v>
      </c>
      <c r="BO71" s="173" t="n">
        <f aca="false">SUMIFS('Dados Mov Financeira'!$N:$N,'Dados Mov Financeira'!$O:$O,'DRE 2024'!$B71,'Dados Mov Financeira'!$A:$A,'DRE 2024'!BO$1,'Dados Mov Financeira'!$B:$B,'DRE 2024'!BO$2)</f>
        <v>0</v>
      </c>
      <c r="BP71" s="91" t="n">
        <f aca="false">IFERROR(BO71/BO$5,0)</f>
        <v>0</v>
      </c>
      <c r="BQ71" s="139" t="n">
        <f aca="false">IFERROR((BO71/BL71)-1,0)</f>
        <v>-1</v>
      </c>
      <c r="BR71" s="157" t="n">
        <v>-3300</v>
      </c>
      <c r="BS71" s="91" t="n">
        <f aca="false">IFERROR(BR71/BR$5,0)</f>
        <v>-0.022</v>
      </c>
      <c r="BT71" s="171"/>
      <c r="BU71" s="157" t="n">
        <f aca="false">SUMIFS('Dados Mov Financeira'!$N:$N,'Dados Mov Financeira'!$O:$O,'DRE 2024'!$B71,'Dados Mov Financeira'!$A:$A,'DRE 2024'!BU$1,'Dados Mov Financeira'!$B:$B,'DRE 2024'!BU$2)</f>
        <v>0</v>
      </c>
      <c r="BV71" s="91" t="n">
        <f aca="false">IFERROR(BU71/BU$5,0)</f>
        <v>0</v>
      </c>
      <c r="BW71" s="139" t="n">
        <f aca="false">IFERROR((BU71/BR71)-1,0)</f>
        <v>-1</v>
      </c>
      <c r="BX71" s="172" t="n">
        <f aca="false">SUM(D71,J71,P71,V71,AB71,AH71,AN71,AT71,AZ71,BF71,BL71,BR71)</f>
        <v>-6600</v>
      </c>
      <c r="BY71" s="91" t="n">
        <f aca="false">IFERROR(BX71/BX$5,0)</f>
        <v>-0.0045360824742268</v>
      </c>
      <c r="CA71" s="172" t="n">
        <f aca="false">SUM(G71,M71,S71,Y71,AE71,AK71,AQ71,AW71,BC71,BI71,BO71,BU71)</f>
        <v>0</v>
      </c>
      <c r="CB71" s="91" t="n">
        <f aca="false">IFERROR(CA71/CA$5,0)</f>
        <v>0</v>
      </c>
      <c r="CC71" s="139" t="n">
        <f aca="false">IFERROR((CA71/BX71)-1,0)</f>
        <v>-1</v>
      </c>
      <c r="CE71" s="157" t="n">
        <f aca="false">BX71/$CF$1</f>
        <v>-550</v>
      </c>
      <c r="CF71" s="94" t="n">
        <f aca="false">IFERROR(CE71/CE$5,0)</f>
        <v>-0.0045360824742268</v>
      </c>
      <c r="CH71" s="157" t="n">
        <f aca="false">CA71/$CI$1</f>
        <v>0</v>
      </c>
      <c r="CI71" s="94" t="n">
        <f aca="false">IFERROR(CH71/CH$5,0)</f>
        <v>0</v>
      </c>
    </row>
    <row r="72" customFormat="false" ht="14.25" hidden="false" customHeight="false" outlineLevel="1" collapsed="false">
      <c r="B72" s="169" t="s">
        <v>100</v>
      </c>
      <c r="D72" s="157" t="n">
        <v>0</v>
      </c>
      <c r="E72" s="91" t="n">
        <f aca="false">IFERROR(D72/D$5,0)</f>
        <v>0</v>
      </c>
      <c r="G72" s="157" t="n">
        <f aca="false">SUMIFS('Dados Mov Financeira'!$N:$N,'Dados Mov Financeira'!$O:$O,'DRE 2024'!$B72,'Dados Mov Financeira'!$A:$A,'DRE 2024'!G$1,'Dados Mov Financeira'!$B:$B,'DRE 2024'!G$2)</f>
        <v>0</v>
      </c>
      <c r="H72" s="91" t="n">
        <f aca="false">IFERROR(G72/G$5,0)</f>
        <v>0</v>
      </c>
      <c r="I72" s="138" t="n">
        <f aca="false">IFERROR((G72/D72)-1,0)</f>
        <v>0</v>
      </c>
      <c r="J72" s="157" t="n">
        <v>0</v>
      </c>
      <c r="K72" s="91" t="n">
        <f aca="false">IFERROR(J72/J$5,0)</f>
        <v>0</v>
      </c>
      <c r="M72" s="157" t="n">
        <f aca="false">SUMIFS('Dados Mov Financeira'!$N:$N,'Dados Mov Financeira'!$O:$O,'DRE 2024'!$B72,'Dados Mov Financeira'!$A:$A,'DRE 2024'!M$1,'Dados Mov Financeira'!$B:$B,'DRE 2024'!M$2)</f>
        <v>0</v>
      </c>
      <c r="N72" s="91" t="n">
        <f aca="false">IFERROR(M72/M$5,0)</f>
        <v>0</v>
      </c>
      <c r="O72" s="139" t="n">
        <f aca="false">IFERROR((M72/J72)-1,0)</f>
        <v>0</v>
      </c>
      <c r="P72" s="157" t="n">
        <v>0</v>
      </c>
      <c r="Q72" s="91" t="n">
        <f aca="false">IFERROR(P72/P$5,0)</f>
        <v>0</v>
      </c>
      <c r="S72" s="157" t="n">
        <f aca="false">SUMIFS('Dados Mov Financeira'!$N:$N,'Dados Mov Financeira'!$O:$O,'DRE 2024'!$B72,'Dados Mov Financeira'!$A:$A,'DRE 2024'!S$1,'Dados Mov Financeira'!$B:$B,'DRE 2024'!S$2)</f>
        <v>0</v>
      </c>
      <c r="T72" s="91" t="n">
        <f aca="false">IFERROR(S72/S$5,0)</f>
        <v>0</v>
      </c>
      <c r="U72" s="139" t="n">
        <f aca="false">IFERROR((S72/P72)-1,0)</f>
        <v>0</v>
      </c>
      <c r="V72" s="157" t="n">
        <v>0</v>
      </c>
      <c r="W72" s="91" t="n">
        <f aca="false">IFERROR(V72/V$5,0)</f>
        <v>0</v>
      </c>
      <c r="Y72" s="157" t="n">
        <f aca="false">SUMIFS('Dados Mov Financeira'!$N:$N,'Dados Mov Financeira'!$O:$O,'DRE 2024'!$B72,'Dados Mov Financeira'!$A:$A,'DRE 2024'!Y$1,'Dados Mov Financeira'!$B:$B,'DRE 2024'!Y$2)</f>
        <v>0</v>
      </c>
      <c r="Z72" s="91" t="n">
        <f aca="false">IFERROR(Y72/Y$5,0)</f>
        <v>0</v>
      </c>
      <c r="AA72" s="139" t="n">
        <f aca="false">IFERROR((Y72/V72)-1,0)</f>
        <v>0</v>
      </c>
      <c r="AB72" s="157" t="n">
        <v>0</v>
      </c>
      <c r="AC72" s="91" t="n">
        <f aca="false">IFERROR(AB72/AB$5,0)</f>
        <v>0</v>
      </c>
      <c r="AE72" s="157" t="n">
        <f aca="false">SUMIFS('Dados Mov Financeira'!$N:$N,'Dados Mov Financeira'!$O:$O,'DRE 2024'!$B72,'Dados Mov Financeira'!$A:$A,'DRE 2024'!AE$1,'Dados Mov Financeira'!$B:$B,'DRE 2024'!AE$2)</f>
        <v>0</v>
      </c>
      <c r="AF72" s="91" t="n">
        <f aca="false">IFERROR(AE72/AE$5,0)</f>
        <v>0</v>
      </c>
      <c r="AG72" s="139" t="n">
        <f aca="false">IFERROR((AE72/AB72)-1,0)</f>
        <v>0</v>
      </c>
      <c r="AH72" s="157" t="n">
        <v>0</v>
      </c>
      <c r="AI72" s="91" t="n">
        <f aca="false">IFERROR(AH72/AH$5,0)</f>
        <v>0</v>
      </c>
      <c r="AK72" s="157" t="n">
        <f aca="false">SUMIFS('Dados Mov Financeira'!$N:$N,'Dados Mov Financeira'!$O:$O,'DRE 2024'!$B72,'Dados Mov Financeira'!$A:$A,'DRE 2024'!AK$1,'Dados Mov Financeira'!$B:$B,'DRE 2024'!AK$2)</f>
        <v>0</v>
      </c>
      <c r="AL72" s="91" t="n">
        <f aca="false">IFERROR(AK72/AK$5,0)</f>
        <v>0</v>
      </c>
      <c r="AM72" s="139" t="n">
        <f aca="false">IFERROR((AK72/AH72)-1,0)</f>
        <v>0</v>
      </c>
      <c r="AN72" s="157" t="n">
        <v>0</v>
      </c>
      <c r="AO72" s="91" t="n">
        <f aca="false">IFERROR(AN72/AN$5,0)</f>
        <v>0</v>
      </c>
      <c r="AQ72" s="157" t="n">
        <f aca="false">SUMIFS('Dados Mov Financeira'!$N:$N,'Dados Mov Financeira'!$O:$O,'DRE 2024'!$B72,'Dados Mov Financeira'!$A:$A,'DRE 2024'!AQ$1,'Dados Mov Financeira'!$B:$B,'DRE 2024'!AQ$2)</f>
        <v>0</v>
      </c>
      <c r="AR72" s="91" t="n">
        <f aca="false">IFERROR(AQ72/AQ$5,0)</f>
        <v>0</v>
      </c>
      <c r="AS72" s="139" t="n">
        <f aca="false">IFERROR((AQ72/AN72)-1,0)</f>
        <v>0</v>
      </c>
      <c r="AT72" s="157" t="n">
        <v>0</v>
      </c>
      <c r="AU72" s="91" t="n">
        <f aca="false">IFERROR(AT72/AT$5,0)</f>
        <v>0</v>
      </c>
      <c r="AW72" s="157" t="n">
        <f aca="false">SUMIFS('Dados Mov Financeira'!$N:$N,'Dados Mov Financeira'!$O:$O,'DRE 2024'!$B72,'Dados Mov Financeira'!$A:$A,'DRE 2024'!AW$1,'Dados Mov Financeira'!$B:$B,'DRE 2024'!AW$2)</f>
        <v>0</v>
      </c>
      <c r="AX72" s="91" t="n">
        <f aca="false">IFERROR(AW72/AW$5,0)</f>
        <v>0</v>
      </c>
      <c r="AY72" s="139" t="n">
        <f aca="false">IFERROR((AW72/AT72)-1,0)</f>
        <v>0</v>
      </c>
      <c r="AZ72" s="157" t="n">
        <v>0</v>
      </c>
      <c r="BA72" s="91" t="n">
        <f aca="false">IFERROR(AZ72/AZ$5,0)</f>
        <v>0</v>
      </c>
      <c r="BC72" s="157" t="n">
        <f aca="false">SUMIFS('Dados Mov Financeira'!$N:$N,'Dados Mov Financeira'!$O:$O,'DRE 2024'!$B72,'Dados Mov Financeira'!$A:$A,'DRE 2024'!BC$1,'Dados Mov Financeira'!$B:$B,'DRE 2024'!BC$2)</f>
        <v>0</v>
      </c>
      <c r="BD72" s="91" t="n">
        <f aca="false">IFERROR(BC72/BC$5,0)</f>
        <v>0</v>
      </c>
      <c r="BE72" s="139" t="n">
        <f aca="false">IFERROR((BC72/AZ72)-1,0)</f>
        <v>0</v>
      </c>
      <c r="BF72" s="157" t="n">
        <v>0</v>
      </c>
      <c r="BG72" s="91" t="n">
        <f aca="false">IFERROR(BF72/BF$5,0)</f>
        <v>0</v>
      </c>
      <c r="BI72" s="157" t="n">
        <f aca="false">SUMIFS('Dados Mov Financeira'!$N:$N,'Dados Mov Financeira'!$O:$O,'DRE 2024'!$B72,'Dados Mov Financeira'!$A:$A,'DRE 2024'!BI$1,'Dados Mov Financeira'!$B:$B,'DRE 2024'!BI$2)</f>
        <v>0</v>
      </c>
      <c r="BJ72" s="91" t="n">
        <f aca="false">IFERROR(BI72/BI$5,0)</f>
        <v>0</v>
      </c>
      <c r="BK72" s="139" t="n">
        <f aca="false">IFERROR((BI72/BF72)-1,0)</f>
        <v>0</v>
      </c>
      <c r="BL72" s="157" t="n">
        <v>0</v>
      </c>
      <c r="BM72" s="91" t="n">
        <f aca="false">IFERROR(BL72/BL$5,0)</f>
        <v>0</v>
      </c>
      <c r="BO72" s="157" t="n">
        <f aca="false">SUMIFS('Dados Mov Financeira'!$N:$N,'Dados Mov Financeira'!$O:$O,'DRE 2024'!$B72,'Dados Mov Financeira'!$A:$A,'DRE 2024'!BO$1,'Dados Mov Financeira'!$B:$B,'DRE 2024'!BO$2)</f>
        <v>0</v>
      </c>
      <c r="BP72" s="91" t="n">
        <f aca="false">IFERROR(BO72/BO$5,0)</f>
        <v>0</v>
      </c>
      <c r="BQ72" s="139" t="n">
        <f aca="false">IFERROR((BO72/BL72)-1,0)</f>
        <v>0</v>
      </c>
      <c r="BR72" s="157" t="n">
        <v>0</v>
      </c>
      <c r="BS72" s="91" t="n">
        <f aca="false">IFERROR(BR72/BR$5,0)</f>
        <v>0</v>
      </c>
      <c r="BT72" s="171"/>
      <c r="BU72" s="157" t="n">
        <f aca="false">SUMIFS('Dados Mov Financeira'!$N:$N,'Dados Mov Financeira'!$O:$O,'DRE 2024'!$B72,'Dados Mov Financeira'!$A:$A,'DRE 2024'!BU$1,'Dados Mov Financeira'!$B:$B,'DRE 2024'!BU$2)</f>
        <v>0</v>
      </c>
      <c r="BV72" s="91" t="n">
        <f aca="false">IFERROR(BU72/BU$5,0)</f>
        <v>0</v>
      </c>
      <c r="BW72" s="139" t="n">
        <f aca="false">IFERROR((BU72/BR72)-1,0)</f>
        <v>0</v>
      </c>
      <c r="BX72" s="172" t="n">
        <f aca="false">SUM(D72,J72,P72,V72,AB72,AH72,AN72,AT72,AZ72,BF72,BL72,BR72)</f>
        <v>0</v>
      </c>
      <c r="BY72" s="91" t="n">
        <f aca="false">IFERROR(BX72/BX$5,0)</f>
        <v>0</v>
      </c>
      <c r="CA72" s="172" t="n">
        <f aca="false">SUM(G72,M72,S72,Y72,AE72,AK72,AQ72,AW72,BC72,BI72,BO72,BU72)</f>
        <v>0</v>
      </c>
      <c r="CB72" s="91" t="n">
        <f aca="false">IFERROR(CA72/CA$5,0)</f>
        <v>0</v>
      </c>
      <c r="CC72" s="139" t="n">
        <f aca="false">IFERROR((CA72/BX72)-1,0)</f>
        <v>0</v>
      </c>
      <c r="CE72" s="157" t="n">
        <f aca="false">BX72/$CF$1</f>
        <v>0</v>
      </c>
      <c r="CF72" s="94" t="n">
        <f aca="false">IFERROR(CE72/CE$5,0)</f>
        <v>0</v>
      </c>
      <c r="CH72" s="157" t="n">
        <f aca="false">CA72/$CI$1</f>
        <v>0</v>
      </c>
      <c r="CI72" s="94" t="n">
        <f aca="false">IFERROR(CH72/CH$5,0)</f>
        <v>0</v>
      </c>
    </row>
    <row r="73" customFormat="false" ht="14.25" hidden="false" customHeight="false" outlineLevel="1" collapsed="false">
      <c r="B73" s="169" t="s">
        <v>101</v>
      </c>
      <c r="D73" s="157" t="n">
        <v>0</v>
      </c>
      <c r="E73" s="91" t="n">
        <f aca="false">IFERROR(D73/D$5,0)</f>
        <v>0</v>
      </c>
      <c r="G73" s="157" t="n">
        <f aca="false">SUMIFS('Dados Mov Financeira'!$N:$N,'Dados Mov Financeira'!$O:$O,'DRE 2024'!$B73,'Dados Mov Financeira'!$A:$A,'DRE 2024'!G$1,'Dados Mov Financeira'!$B:$B,'DRE 2024'!G$2)</f>
        <v>0</v>
      </c>
      <c r="H73" s="91" t="n">
        <f aca="false">IFERROR(G73/G$5,0)</f>
        <v>0</v>
      </c>
      <c r="I73" s="138" t="n">
        <f aca="false">IFERROR((G73/D73)-1,0)</f>
        <v>0</v>
      </c>
      <c r="J73" s="157" t="n">
        <v>0</v>
      </c>
      <c r="K73" s="91" t="n">
        <f aca="false">IFERROR(J73/J$5,0)</f>
        <v>0</v>
      </c>
      <c r="M73" s="157" t="n">
        <f aca="false">SUMIFS('Dados Mov Financeira'!$N:$N,'Dados Mov Financeira'!$O:$O,'DRE 2024'!$B73,'Dados Mov Financeira'!$A:$A,'DRE 2024'!M$1,'Dados Mov Financeira'!$B:$B,'DRE 2024'!M$2)</f>
        <v>0</v>
      </c>
      <c r="N73" s="91" t="n">
        <f aca="false">IFERROR(M73/M$5,0)</f>
        <v>0</v>
      </c>
      <c r="O73" s="139" t="n">
        <f aca="false">IFERROR((M73/J73)-1,0)</f>
        <v>0</v>
      </c>
      <c r="P73" s="157" t="n">
        <v>0</v>
      </c>
      <c r="Q73" s="91" t="n">
        <f aca="false">IFERROR(P73/P$5,0)</f>
        <v>0</v>
      </c>
      <c r="S73" s="157" t="n">
        <f aca="false">SUMIFS('Dados Mov Financeira'!$N:$N,'Dados Mov Financeira'!$O:$O,'DRE 2024'!$B73,'Dados Mov Financeira'!$A:$A,'DRE 2024'!S$1,'Dados Mov Financeira'!$B:$B,'DRE 2024'!S$2)</f>
        <v>0</v>
      </c>
      <c r="T73" s="91" t="n">
        <f aca="false">IFERROR(S73/S$5,0)</f>
        <v>0</v>
      </c>
      <c r="U73" s="139" t="n">
        <f aca="false">IFERROR((S73/P73)-1,0)</f>
        <v>0</v>
      </c>
      <c r="V73" s="157" t="n">
        <v>0</v>
      </c>
      <c r="W73" s="91" t="n">
        <f aca="false">IFERROR(V73/V$5,0)</f>
        <v>0</v>
      </c>
      <c r="Y73" s="157" t="n">
        <f aca="false">SUMIFS('Dados Mov Financeira'!$N:$N,'Dados Mov Financeira'!$O:$O,'DRE 2024'!$B73,'Dados Mov Financeira'!$A:$A,'DRE 2024'!Y$1,'Dados Mov Financeira'!$B:$B,'DRE 2024'!Y$2)</f>
        <v>0</v>
      </c>
      <c r="Z73" s="91" t="n">
        <f aca="false">IFERROR(Y73/Y$5,0)</f>
        <v>0</v>
      </c>
      <c r="AA73" s="139" t="n">
        <f aca="false">IFERROR((Y73/V73)-1,0)</f>
        <v>0</v>
      </c>
      <c r="AB73" s="157" t="n">
        <v>0</v>
      </c>
      <c r="AC73" s="91" t="n">
        <f aca="false">IFERROR(AB73/AB$5,0)</f>
        <v>0</v>
      </c>
      <c r="AE73" s="157" t="n">
        <f aca="false">SUMIFS('Dados Mov Financeira'!$N:$N,'Dados Mov Financeira'!$O:$O,'DRE 2024'!$B73,'Dados Mov Financeira'!$A:$A,'DRE 2024'!AE$1,'Dados Mov Financeira'!$B:$B,'DRE 2024'!AE$2)</f>
        <v>0</v>
      </c>
      <c r="AF73" s="91" t="n">
        <f aca="false">IFERROR(AE73/AE$5,0)</f>
        <v>0</v>
      </c>
      <c r="AG73" s="139" t="n">
        <f aca="false">IFERROR((AE73/AB73)-1,0)</f>
        <v>0</v>
      </c>
      <c r="AH73" s="157" t="n">
        <v>0</v>
      </c>
      <c r="AI73" s="91" t="n">
        <f aca="false">IFERROR(AH73/AH$5,0)</f>
        <v>0</v>
      </c>
      <c r="AK73" s="157" t="n">
        <f aca="false">SUMIFS('Dados Mov Financeira'!$N:$N,'Dados Mov Financeira'!$O:$O,'DRE 2024'!$B73,'Dados Mov Financeira'!$A:$A,'DRE 2024'!AK$1,'Dados Mov Financeira'!$B:$B,'DRE 2024'!AK$2)</f>
        <v>0</v>
      </c>
      <c r="AL73" s="91" t="n">
        <f aca="false">IFERROR(AK73/AK$5,0)</f>
        <v>0</v>
      </c>
      <c r="AM73" s="139" t="n">
        <f aca="false">IFERROR((AK73/AH73)-1,0)</f>
        <v>0</v>
      </c>
      <c r="AN73" s="157" t="n">
        <v>0</v>
      </c>
      <c r="AO73" s="91" t="n">
        <f aca="false">IFERROR(AN73/AN$5,0)</f>
        <v>0</v>
      </c>
      <c r="AQ73" s="157" t="n">
        <f aca="false">SUMIFS('Dados Mov Financeira'!$N:$N,'Dados Mov Financeira'!$O:$O,'DRE 2024'!$B73,'Dados Mov Financeira'!$A:$A,'DRE 2024'!AQ$1,'Dados Mov Financeira'!$B:$B,'DRE 2024'!AQ$2)</f>
        <v>0</v>
      </c>
      <c r="AR73" s="91" t="n">
        <f aca="false">IFERROR(AQ73/AQ$5,0)</f>
        <v>0</v>
      </c>
      <c r="AS73" s="139" t="n">
        <f aca="false">IFERROR((AQ73/AN73)-1,0)</f>
        <v>0</v>
      </c>
      <c r="AT73" s="157" t="n">
        <v>0</v>
      </c>
      <c r="AU73" s="91" t="n">
        <f aca="false">IFERROR(AT73/AT$5,0)</f>
        <v>0</v>
      </c>
      <c r="AW73" s="157" t="n">
        <f aca="false">SUMIFS('Dados Mov Financeira'!$N:$N,'Dados Mov Financeira'!$O:$O,'DRE 2024'!$B73,'Dados Mov Financeira'!$A:$A,'DRE 2024'!AW$1,'Dados Mov Financeira'!$B:$B,'DRE 2024'!AW$2)</f>
        <v>0</v>
      </c>
      <c r="AX73" s="91" t="n">
        <f aca="false">IFERROR(AW73/AW$5,0)</f>
        <v>0</v>
      </c>
      <c r="AY73" s="139" t="n">
        <f aca="false">IFERROR((AW73/AT73)-1,0)</f>
        <v>0</v>
      </c>
      <c r="AZ73" s="157" t="n">
        <v>0</v>
      </c>
      <c r="BA73" s="91" t="n">
        <f aca="false">IFERROR(AZ73/AZ$5,0)</f>
        <v>0</v>
      </c>
      <c r="BC73" s="157" t="n">
        <f aca="false">SUMIFS('Dados Mov Financeira'!$N:$N,'Dados Mov Financeira'!$O:$O,'DRE 2024'!$B73,'Dados Mov Financeira'!$A:$A,'DRE 2024'!BC$1,'Dados Mov Financeira'!$B:$B,'DRE 2024'!BC$2)</f>
        <v>0</v>
      </c>
      <c r="BD73" s="91" t="n">
        <f aca="false">IFERROR(BC73/BC$5,0)</f>
        <v>0</v>
      </c>
      <c r="BE73" s="139" t="n">
        <f aca="false">IFERROR((BC73/AZ73)-1,0)</f>
        <v>0</v>
      </c>
      <c r="BF73" s="157" t="n">
        <v>0</v>
      </c>
      <c r="BG73" s="91" t="n">
        <f aca="false">IFERROR(BF73/BF$5,0)</f>
        <v>0</v>
      </c>
      <c r="BI73" s="157" t="n">
        <f aca="false">SUMIFS('Dados Mov Financeira'!$N:$N,'Dados Mov Financeira'!$O:$O,'DRE 2024'!$B73,'Dados Mov Financeira'!$A:$A,'DRE 2024'!BI$1,'Dados Mov Financeira'!$B:$B,'DRE 2024'!BI$2)</f>
        <v>0</v>
      </c>
      <c r="BJ73" s="91" t="n">
        <f aca="false">IFERROR(BI73/BI$5,0)</f>
        <v>0</v>
      </c>
      <c r="BK73" s="139" t="n">
        <f aca="false">IFERROR((BI73/BF73)-1,0)</f>
        <v>0</v>
      </c>
      <c r="BL73" s="157" t="n">
        <v>0</v>
      </c>
      <c r="BM73" s="91" t="n">
        <f aca="false">IFERROR(BL73/BL$5,0)</f>
        <v>0</v>
      </c>
      <c r="BO73" s="157" t="n">
        <f aca="false">SUMIFS('Dados Mov Financeira'!$N:$N,'Dados Mov Financeira'!$O:$O,'DRE 2024'!$B73,'Dados Mov Financeira'!$A:$A,'DRE 2024'!BO$1,'Dados Mov Financeira'!$B:$B,'DRE 2024'!BO$2)</f>
        <v>0</v>
      </c>
      <c r="BP73" s="91" t="n">
        <f aca="false">IFERROR(BO73/BO$5,0)</f>
        <v>0</v>
      </c>
      <c r="BQ73" s="139" t="n">
        <f aca="false">IFERROR((BO73/BL73)-1,0)</f>
        <v>0</v>
      </c>
      <c r="BR73" s="157" t="n">
        <v>0</v>
      </c>
      <c r="BS73" s="91" t="n">
        <f aca="false">IFERROR(BR73/BR$5,0)</f>
        <v>0</v>
      </c>
      <c r="BT73" s="171"/>
      <c r="BU73" s="157" t="n">
        <f aca="false">SUMIFS('Dados Mov Financeira'!$N:$N,'Dados Mov Financeira'!$O:$O,'DRE 2024'!$B73,'Dados Mov Financeira'!$A:$A,'DRE 2024'!BU$1,'Dados Mov Financeira'!$B:$B,'DRE 2024'!BU$2)</f>
        <v>0</v>
      </c>
      <c r="BV73" s="91" t="n">
        <f aca="false">IFERROR(BU73/BU$5,0)</f>
        <v>0</v>
      </c>
      <c r="BW73" s="139" t="n">
        <f aca="false">IFERROR((BU73/BR73)-1,0)</f>
        <v>0</v>
      </c>
      <c r="BX73" s="172" t="n">
        <f aca="false">SUM(D73,J73,P73,V73,AB73,AH73,AN73,AT73,AZ73,BF73,BL73,BR73)</f>
        <v>0</v>
      </c>
      <c r="BY73" s="91" t="n">
        <f aca="false">IFERROR(BX73/BX$5,0)</f>
        <v>0</v>
      </c>
      <c r="CA73" s="172" t="n">
        <f aca="false">SUM(G73,M73,S73,Y73,AE73,AK73,AQ73,AW73,BC73,BI73,BO73,BU73)</f>
        <v>0</v>
      </c>
      <c r="CB73" s="91" t="n">
        <f aca="false">IFERROR(CA73/CA$5,0)</f>
        <v>0</v>
      </c>
      <c r="CC73" s="139" t="n">
        <f aca="false">IFERROR((CA73/BX73)-1,0)</f>
        <v>0</v>
      </c>
      <c r="CE73" s="157" t="n">
        <f aca="false">BX73/$CF$1</f>
        <v>0</v>
      </c>
      <c r="CF73" s="94" t="n">
        <f aca="false">IFERROR(CE73/CE$5,0)</f>
        <v>0</v>
      </c>
      <c r="CH73" s="157" t="n">
        <f aca="false">CA73/$CI$1</f>
        <v>0</v>
      </c>
      <c r="CI73" s="94" t="n">
        <f aca="false">IFERROR(CH73/CH$5,0)</f>
        <v>0</v>
      </c>
    </row>
    <row r="74" customFormat="false" ht="14.25" hidden="false" customHeight="false" outlineLevel="1" collapsed="false">
      <c r="B74" s="169" t="s">
        <v>103</v>
      </c>
      <c r="D74" s="157" t="n">
        <v>0</v>
      </c>
      <c r="E74" s="91" t="n">
        <f aca="false">IFERROR(D74/D$5,0)</f>
        <v>0</v>
      </c>
      <c r="G74" s="157" t="n">
        <f aca="false">SUMIFS('Dados Mov Financeira'!$N:$N,'Dados Mov Financeira'!$O:$O,'DRE 2024'!$B74,'Dados Mov Financeira'!$A:$A,'DRE 2024'!G$1,'Dados Mov Financeira'!$B:$B,'DRE 2024'!G$2)</f>
        <v>0</v>
      </c>
      <c r="H74" s="91" t="n">
        <f aca="false">IFERROR(G74/G$5,0)</f>
        <v>0</v>
      </c>
      <c r="I74" s="138" t="n">
        <f aca="false">IFERROR((G74/D74)-1,0)</f>
        <v>0</v>
      </c>
      <c r="J74" s="157" t="n">
        <v>0</v>
      </c>
      <c r="K74" s="91" t="n">
        <f aca="false">IFERROR(J74/J$5,0)</f>
        <v>0</v>
      </c>
      <c r="M74" s="157" t="n">
        <f aca="false">SUMIFS('Dados Mov Financeira'!$N:$N,'Dados Mov Financeira'!$O:$O,'DRE 2024'!$B74,'Dados Mov Financeira'!$A:$A,'DRE 2024'!M$1,'Dados Mov Financeira'!$B:$B,'DRE 2024'!M$2)</f>
        <v>0</v>
      </c>
      <c r="N74" s="91" t="n">
        <f aca="false">IFERROR(M74/M$5,0)</f>
        <v>0</v>
      </c>
      <c r="O74" s="139" t="n">
        <f aca="false">IFERROR((M74/J74)-1,0)</f>
        <v>0</v>
      </c>
      <c r="P74" s="157" t="n">
        <v>0</v>
      </c>
      <c r="Q74" s="91" t="n">
        <f aca="false">IFERROR(P74/P$5,0)</f>
        <v>0</v>
      </c>
      <c r="S74" s="157" t="n">
        <f aca="false">SUMIFS('Dados Mov Financeira'!$N:$N,'Dados Mov Financeira'!$O:$O,'DRE 2024'!$B74,'Dados Mov Financeira'!$A:$A,'DRE 2024'!S$1,'Dados Mov Financeira'!$B:$B,'DRE 2024'!S$2)</f>
        <v>0</v>
      </c>
      <c r="T74" s="91" t="n">
        <f aca="false">IFERROR(S74/S$5,0)</f>
        <v>0</v>
      </c>
      <c r="U74" s="139" t="n">
        <f aca="false">IFERROR((S74/P74)-1,0)</f>
        <v>0</v>
      </c>
      <c r="V74" s="157" t="n">
        <v>0</v>
      </c>
      <c r="W74" s="91" t="n">
        <f aca="false">IFERROR(V74/V$5,0)</f>
        <v>0</v>
      </c>
      <c r="Y74" s="157" t="n">
        <f aca="false">SUMIFS('Dados Mov Financeira'!$N:$N,'Dados Mov Financeira'!$O:$O,'DRE 2024'!$B74,'Dados Mov Financeira'!$A:$A,'DRE 2024'!Y$1,'Dados Mov Financeira'!$B:$B,'DRE 2024'!Y$2)</f>
        <v>0</v>
      </c>
      <c r="Z74" s="91" t="n">
        <f aca="false">IFERROR(Y74/Y$5,0)</f>
        <v>0</v>
      </c>
      <c r="AA74" s="139" t="n">
        <f aca="false">IFERROR((Y74/V74)-1,0)</f>
        <v>0</v>
      </c>
      <c r="AB74" s="157" t="n">
        <v>0</v>
      </c>
      <c r="AC74" s="91" t="n">
        <f aca="false">IFERROR(AB74/AB$5,0)</f>
        <v>0</v>
      </c>
      <c r="AE74" s="157" t="n">
        <f aca="false">SUMIFS('Dados Mov Financeira'!$N:$N,'Dados Mov Financeira'!$O:$O,'DRE 2024'!$B74,'Dados Mov Financeira'!$A:$A,'DRE 2024'!AE$1,'Dados Mov Financeira'!$B:$B,'DRE 2024'!AE$2)</f>
        <v>0</v>
      </c>
      <c r="AF74" s="91" t="n">
        <f aca="false">IFERROR(AE74/AE$5,0)</f>
        <v>0</v>
      </c>
      <c r="AG74" s="139" t="n">
        <f aca="false">IFERROR((AE74/AB74)-1,0)</f>
        <v>0</v>
      </c>
      <c r="AH74" s="157" t="n">
        <v>0</v>
      </c>
      <c r="AI74" s="91" t="n">
        <f aca="false">IFERROR(AH74/AH$5,0)</f>
        <v>0</v>
      </c>
      <c r="AK74" s="157" t="n">
        <f aca="false">SUMIFS('Dados Mov Financeira'!$N:$N,'Dados Mov Financeira'!$O:$O,'DRE 2024'!$B74,'Dados Mov Financeira'!$A:$A,'DRE 2024'!AK$1,'Dados Mov Financeira'!$B:$B,'DRE 2024'!AK$2)</f>
        <v>0</v>
      </c>
      <c r="AL74" s="91" t="n">
        <f aca="false">IFERROR(AK74/AK$5,0)</f>
        <v>0</v>
      </c>
      <c r="AM74" s="139" t="n">
        <f aca="false">IFERROR((AK74/AH74)-1,0)</f>
        <v>0</v>
      </c>
      <c r="AN74" s="157" t="n">
        <v>0</v>
      </c>
      <c r="AO74" s="91" t="n">
        <f aca="false">IFERROR(AN74/AN$5,0)</f>
        <v>0</v>
      </c>
      <c r="AQ74" s="157" t="n">
        <f aca="false">SUMIFS('Dados Mov Financeira'!$N:$N,'Dados Mov Financeira'!$O:$O,'DRE 2024'!$B74,'Dados Mov Financeira'!$A:$A,'DRE 2024'!AQ$1,'Dados Mov Financeira'!$B:$B,'DRE 2024'!AQ$2)</f>
        <v>0</v>
      </c>
      <c r="AR74" s="91" t="n">
        <f aca="false">IFERROR(AQ74/AQ$5,0)</f>
        <v>0</v>
      </c>
      <c r="AS74" s="139" t="n">
        <f aca="false">IFERROR((AQ74/AN74)-1,0)</f>
        <v>0</v>
      </c>
      <c r="AT74" s="157" t="n">
        <v>0</v>
      </c>
      <c r="AU74" s="91" t="n">
        <f aca="false">IFERROR(AT74/AT$5,0)</f>
        <v>0</v>
      </c>
      <c r="AW74" s="157" t="n">
        <f aca="false">SUMIFS('Dados Mov Financeira'!$N:$N,'Dados Mov Financeira'!$O:$O,'DRE 2024'!$B74,'Dados Mov Financeira'!$A:$A,'DRE 2024'!AW$1,'Dados Mov Financeira'!$B:$B,'DRE 2024'!AW$2)</f>
        <v>0</v>
      </c>
      <c r="AX74" s="91" t="n">
        <f aca="false">IFERROR(AW74/AW$5,0)</f>
        <v>0</v>
      </c>
      <c r="AY74" s="139" t="n">
        <f aca="false">IFERROR((AW74/AT74)-1,0)</f>
        <v>0</v>
      </c>
      <c r="AZ74" s="157" t="n">
        <v>0</v>
      </c>
      <c r="BA74" s="91" t="n">
        <f aca="false">IFERROR(AZ74/AZ$5,0)</f>
        <v>0</v>
      </c>
      <c r="BC74" s="157" t="n">
        <f aca="false">SUMIFS('Dados Mov Financeira'!$N:$N,'Dados Mov Financeira'!$O:$O,'DRE 2024'!$B74,'Dados Mov Financeira'!$A:$A,'DRE 2024'!BC$1,'Dados Mov Financeira'!$B:$B,'DRE 2024'!BC$2)</f>
        <v>0</v>
      </c>
      <c r="BD74" s="91" t="n">
        <f aca="false">IFERROR(BC74/BC$5,0)</f>
        <v>0</v>
      </c>
      <c r="BE74" s="139" t="n">
        <f aca="false">IFERROR((BC74/AZ74)-1,0)</f>
        <v>0</v>
      </c>
      <c r="BF74" s="157" t="n">
        <v>0</v>
      </c>
      <c r="BG74" s="91" t="n">
        <f aca="false">IFERROR(BF74/BF$5,0)</f>
        <v>0</v>
      </c>
      <c r="BI74" s="157" t="n">
        <f aca="false">SUMIFS('Dados Mov Financeira'!$N:$N,'Dados Mov Financeira'!$O:$O,'DRE 2024'!$B74,'Dados Mov Financeira'!$A:$A,'DRE 2024'!BI$1,'Dados Mov Financeira'!$B:$B,'DRE 2024'!BI$2)</f>
        <v>0</v>
      </c>
      <c r="BJ74" s="91" t="n">
        <f aca="false">IFERROR(BI74/BI$5,0)</f>
        <v>0</v>
      </c>
      <c r="BK74" s="139" t="n">
        <f aca="false">IFERROR((BI74/BF74)-1,0)</f>
        <v>0</v>
      </c>
      <c r="BL74" s="157" t="n">
        <v>0</v>
      </c>
      <c r="BM74" s="91" t="n">
        <f aca="false">IFERROR(BL74/BL$5,0)</f>
        <v>0</v>
      </c>
      <c r="BO74" s="157" t="n">
        <f aca="false">SUMIFS('Dados Mov Financeira'!$N:$N,'Dados Mov Financeira'!$O:$O,'DRE 2024'!$B74,'Dados Mov Financeira'!$A:$A,'DRE 2024'!BO$1,'Dados Mov Financeira'!$B:$B,'DRE 2024'!BO$2)</f>
        <v>0</v>
      </c>
      <c r="BP74" s="91" t="n">
        <f aca="false">IFERROR(BO74/BO$5,0)</f>
        <v>0</v>
      </c>
      <c r="BQ74" s="139" t="n">
        <f aca="false">IFERROR((BO74/BL74)-1,0)</f>
        <v>0</v>
      </c>
      <c r="BR74" s="157" t="n">
        <v>0</v>
      </c>
      <c r="BS74" s="91" t="n">
        <f aca="false">IFERROR(BR74/BR$5,0)</f>
        <v>0</v>
      </c>
      <c r="BT74" s="171"/>
      <c r="BU74" s="157" t="n">
        <f aca="false">SUMIFS('Dados Mov Financeira'!$N:$N,'Dados Mov Financeira'!$O:$O,'DRE 2024'!$B74,'Dados Mov Financeira'!$A:$A,'DRE 2024'!BU$1,'Dados Mov Financeira'!$B:$B,'DRE 2024'!BU$2)</f>
        <v>0</v>
      </c>
      <c r="BV74" s="91" t="n">
        <f aca="false">IFERROR(BU74/BU$5,0)</f>
        <v>0</v>
      </c>
      <c r="BW74" s="139" t="n">
        <f aca="false">IFERROR((BU74/BR74)-1,0)</f>
        <v>0</v>
      </c>
      <c r="BX74" s="172" t="n">
        <f aca="false">SUM(D74,J74,P74,V74,AB74,AH74,AN74,AT74,AZ74,BF74,BL74,BR74)</f>
        <v>0</v>
      </c>
      <c r="BY74" s="91" t="n">
        <f aca="false">IFERROR(BX74/BX$5,0)</f>
        <v>0</v>
      </c>
      <c r="CA74" s="172" t="n">
        <f aca="false">SUM(G74,M74,S74,Y74,AE74,AK74,AQ74,AW74,BC74,BI74,BO74,BU74)</f>
        <v>0</v>
      </c>
      <c r="CB74" s="91" t="n">
        <f aca="false">IFERROR(CA74/CA$5,0)</f>
        <v>0</v>
      </c>
      <c r="CC74" s="139" t="n">
        <f aca="false">IFERROR((CA74/BX74)-1,0)</f>
        <v>0</v>
      </c>
      <c r="CE74" s="157" t="n">
        <f aca="false">BX74/$CF$1</f>
        <v>0</v>
      </c>
      <c r="CF74" s="94" t="n">
        <f aca="false">IFERROR(CE74/CE$5,0)</f>
        <v>0</v>
      </c>
      <c r="CH74" s="157" t="n">
        <f aca="false">CA74/$CI$1</f>
        <v>0</v>
      </c>
      <c r="CI74" s="94" t="n">
        <f aca="false">IFERROR(CH74/CH$5,0)</f>
        <v>0</v>
      </c>
    </row>
    <row r="75" customFormat="false" ht="14.25" hidden="false" customHeight="false" outlineLevel="1" collapsed="false">
      <c r="B75" s="169" t="s">
        <v>104</v>
      </c>
      <c r="D75" s="157" t="n">
        <v>0</v>
      </c>
      <c r="E75" s="91" t="n">
        <f aca="false">IFERROR(D75/D$5,0)</f>
        <v>0</v>
      </c>
      <c r="G75" s="157" t="n">
        <f aca="false">SUMIFS('Dados Mov Financeira'!$N:$N,'Dados Mov Financeira'!$O:$O,'DRE 2024'!$B75,'Dados Mov Financeira'!$A:$A,'DRE 2024'!G$1,'Dados Mov Financeira'!$B:$B,'DRE 2024'!G$2)</f>
        <v>0</v>
      </c>
      <c r="H75" s="91" t="n">
        <f aca="false">IFERROR(G75/G$5,0)</f>
        <v>0</v>
      </c>
      <c r="I75" s="138" t="n">
        <f aca="false">IFERROR((G75/D75)-1,0)</f>
        <v>0</v>
      </c>
      <c r="J75" s="157" t="n">
        <v>0</v>
      </c>
      <c r="K75" s="91" t="n">
        <f aca="false">IFERROR(J75/J$5,0)</f>
        <v>0</v>
      </c>
      <c r="M75" s="157" t="n">
        <f aca="false">SUMIFS('Dados Mov Financeira'!$N:$N,'Dados Mov Financeira'!$O:$O,'DRE 2024'!$B75,'Dados Mov Financeira'!$A:$A,'DRE 2024'!M$1,'Dados Mov Financeira'!$B:$B,'DRE 2024'!M$2)</f>
        <v>0</v>
      </c>
      <c r="N75" s="91" t="n">
        <f aca="false">IFERROR(M75/M$5,0)</f>
        <v>0</v>
      </c>
      <c r="O75" s="139" t="n">
        <f aca="false">IFERROR((M75/J75)-1,0)</f>
        <v>0</v>
      </c>
      <c r="P75" s="157" t="n">
        <v>0</v>
      </c>
      <c r="Q75" s="91" t="n">
        <f aca="false">IFERROR(P75/P$5,0)</f>
        <v>0</v>
      </c>
      <c r="S75" s="157" t="n">
        <f aca="false">SUMIFS('Dados Mov Financeira'!$N:$N,'Dados Mov Financeira'!$O:$O,'DRE 2024'!$B75,'Dados Mov Financeira'!$A:$A,'DRE 2024'!S$1,'Dados Mov Financeira'!$B:$B,'DRE 2024'!S$2)</f>
        <v>0</v>
      </c>
      <c r="T75" s="91" t="n">
        <f aca="false">IFERROR(S75/S$5,0)</f>
        <v>0</v>
      </c>
      <c r="U75" s="139" t="n">
        <f aca="false">IFERROR((S75/P75)-1,0)</f>
        <v>0</v>
      </c>
      <c r="V75" s="157" t="n">
        <v>0</v>
      </c>
      <c r="W75" s="91" t="n">
        <f aca="false">IFERROR(V75/V$5,0)</f>
        <v>0</v>
      </c>
      <c r="Y75" s="157" t="n">
        <f aca="false">SUMIFS('Dados Mov Financeira'!$N:$N,'Dados Mov Financeira'!$O:$O,'DRE 2024'!$B75,'Dados Mov Financeira'!$A:$A,'DRE 2024'!Y$1,'Dados Mov Financeira'!$B:$B,'DRE 2024'!Y$2)</f>
        <v>0</v>
      </c>
      <c r="Z75" s="91" t="n">
        <f aca="false">IFERROR(Y75/Y$5,0)</f>
        <v>0</v>
      </c>
      <c r="AA75" s="139" t="n">
        <f aca="false">IFERROR((Y75/V75)-1,0)</f>
        <v>0</v>
      </c>
      <c r="AB75" s="157" t="n">
        <v>0</v>
      </c>
      <c r="AC75" s="91" t="n">
        <f aca="false">IFERROR(AB75/AB$5,0)</f>
        <v>0</v>
      </c>
      <c r="AE75" s="157" t="n">
        <f aca="false">SUMIFS('Dados Mov Financeira'!$N:$N,'Dados Mov Financeira'!$O:$O,'DRE 2024'!$B75,'Dados Mov Financeira'!$A:$A,'DRE 2024'!AE$1,'Dados Mov Financeira'!$B:$B,'DRE 2024'!AE$2)</f>
        <v>0</v>
      </c>
      <c r="AF75" s="91" t="n">
        <f aca="false">IFERROR(AE75/AE$5,0)</f>
        <v>0</v>
      </c>
      <c r="AG75" s="139" t="n">
        <f aca="false">IFERROR((AE75/AB75)-1,0)</f>
        <v>0</v>
      </c>
      <c r="AH75" s="157" t="n">
        <v>0</v>
      </c>
      <c r="AI75" s="91" t="n">
        <f aca="false">IFERROR(AH75/AH$5,0)</f>
        <v>0</v>
      </c>
      <c r="AK75" s="157" t="n">
        <f aca="false">SUMIFS('Dados Mov Financeira'!$N:$N,'Dados Mov Financeira'!$O:$O,'DRE 2024'!$B75,'Dados Mov Financeira'!$A:$A,'DRE 2024'!AK$1,'Dados Mov Financeira'!$B:$B,'DRE 2024'!AK$2)</f>
        <v>0</v>
      </c>
      <c r="AL75" s="91" t="n">
        <f aca="false">IFERROR(AK75/AK$5,0)</f>
        <v>0</v>
      </c>
      <c r="AM75" s="139" t="n">
        <f aca="false">IFERROR((AK75/AH75)-1,0)</f>
        <v>0</v>
      </c>
      <c r="AN75" s="157" t="n">
        <v>0</v>
      </c>
      <c r="AO75" s="91" t="n">
        <f aca="false">IFERROR(AN75/AN$5,0)</f>
        <v>0</v>
      </c>
      <c r="AQ75" s="157" t="n">
        <f aca="false">SUMIFS('Dados Mov Financeira'!$N:$N,'Dados Mov Financeira'!$O:$O,'DRE 2024'!$B75,'Dados Mov Financeira'!$A:$A,'DRE 2024'!AQ$1,'Dados Mov Financeira'!$B:$B,'DRE 2024'!AQ$2)</f>
        <v>0</v>
      </c>
      <c r="AR75" s="91" t="n">
        <f aca="false">IFERROR(AQ75/AQ$5,0)</f>
        <v>0</v>
      </c>
      <c r="AS75" s="139" t="n">
        <f aca="false">IFERROR((AQ75/AN75)-1,0)</f>
        <v>0</v>
      </c>
      <c r="AT75" s="157" t="n">
        <v>0</v>
      </c>
      <c r="AU75" s="91" t="n">
        <f aca="false">IFERROR(AT75/AT$5,0)</f>
        <v>0</v>
      </c>
      <c r="AW75" s="157" t="n">
        <f aca="false">SUMIFS('Dados Mov Financeira'!$N:$N,'Dados Mov Financeira'!$O:$O,'DRE 2024'!$B75,'Dados Mov Financeira'!$A:$A,'DRE 2024'!AW$1,'Dados Mov Financeira'!$B:$B,'DRE 2024'!AW$2)</f>
        <v>0</v>
      </c>
      <c r="AX75" s="91" t="n">
        <f aca="false">IFERROR(AW75/AW$5,0)</f>
        <v>0</v>
      </c>
      <c r="AY75" s="139" t="n">
        <f aca="false">IFERROR((AW75/AT75)-1,0)</f>
        <v>0</v>
      </c>
      <c r="AZ75" s="157" t="n">
        <v>0</v>
      </c>
      <c r="BA75" s="91" t="n">
        <f aca="false">IFERROR(AZ75/AZ$5,0)</f>
        <v>0</v>
      </c>
      <c r="BC75" s="157" t="n">
        <f aca="false">SUMIFS('Dados Mov Financeira'!$N:$N,'Dados Mov Financeira'!$O:$O,'DRE 2024'!$B75,'Dados Mov Financeira'!$A:$A,'DRE 2024'!BC$1,'Dados Mov Financeira'!$B:$B,'DRE 2024'!BC$2)</f>
        <v>0</v>
      </c>
      <c r="BD75" s="91" t="n">
        <f aca="false">IFERROR(BC75/BC$5,0)</f>
        <v>0</v>
      </c>
      <c r="BE75" s="139" t="n">
        <f aca="false">IFERROR((BC75/AZ75)-1,0)</f>
        <v>0</v>
      </c>
      <c r="BF75" s="157" t="n">
        <v>0</v>
      </c>
      <c r="BG75" s="91" t="n">
        <f aca="false">IFERROR(BF75/BF$5,0)</f>
        <v>0</v>
      </c>
      <c r="BI75" s="157" t="n">
        <f aca="false">SUMIFS('Dados Mov Financeira'!$N:$N,'Dados Mov Financeira'!$O:$O,'DRE 2024'!$B75,'Dados Mov Financeira'!$A:$A,'DRE 2024'!BI$1,'Dados Mov Financeira'!$B:$B,'DRE 2024'!BI$2)</f>
        <v>0</v>
      </c>
      <c r="BJ75" s="91" t="n">
        <f aca="false">IFERROR(BI75/BI$5,0)</f>
        <v>0</v>
      </c>
      <c r="BK75" s="139" t="n">
        <f aca="false">IFERROR((BI75/BF75)-1,0)</f>
        <v>0</v>
      </c>
      <c r="BL75" s="157" t="n">
        <v>0</v>
      </c>
      <c r="BM75" s="91" t="n">
        <f aca="false">IFERROR(BL75/BL$5,0)</f>
        <v>0</v>
      </c>
      <c r="BO75" s="157" t="n">
        <f aca="false">SUMIFS('Dados Mov Financeira'!$N:$N,'Dados Mov Financeira'!$O:$O,'DRE 2024'!$B75,'Dados Mov Financeira'!$A:$A,'DRE 2024'!BO$1,'Dados Mov Financeira'!$B:$B,'DRE 2024'!BO$2)</f>
        <v>0</v>
      </c>
      <c r="BP75" s="91" t="n">
        <f aca="false">IFERROR(BO75/BO$5,0)</f>
        <v>0</v>
      </c>
      <c r="BQ75" s="139" t="n">
        <f aca="false">IFERROR((BO75/BL75)-1,0)</f>
        <v>0</v>
      </c>
      <c r="BR75" s="157" t="n">
        <v>0</v>
      </c>
      <c r="BS75" s="91" t="n">
        <f aca="false">IFERROR(BR75/BR$5,0)</f>
        <v>0</v>
      </c>
      <c r="BT75" s="171"/>
      <c r="BU75" s="157" t="n">
        <f aca="false">SUMIFS('Dados Mov Financeira'!$N:$N,'Dados Mov Financeira'!$O:$O,'DRE 2024'!$B75,'Dados Mov Financeira'!$A:$A,'DRE 2024'!BU$1,'Dados Mov Financeira'!$B:$B,'DRE 2024'!BU$2)</f>
        <v>0</v>
      </c>
      <c r="BV75" s="91" t="n">
        <f aca="false">IFERROR(BU75/BU$5,0)</f>
        <v>0</v>
      </c>
      <c r="BW75" s="139" t="n">
        <f aca="false">IFERROR((BU75/BR75)-1,0)</f>
        <v>0</v>
      </c>
      <c r="BX75" s="172" t="n">
        <f aca="false">SUM(D75,J75,P75,V75,AB75,AH75,AN75,AT75,AZ75,BF75,BL75,BR75)</f>
        <v>0</v>
      </c>
      <c r="BY75" s="91" t="n">
        <f aca="false">IFERROR(BX75/BX$5,0)</f>
        <v>0</v>
      </c>
      <c r="CA75" s="172" t="n">
        <f aca="false">SUM(G75,M75,S75,Y75,AE75,AK75,AQ75,AW75,BC75,BI75,BO75,BU75)</f>
        <v>0</v>
      </c>
      <c r="CB75" s="91" t="n">
        <f aca="false">IFERROR(CA75/CA$5,0)</f>
        <v>0</v>
      </c>
      <c r="CC75" s="139" t="n">
        <f aca="false">IFERROR((CA75/BX75)-1,0)</f>
        <v>0</v>
      </c>
      <c r="CE75" s="157" t="n">
        <f aca="false">BX75/$CF$1</f>
        <v>0</v>
      </c>
      <c r="CF75" s="94" t="n">
        <f aca="false">IFERROR(CE75/CE$5,0)</f>
        <v>0</v>
      </c>
      <c r="CH75" s="157" t="n">
        <f aca="false">CA75/$CI$1</f>
        <v>0</v>
      </c>
      <c r="CI75" s="94" t="n">
        <f aca="false">IFERROR(CH75/CH$5,0)</f>
        <v>0</v>
      </c>
    </row>
    <row r="76" customFormat="false" ht="14.25" hidden="false" customHeight="false" outlineLevel="1" collapsed="false">
      <c r="B76" s="169" t="s">
        <v>106</v>
      </c>
      <c r="D76" s="157" t="n">
        <v>0</v>
      </c>
      <c r="E76" s="91" t="n">
        <f aca="false">IFERROR(D76/D$5,0)</f>
        <v>0</v>
      </c>
      <c r="G76" s="157" t="n">
        <f aca="false">SUMIFS('Dados Mov Financeira'!$N:$N,'Dados Mov Financeira'!$O:$O,'DRE 2024'!$B76,'Dados Mov Financeira'!$A:$A,'DRE 2024'!G$1,'Dados Mov Financeira'!$B:$B,'DRE 2024'!G$2)</f>
        <v>0</v>
      </c>
      <c r="H76" s="91" t="n">
        <f aca="false">IFERROR(G76/G$5,0)</f>
        <v>0</v>
      </c>
      <c r="I76" s="138" t="n">
        <f aca="false">IFERROR((G76/D76)-1,0)</f>
        <v>0</v>
      </c>
      <c r="J76" s="157" t="n">
        <v>0</v>
      </c>
      <c r="K76" s="91" t="n">
        <f aca="false">IFERROR(J76/J$5,0)</f>
        <v>0</v>
      </c>
      <c r="M76" s="157" t="n">
        <f aca="false">SUMIFS('Dados Mov Financeira'!$N:$N,'Dados Mov Financeira'!$O:$O,'DRE 2024'!$B76,'Dados Mov Financeira'!$A:$A,'DRE 2024'!M$1,'Dados Mov Financeira'!$B:$B,'DRE 2024'!M$2)</f>
        <v>0</v>
      </c>
      <c r="N76" s="91" t="n">
        <f aca="false">IFERROR(M76/M$5,0)</f>
        <v>0</v>
      </c>
      <c r="O76" s="139" t="n">
        <f aca="false">IFERROR((M76/J76)-1,0)</f>
        <v>0</v>
      </c>
      <c r="P76" s="157" t="n">
        <v>0</v>
      </c>
      <c r="Q76" s="91" t="n">
        <f aca="false">IFERROR(P76/P$5,0)</f>
        <v>0</v>
      </c>
      <c r="S76" s="157" t="n">
        <f aca="false">SUMIFS('Dados Mov Financeira'!$N:$N,'Dados Mov Financeira'!$O:$O,'DRE 2024'!$B76,'Dados Mov Financeira'!$A:$A,'DRE 2024'!S$1,'Dados Mov Financeira'!$B:$B,'DRE 2024'!S$2)</f>
        <v>0</v>
      </c>
      <c r="T76" s="91" t="n">
        <f aca="false">IFERROR(S76/S$5,0)</f>
        <v>0</v>
      </c>
      <c r="U76" s="139" t="n">
        <f aca="false">IFERROR((S76/P76)-1,0)</f>
        <v>0</v>
      </c>
      <c r="V76" s="157" t="n">
        <v>0</v>
      </c>
      <c r="W76" s="91" t="n">
        <f aca="false">IFERROR(V76/V$5,0)</f>
        <v>0</v>
      </c>
      <c r="Y76" s="157" t="n">
        <f aca="false">SUMIFS('Dados Mov Financeira'!$N:$N,'Dados Mov Financeira'!$O:$O,'DRE 2024'!$B76,'Dados Mov Financeira'!$A:$A,'DRE 2024'!Y$1,'Dados Mov Financeira'!$B:$B,'DRE 2024'!Y$2)</f>
        <v>0</v>
      </c>
      <c r="Z76" s="91" t="n">
        <f aca="false">IFERROR(Y76/Y$5,0)</f>
        <v>0</v>
      </c>
      <c r="AA76" s="139" t="n">
        <f aca="false">IFERROR((Y76/V76)-1,0)</f>
        <v>0</v>
      </c>
      <c r="AB76" s="157" t="n">
        <v>0</v>
      </c>
      <c r="AC76" s="91" t="n">
        <f aca="false">IFERROR(AB76/AB$5,0)</f>
        <v>0</v>
      </c>
      <c r="AE76" s="157" t="n">
        <f aca="false">SUMIFS('Dados Mov Financeira'!$N:$N,'Dados Mov Financeira'!$O:$O,'DRE 2024'!$B76,'Dados Mov Financeira'!$A:$A,'DRE 2024'!AE$1,'Dados Mov Financeira'!$B:$B,'DRE 2024'!AE$2)</f>
        <v>0</v>
      </c>
      <c r="AF76" s="91" t="n">
        <f aca="false">IFERROR(AE76/AE$5,0)</f>
        <v>0</v>
      </c>
      <c r="AG76" s="139" t="n">
        <f aca="false">IFERROR((AE76/AB76)-1,0)</f>
        <v>0</v>
      </c>
      <c r="AH76" s="157" t="n">
        <v>0</v>
      </c>
      <c r="AI76" s="91" t="n">
        <f aca="false">IFERROR(AH76/AH$5,0)</f>
        <v>0</v>
      </c>
      <c r="AK76" s="157" t="n">
        <f aca="false">SUMIFS('Dados Mov Financeira'!$N:$N,'Dados Mov Financeira'!$O:$O,'DRE 2024'!$B76,'Dados Mov Financeira'!$A:$A,'DRE 2024'!AK$1,'Dados Mov Financeira'!$B:$B,'DRE 2024'!AK$2)</f>
        <v>0</v>
      </c>
      <c r="AL76" s="91" t="n">
        <f aca="false">IFERROR(AK76/AK$5,0)</f>
        <v>0</v>
      </c>
      <c r="AM76" s="139" t="n">
        <f aca="false">IFERROR((AK76/AH76)-1,0)</f>
        <v>0</v>
      </c>
      <c r="AN76" s="157" t="n">
        <v>0</v>
      </c>
      <c r="AO76" s="91" t="n">
        <f aca="false">IFERROR(AN76/AN$5,0)</f>
        <v>0</v>
      </c>
      <c r="AQ76" s="157" t="n">
        <f aca="false">SUMIFS('Dados Mov Financeira'!$N:$N,'Dados Mov Financeira'!$O:$O,'DRE 2024'!$B76,'Dados Mov Financeira'!$A:$A,'DRE 2024'!AQ$1,'Dados Mov Financeira'!$B:$B,'DRE 2024'!AQ$2)</f>
        <v>0</v>
      </c>
      <c r="AR76" s="91" t="n">
        <f aca="false">IFERROR(AQ76/AQ$5,0)</f>
        <v>0</v>
      </c>
      <c r="AS76" s="139" t="n">
        <f aca="false">IFERROR((AQ76/AN76)-1,0)</f>
        <v>0</v>
      </c>
      <c r="AT76" s="157" t="n">
        <v>0</v>
      </c>
      <c r="AU76" s="91" t="n">
        <f aca="false">IFERROR(AT76/AT$5,0)</f>
        <v>0</v>
      </c>
      <c r="AW76" s="157" t="n">
        <f aca="false">SUMIFS('Dados Mov Financeira'!$N:$N,'Dados Mov Financeira'!$O:$O,'DRE 2024'!$B76,'Dados Mov Financeira'!$A:$A,'DRE 2024'!AW$1,'Dados Mov Financeira'!$B:$B,'DRE 2024'!AW$2)</f>
        <v>0</v>
      </c>
      <c r="AX76" s="91" t="n">
        <f aca="false">IFERROR(AW76/AW$5,0)</f>
        <v>0</v>
      </c>
      <c r="AY76" s="139" t="n">
        <f aca="false">IFERROR((AW76/AT76)-1,0)</f>
        <v>0</v>
      </c>
      <c r="AZ76" s="157" t="n">
        <v>0</v>
      </c>
      <c r="BA76" s="91" t="n">
        <f aca="false">IFERROR(AZ76/AZ$5,0)</f>
        <v>0</v>
      </c>
      <c r="BC76" s="157" t="n">
        <f aca="false">SUMIFS('Dados Mov Financeira'!$N:$N,'Dados Mov Financeira'!$O:$O,'DRE 2024'!$B76,'Dados Mov Financeira'!$A:$A,'DRE 2024'!BC$1,'Dados Mov Financeira'!$B:$B,'DRE 2024'!BC$2)</f>
        <v>0</v>
      </c>
      <c r="BD76" s="91" t="n">
        <f aca="false">IFERROR(BC76/BC$5,0)</f>
        <v>0</v>
      </c>
      <c r="BE76" s="139" t="n">
        <f aca="false">IFERROR((BC76/AZ76)-1,0)</f>
        <v>0</v>
      </c>
      <c r="BF76" s="157" t="n">
        <v>0</v>
      </c>
      <c r="BG76" s="91" t="n">
        <f aca="false">IFERROR(BF76/BF$5,0)</f>
        <v>0</v>
      </c>
      <c r="BI76" s="157" t="n">
        <f aca="false">SUMIFS('Dados Mov Financeira'!$N:$N,'Dados Mov Financeira'!$O:$O,'DRE 2024'!$B76,'Dados Mov Financeira'!$A:$A,'DRE 2024'!BI$1,'Dados Mov Financeira'!$B:$B,'DRE 2024'!BI$2)</f>
        <v>0</v>
      </c>
      <c r="BJ76" s="91" t="n">
        <f aca="false">IFERROR(BI76/BI$5,0)</f>
        <v>0</v>
      </c>
      <c r="BK76" s="139" t="n">
        <f aca="false">IFERROR((BI76/BF76)-1,0)</f>
        <v>0</v>
      </c>
      <c r="BL76" s="157" t="n">
        <v>0</v>
      </c>
      <c r="BM76" s="91" t="n">
        <f aca="false">IFERROR(BL76/BL$5,0)</f>
        <v>0</v>
      </c>
      <c r="BO76" s="157" t="n">
        <f aca="false">SUMIFS('Dados Mov Financeira'!$N:$N,'Dados Mov Financeira'!$O:$O,'DRE 2024'!$B76,'Dados Mov Financeira'!$A:$A,'DRE 2024'!BO$1,'Dados Mov Financeira'!$B:$B,'DRE 2024'!BO$2)</f>
        <v>0</v>
      </c>
      <c r="BP76" s="91" t="n">
        <f aca="false">IFERROR(BO76/BO$5,0)</f>
        <v>0</v>
      </c>
      <c r="BQ76" s="139" t="n">
        <f aca="false">IFERROR((BO76/BL76)-1,0)</f>
        <v>0</v>
      </c>
      <c r="BR76" s="157" t="n">
        <v>0</v>
      </c>
      <c r="BS76" s="91" t="n">
        <f aca="false">IFERROR(BR76/BR$5,0)</f>
        <v>0</v>
      </c>
      <c r="BT76" s="171"/>
      <c r="BU76" s="157" t="n">
        <f aca="false">SUMIFS('Dados Mov Financeira'!$N:$N,'Dados Mov Financeira'!$O:$O,'DRE 2024'!$B76,'Dados Mov Financeira'!$A:$A,'DRE 2024'!BU$1,'Dados Mov Financeira'!$B:$B,'DRE 2024'!BU$2)</f>
        <v>0</v>
      </c>
      <c r="BV76" s="91" t="n">
        <f aca="false">IFERROR(BU76/BU$5,0)</f>
        <v>0</v>
      </c>
      <c r="BW76" s="139" t="n">
        <f aca="false">IFERROR((BU76/BR76)-1,0)</f>
        <v>0</v>
      </c>
      <c r="BX76" s="172" t="n">
        <f aca="false">SUM(D76,J76,P76,V76,AB76,AH76,AN76,AT76,AZ76,BF76,BL76,BR76)</f>
        <v>0</v>
      </c>
      <c r="BY76" s="91" t="n">
        <f aca="false">IFERROR(BX76/BX$5,0)</f>
        <v>0</v>
      </c>
      <c r="CA76" s="172" t="n">
        <f aca="false">SUM(G76,M76,S76,Y76,AE76,AK76,AQ76,AW76,BC76,BI76,BO76,BU76)</f>
        <v>0</v>
      </c>
      <c r="CB76" s="91" t="n">
        <f aca="false">IFERROR(CA76/CA$5,0)</f>
        <v>0</v>
      </c>
      <c r="CC76" s="139" t="n">
        <f aca="false">IFERROR((CA76/BX76)-1,0)</f>
        <v>0</v>
      </c>
      <c r="CE76" s="157" t="n">
        <f aca="false">BX76/$CF$1</f>
        <v>0</v>
      </c>
      <c r="CF76" s="94" t="n">
        <f aca="false">IFERROR(CE76/CE$5,0)</f>
        <v>0</v>
      </c>
      <c r="CH76" s="157" t="n">
        <f aca="false">CA76/$CI$1</f>
        <v>0</v>
      </c>
      <c r="CI76" s="94" t="n">
        <f aca="false">IFERROR(CH76/CH$5,0)</f>
        <v>0</v>
      </c>
    </row>
    <row r="77" customFormat="false" ht="14.25" hidden="false" customHeight="false" outlineLevel="1" collapsed="false">
      <c r="B77" s="169" t="s">
        <v>107</v>
      </c>
      <c r="D77" s="157" t="n">
        <v>0</v>
      </c>
      <c r="E77" s="91" t="n">
        <f aca="false">IFERROR(D77/D$5,0)</f>
        <v>0</v>
      </c>
      <c r="G77" s="157" t="n">
        <f aca="false">SUMIFS('Dados Mov Financeira'!$N:$N,'Dados Mov Financeira'!$O:$O,'DRE 2024'!$B77,'Dados Mov Financeira'!$A:$A,'DRE 2024'!G$1,'Dados Mov Financeira'!$B:$B,'DRE 2024'!G$2)</f>
        <v>0</v>
      </c>
      <c r="H77" s="91" t="n">
        <f aca="false">IFERROR(G77/G$5,0)</f>
        <v>0</v>
      </c>
      <c r="I77" s="138" t="n">
        <f aca="false">IFERROR((G77/D77)-1,0)</f>
        <v>0</v>
      </c>
      <c r="J77" s="157" t="n">
        <v>0</v>
      </c>
      <c r="K77" s="91" t="n">
        <f aca="false">IFERROR(J77/J$5,0)</f>
        <v>0</v>
      </c>
      <c r="M77" s="157" t="n">
        <f aca="false">SUMIFS('Dados Mov Financeira'!$N:$N,'Dados Mov Financeira'!$O:$O,'DRE 2024'!$B77,'Dados Mov Financeira'!$A:$A,'DRE 2024'!M$1,'Dados Mov Financeira'!$B:$B,'DRE 2024'!M$2)</f>
        <v>0</v>
      </c>
      <c r="N77" s="91" t="n">
        <f aca="false">IFERROR(M77/M$5,0)</f>
        <v>0</v>
      </c>
      <c r="O77" s="139" t="n">
        <f aca="false">IFERROR((M77/J77)-1,0)</f>
        <v>0</v>
      </c>
      <c r="P77" s="157" t="n">
        <v>0</v>
      </c>
      <c r="Q77" s="91" t="n">
        <f aca="false">IFERROR(P77/P$5,0)</f>
        <v>0</v>
      </c>
      <c r="S77" s="157" t="n">
        <f aca="false">SUMIFS('Dados Mov Financeira'!$N:$N,'Dados Mov Financeira'!$O:$O,'DRE 2024'!$B77,'Dados Mov Financeira'!$A:$A,'DRE 2024'!S$1,'Dados Mov Financeira'!$B:$B,'DRE 2024'!S$2)</f>
        <v>0</v>
      </c>
      <c r="T77" s="91" t="n">
        <f aca="false">IFERROR(S77/S$5,0)</f>
        <v>0</v>
      </c>
      <c r="U77" s="139" t="n">
        <f aca="false">IFERROR((S77/P77)-1,0)</f>
        <v>0</v>
      </c>
      <c r="V77" s="157" t="n">
        <v>0</v>
      </c>
      <c r="W77" s="91" t="n">
        <f aca="false">IFERROR(V77/V$5,0)</f>
        <v>0</v>
      </c>
      <c r="Y77" s="157" t="n">
        <f aca="false">SUMIFS('Dados Mov Financeira'!$N:$N,'Dados Mov Financeira'!$O:$O,'DRE 2024'!$B77,'Dados Mov Financeira'!$A:$A,'DRE 2024'!Y$1,'Dados Mov Financeira'!$B:$B,'DRE 2024'!Y$2)</f>
        <v>0</v>
      </c>
      <c r="Z77" s="91" t="n">
        <f aca="false">IFERROR(Y77/Y$5,0)</f>
        <v>0</v>
      </c>
      <c r="AA77" s="139" t="n">
        <f aca="false">IFERROR((Y77/V77)-1,0)</f>
        <v>0</v>
      </c>
      <c r="AB77" s="157" t="n">
        <v>0</v>
      </c>
      <c r="AC77" s="91" t="n">
        <f aca="false">IFERROR(AB77/AB$5,0)</f>
        <v>0</v>
      </c>
      <c r="AE77" s="157" t="n">
        <f aca="false">SUMIFS('Dados Mov Financeira'!$N:$N,'Dados Mov Financeira'!$O:$O,'DRE 2024'!$B77,'Dados Mov Financeira'!$A:$A,'DRE 2024'!AE$1,'Dados Mov Financeira'!$B:$B,'DRE 2024'!AE$2)</f>
        <v>0</v>
      </c>
      <c r="AF77" s="91" t="n">
        <f aca="false">IFERROR(AE77/AE$5,0)</f>
        <v>0</v>
      </c>
      <c r="AG77" s="139" t="n">
        <f aca="false">IFERROR((AE77/AB77)-1,0)</f>
        <v>0</v>
      </c>
      <c r="AH77" s="157" t="n">
        <v>0</v>
      </c>
      <c r="AI77" s="91" t="n">
        <f aca="false">IFERROR(AH77/AH$5,0)</f>
        <v>0</v>
      </c>
      <c r="AK77" s="157" t="n">
        <f aca="false">SUMIFS('Dados Mov Financeira'!$N:$N,'Dados Mov Financeira'!$O:$O,'DRE 2024'!$B77,'Dados Mov Financeira'!$A:$A,'DRE 2024'!AK$1,'Dados Mov Financeira'!$B:$B,'DRE 2024'!AK$2)</f>
        <v>0</v>
      </c>
      <c r="AL77" s="91" t="n">
        <f aca="false">IFERROR(AK77/AK$5,0)</f>
        <v>0</v>
      </c>
      <c r="AM77" s="139" t="n">
        <f aca="false">IFERROR((AK77/AH77)-1,0)</f>
        <v>0</v>
      </c>
      <c r="AN77" s="157" t="n">
        <v>0</v>
      </c>
      <c r="AO77" s="91" t="n">
        <f aca="false">IFERROR(AN77/AN$5,0)</f>
        <v>0</v>
      </c>
      <c r="AQ77" s="157" t="n">
        <f aca="false">SUMIFS('Dados Mov Financeira'!$N:$N,'Dados Mov Financeira'!$O:$O,'DRE 2024'!$B77,'Dados Mov Financeira'!$A:$A,'DRE 2024'!AQ$1,'Dados Mov Financeira'!$B:$B,'DRE 2024'!AQ$2)</f>
        <v>0</v>
      </c>
      <c r="AR77" s="91" t="n">
        <f aca="false">IFERROR(AQ77/AQ$5,0)</f>
        <v>0</v>
      </c>
      <c r="AS77" s="139" t="n">
        <f aca="false">IFERROR((AQ77/AN77)-1,0)</f>
        <v>0</v>
      </c>
      <c r="AT77" s="157" t="n">
        <v>0</v>
      </c>
      <c r="AU77" s="91" t="n">
        <f aca="false">IFERROR(AT77/AT$5,0)</f>
        <v>0</v>
      </c>
      <c r="AW77" s="157" t="n">
        <f aca="false">SUMIFS('Dados Mov Financeira'!$N:$N,'Dados Mov Financeira'!$O:$O,'DRE 2024'!$B77,'Dados Mov Financeira'!$A:$A,'DRE 2024'!AW$1,'Dados Mov Financeira'!$B:$B,'DRE 2024'!AW$2)</f>
        <v>0</v>
      </c>
      <c r="AX77" s="91" t="n">
        <f aca="false">IFERROR(AW77/AW$5,0)</f>
        <v>0</v>
      </c>
      <c r="AY77" s="139" t="n">
        <f aca="false">IFERROR((AW77/AT77)-1,0)</f>
        <v>0</v>
      </c>
      <c r="AZ77" s="157" t="n">
        <v>0</v>
      </c>
      <c r="BA77" s="91" t="n">
        <f aca="false">IFERROR(AZ77/AZ$5,0)</f>
        <v>0</v>
      </c>
      <c r="BC77" s="157" t="n">
        <f aca="false">SUMIFS('Dados Mov Financeira'!$N:$N,'Dados Mov Financeira'!$O:$O,'DRE 2024'!$B77,'Dados Mov Financeira'!$A:$A,'DRE 2024'!BC$1,'Dados Mov Financeira'!$B:$B,'DRE 2024'!BC$2)</f>
        <v>0</v>
      </c>
      <c r="BD77" s="91" t="n">
        <f aca="false">IFERROR(BC77/BC$5,0)</f>
        <v>0</v>
      </c>
      <c r="BE77" s="139" t="n">
        <f aca="false">IFERROR((BC77/AZ77)-1,0)</f>
        <v>0</v>
      </c>
      <c r="BF77" s="157" t="n">
        <v>0</v>
      </c>
      <c r="BG77" s="91" t="n">
        <f aca="false">IFERROR(BF77/BF$5,0)</f>
        <v>0</v>
      </c>
      <c r="BI77" s="157" t="n">
        <f aca="false">SUMIFS('Dados Mov Financeira'!$N:$N,'Dados Mov Financeira'!$O:$O,'DRE 2024'!$B77,'Dados Mov Financeira'!$A:$A,'DRE 2024'!BI$1,'Dados Mov Financeira'!$B:$B,'DRE 2024'!BI$2)</f>
        <v>0</v>
      </c>
      <c r="BJ77" s="91" t="n">
        <f aca="false">IFERROR(BI77/BI$5,0)</f>
        <v>0</v>
      </c>
      <c r="BK77" s="139" t="n">
        <f aca="false">IFERROR((BI77/BF77)-1,0)</f>
        <v>0</v>
      </c>
      <c r="BL77" s="157" t="n">
        <v>0</v>
      </c>
      <c r="BM77" s="91" t="n">
        <f aca="false">IFERROR(BL77/BL$5,0)</f>
        <v>0</v>
      </c>
      <c r="BO77" s="157" t="n">
        <f aca="false">SUMIFS('Dados Mov Financeira'!$N:$N,'Dados Mov Financeira'!$O:$O,'DRE 2024'!$B77,'Dados Mov Financeira'!$A:$A,'DRE 2024'!BO$1,'Dados Mov Financeira'!$B:$B,'DRE 2024'!BO$2)</f>
        <v>0</v>
      </c>
      <c r="BP77" s="91" t="n">
        <f aca="false">IFERROR(BO77/BO$5,0)</f>
        <v>0</v>
      </c>
      <c r="BQ77" s="139" t="n">
        <f aca="false">IFERROR((BO77/BL77)-1,0)</f>
        <v>0</v>
      </c>
      <c r="BR77" s="157" t="n">
        <v>0</v>
      </c>
      <c r="BS77" s="91" t="n">
        <f aca="false">IFERROR(BR77/BR$5,0)</f>
        <v>0</v>
      </c>
      <c r="BT77" s="171"/>
      <c r="BU77" s="157" t="n">
        <f aca="false">SUMIFS('Dados Mov Financeira'!$N:$N,'Dados Mov Financeira'!$O:$O,'DRE 2024'!$B77,'Dados Mov Financeira'!$A:$A,'DRE 2024'!BU$1,'Dados Mov Financeira'!$B:$B,'DRE 2024'!BU$2)</f>
        <v>0</v>
      </c>
      <c r="BV77" s="91" t="n">
        <f aca="false">IFERROR(BU77/BU$5,0)</f>
        <v>0</v>
      </c>
      <c r="BW77" s="139" t="n">
        <f aca="false">IFERROR((BU77/BR77)-1,0)</f>
        <v>0</v>
      </c>
      <c r="BX77" s="172" t="n">
        <f aca="false">SUM(D77,J77,P77,V77,AB77,AH77,AN77,AT77,AZ77,BF77,BL77,BR77)</f>
        <v>0</v>
      </c>
      <c r="BY77" s="91" t="n">
        <f aca="false">IFERROR(BX77/BX$5,0)</f>
        <v>0</v>
      </c>
      <c r="CA77" s="172" t="n">
        <f aca="false">SUM(G77,M77,S77,Y77,AE77,AK77,AQ77,AW77,BC77,BI77,BO77,BU77)</f>
        <v>0</v>
      </c>
      <c r="CB77" s="91" t="n">
        <f aca="false">IFERROR(CA77/CA$5,0)</f>
        <v>0</v>
      </c>
      <c r="CC77" s="139" t="n">
        <f aca="false">IFERROR((CA77/BX77)-1,0)</f>
        <v>0</v>
      </c>
      <c r="CE77" s="157" t="n">
        <f aca="false">BX77/$CF$1</f>
        <v>0</v>
      </c>
      <c r="CF77" s="94" t="n">
        <f aca="false">IFERROR(CE77/CE$5,0)</f>
        <v>0</v>
      </c>
      <c r="CH77" s="157" t="n">
        <f aca="false">CA77/$CI$1</f>
        <v>0</v>
      </c>
      <c r="CI77" s="94" t="n">
        <f aca="false">IFERROR(CH77/CH$5,0)</f>
        <v>0</v>
      </c>
    </row>
    <row r="78" customFormat="false" ht="14.25" hidden="false" customHeight="false" outlineLevel="1" collapsed="false">
      <c r="B78" s="169" t="s">
        <v>108</v>
      </c>
      <c r="D78" s="157" t="n">
        <v>0</v>
      </c>
      <c r="E78" s="91" t="n">
        <f aca="false">IFERROR(D78/D$5,0)</f>
        <v>0</v>
      </c>
      <c r="G78" s="157" t="n">
        <f aca="false">SUMIFS('Dados Mov Financeira'!$N:$N,'Dados Mov Financeira'!$O:$O,'DRE 2024'!$B78,'Dados Mov Financeira'!$A:$A,'DRE 2024'!G$1,'Dados Mov Financeira'!$B:$B,'DRE 2024'!G$2)</f>
        <v>0</v>
      </c>
      <c r="H78" s="91" t="n">
        <f aca="false">IFERROR(G78/G$5,0)</f>
        <v>0</v>
      </c>
      <c r="I78" s="138" t="n">
        <f aca="false">IFERROR((G78/D78)-1,0)</f>
        <v>0</v>
      </c>
      <c r="J78" s="157" t="n">
        <v>0</v>
      </c>
      <c r="K78" s="91" t="n">
        <f aca="false">IFERROR(J78/J$5,0)</f>
        <v>0</v>
      </c>
      <c r="M78" s="157" t="n">
        <f aca="false">SUMIFS('Dados Mov Financeira'!$N:$N,'Dados Mov Financeira'!$O:$O,'DRE 2024'!$B78,'Dados Mov Financeira'!$A:$A,'DRE 2024'!M$1,'Dados Mov Financeira'!$B:$B,'DRE 2024'!M$2)</f>
        <v>0</v>
      </c>
      <c r="N78" s="91" t="n">
        <f aca="false">IFERROR(M78/M$5,0)</f>
        <v>0</v>
      </c>
      <c r="O78" s="139" t="n">
        <f aca="false">IFERROR((M78/J78)-1,0)</f>
        <v>0</v>
      </c>
      <c r="P78" s="157" t="n">
        <v>0</v>
      </c>
      <c r="Q78" s="91" t="n">
        <f aca="false">IFERROR(P78/P$5,0)</f>
        <v>0</v>
      </c>
      <c r="S78" s="157" t="n">
        <f aca="false">SUMIFS('Dados Mov Financeira'!$N:$N,'Dados Mov Financeira'!$O:$O,'DRE 2024'!$B78,'Dados Mov Financeira'!$A:$A,'DRE 2024'!S$1,'Dados Mov Financeira'!$B:$B,'DRE 2024'!S$2)</f>
        <v>0</v>
      </c>
      <c r="T78" s="91" t="n">
        <f aca="false">IFERROR(S78/S$5,0)</f>
        <v>0</v>
      </c>
      <c r="U78" s="139" t="n">
        <f aca="false">IFERROR((S78/P78)-1,0)</f>
        <v>0</v>
      </c>
      <c r="V78" s="157" t="n">
        <v>0</v>
      </c>
      <c r="W78" s="91" t="n">
        <f aca="false">IFERROR(V78/V$5,0)</f>
        <v>0</v>
      </c>
      <c r="Y78" s="157" t="n">
        <f aca="false">SUMIFS('Dados Mov Financeira'!$N:$N,'Dados Mov Financeira'!$O:$O,'DRE 2024'!$B78,'Dados Mov Financeira'!$A:$A,'DRE 2024'!Y$1,'Dados Mov Financeira'!$B:$B,'DRE 2024'!Y$2)</f>
        <v>0</v>
      </c>
      <c r="Z78" s="91" t="n">
        <f aca="false">IFERROR(Y78/Y$5,0)</f>
        <v>0</v>
      </c>
      <c r="AA78" s="139" t="n">
        <f aca="false">IFERROR((Y78/V78)-1,0)</f>
        <v>0</v>
      </c>
      <c r="AB78" s="157" t="n">
        <v>0</v>
      </c>
      <c r="AC78" s="91" t="n">
        <f aca="false">IFERROR(AB78/AB$5,0)</f>
        <v>0</v>
      </c>
      <c r="AE78" s="157" t="n">
        <f aca="false">SUMIFS('Dados Mov Financeira'!$N:$N,'Dados Mov Financeira'!$O:$O,'DRE 2024'!$B78,'Dados Mov Financeira'!$A:$A,'DRE 2024'!AE$1,'Dados Mov Financeira'!$B:$B,'DRE 2024'!AE$2)</f>
        <v>0</v>
      </c>
      <c r="AF78" s="91" t="n">
        <f aca="false">IFERROR(AE78/AE$5,0)</f>
        <v>0</v>
      </c>
      <c r="AG78" s="139" t="n">
        <f aca="false">IFERROR((AE78/AB78)-1,0)</f>
        <v>0</v>
      </c>
      <c r="AH78" s="157" t="n">
        <v>0</v>
      </c>
      <c r="AI78" s="91" t="n">
        <f aca="false">IFERROR(AH78/AH$5,0)</f>
        <v>0</v>
      </c>
      <c r="AK78" s="157" t="n">
        <f aca="false">SUMIFS('Dados Mov Financeira'!$N:$N,'Dados Mov Financeira'!$O:$O,'DRE 2024'!$B78,'Dados Mov Financeira'!$A:$A,'DRE 2024'!AK$1,'Dados Mov Financeira'!$B:$B,'DRE 2024'!AK$2)</f>
        <v>0</v>
      </c>
      <c r="AL78" s="91" t="n">
        <f aca="false">IFERROR(AK78/AK$5,0)</f>
        <v>0</v>
      </c>
      <c r="AM78" s="139" t="n">
        <f aca="false">IFERROR((AK78/AH78)-1,0)</f>
        <v>0</v>
      </c>
      <c r="AN78" s="157" t="n">
        <v>0</v>
      </c>
      <c r="AO78" s="91" t="n">
        <f aca="false">IFERROR(AN78/AN$5,0)</f>
        <v>0</v>
      </c>
      <c r="AQ78" s="157" t="n">
        <f aca="false">SUMIFS('Dados Mov Financeira'!$N:$N,'Dados Mov Financeira'!$O:$O,'DRE 2024'!$B78,'Dados Mov Financeira'!$A:$A,'DRE 2024'!AQ$1,'Dados Mov Financeira'!$B:$B,'DRE 2024'!AQ$2)</f>
        <v>0</v>
      </c>
      <c r="AR78" s="91" t="n">
        <f aca="false">IFERROR(AQ78/AQ$5,0)</f>
        <v>0</v>
      </c>
      <c r="AS78" s="139" t="n">
        <f aca="false">IFERROR((AQ78/AN78)-1,0)</f>
        <v>0</v>
      </c>
      <c r="AT78" s="157" t="n">
        <v>0</v>
      </c>
      <c r="AU78" s="91" t="n">
        <f aca="false">IFERROR(AT78/AT$5,0)</f>
        <v>0</v>
      </c>
      <c r="AW78" s="157" t="n">
        <f aca="false">SUMIFS('Dados Mov Financeira'!$N:$N,'Dados Mov Financeira'!$O:$O,'DRE 2024'!$B78,'Dados Mov Financeira'!$A:$A,'DRE 2024'!AW$1,'Dados Mov Financeira'!$B:$B,'DRE 2024'!AW$2)</f>
        <v>0</v>
      </c>
      <c r="AX78" s="91" t="n">
        <f aca="false">IFERROR(AW78/AW$5,0)</f>
        <v>0</v>
      </c>
      <c r="AY78" s="139" t="n">
        <f aca="false">IFERROR((AW78/AT78)-1,0)</f>
        <v>0</v>
      </c>
      <c r="AZ78" s="157" t="n">
        <v>0</v>
      </c>
      <c r="BA78" s="91" t="n">
        <f aca="false">IFERROR(AZ78/AZ$5,0)</f>
        <v>0</v>
      </c>
      <c r="BC78" s="157" t="n">
        <f aca="false">SUMIFS('Dados Mov Financeira'!$N:$N,'Dados Mov Financeira'!$O:$O,'DRE 2024'!$B78,'Dados Mov Financeira'!$A:$A,'DRE 2024'!BC$1,'Dados Mov Financeira'!$B:$B,'DRE 2024'!BC$2)</f>
        <v>0</v>
      </c>
      <c r="BD78" s="91" t="n">
        <f aca="false">IFERROR(BC78/BC$5,0)</f>
        <v>0</v>
      </c>
      <c r="BE78" s="139" t="n">
        <f aca="false">IFERROR((BC78/AZ78)-1,0)</f>
        <v>0</v>
      </c>
      <c r="BF78" s="157" t="n">
        <v>0</v>
      </c>
      <c r="BG78" s="91" t="n">
        <f aca="false">IFERROR(BF78/BF$5,0)</f>
        <v>0</v>
      </c>
      <c r="BI78" s="157" t="n">
        <f aca="false">SUMIFS('Dados Mov Financeira'!$N:$N,'Dados Mov Financeira'!$O:$O,'DRE 2024'!$B78,'Dados Mov Financeira'!$A:$A,'DRE 2024'!BI$1,'Dados Mov Financeira'!$B:$B,'DRE 2024'!BI$2)</f>
        <v>0</v>
      </c>
      <c r="BJ78" s="91" t="n">
        <f aca="false">IFERROR(BI78/BI$5,0)</f>
        <v>0</v>
      </c>
      <c r="BK78" s="139" t="n">
        <f aca="false">IFERROR((BI78/BF78)-1,0)</f>
        <v>0</v>
      </c>
      <c r="BL78" s="157" t="n">
        <v>0</v>
      </c>
      <c r="BM78" s="91" t="n">
        <f aca="false">IFERROR(BL78/BL$5,0)</f>
        <v>0</v>
      </c>
      <c r="BO78" s="173" t="n">
        <f aca="false">SUMIFS('Dados Mov Financeira'!$N:$N,'Dados Mov Financeira'!$O:$O,'DRE 2024'!$B78,'Dados Mov Financeira'!$A:$A,'DRE 2024'!BO$1,'Dados Mov Financeira'!$B:$B,'DRE 2024'!BO$2)</f>
        <v>0</v>
      </c>
      <c r="BP78" s="91" t="n">
        <f aca="false">IFERROR(BO78/BO$5,0)</f>
        <v>0</v>
      </c>
      <c r="BQ78" s="139" t="n">
        <f aca="false">IFERROR((BO78/BL78)-1,0)</f>
        <v>0</v>
      </c>
      <c r="BR78" s="157" t="n">
        <v>0</v>
      </c>
      <c r="BS78" s="91" t="n">
        <f aca="false">IFERROR(BR78/BR$5,0)</f>
        <v>0</v>
      </c>
      <c r="BT78" s="171"/>
      <c r="BU78" s="157" t="n">
        <f aca="false">SUMIFS('Dados Mov Financeira'!$N:$N,'Dados Mov Financeira'!$O:$O,'DRE 2024'!$B78,'Dados Mov Financeira'!$A:$A,'DRE 2024'!BU$1,'Dados Mov Financeira'!$B:$B,'DRE 2024'!BU$2)</f>
        <v>0</v>
      </c>
      <c r="BV78" s="91" t="n">
        <f aca="false">IFERROR(BU78/BU$5,0)</f>
        <v>0</v>
      </c>
      <c r="BW78" s="139" t="n">
        <f aca="false">IFERROR((BU78/BR78)-1,0)</f>
        <v>0</v>
      </c>
      <c r="BX78" s="172" t="n">
        <f aca="false">SUM(D78,J78,P78,V78,AB78,AH78,AN78,AT78,AZ78,BF78,BL78,BR78)</f>
        <v>0</v>
      </c>
      <c r="BY78" s="91" t="n">
        <f aca="false">IFERROR(BX78/BX$5,0)</f>
        <v>0</v>
      </c>
      <c r="CA78" s="172" t="n">
        <f aca="false">SUM(G78,M78,S78,Y78,AE78,AK78,AQ78,AW78,BC78,BI78,BO78,BU78)</f>
        <v>0</v>
      </c>
      <c r="CB78" s="91" t="n">
        <f aca="false">IFERROR(CA78/CA$5,0)</f>
        <v>0</v>
      </c>
      <c r="CC78" s="139" t="n">
        <f aca="false">IFERROR((CA78/BX78)-1,0)</f>
        <v>0</v>
      </c>
      <c r="CE78" s="157" t="n">
        <f aca="false">BX78/$CF$1</f>
        <v>0</v>
      </c>
      <c r="CF78" s="94" t="n">
        <f aca="false">IFERROR(CE78/CE$5,0)</f>
        <v>0</v>
      </c>
      <c r="CH78" s="157" t="n">
        <f aca="false">CA78/$CI$1</f>
        <v>0</v>
      </c>
      <c r="CI78" s="94" t="n">
        <f aca="false">IFERROR(CH78/CH$5,0)</f>
        <v>0</v>
      </c>
    </row>
    <row r="79" customFormat="false" ht="14.25" hidden="false" customHeight="false" outlineLevel="1" collapsed="false">
      <c r="B79" s="169" t="s">
        <v>109</v>
      </c>
      <c r="D79" s="157" t="n">
        <v>-6600</v>
      </c>
      <c r="E79" s="91" t="n">
        <f aca="false">IFERROR(D79/D$5,0)</f>
        <v>-0.0825</v>
      </c>
      <c r="G79" s="157" t="n">
        <f aca="false">SUMIFS('Dados Mov Financeira'!$N:$N,'Dados Mov Financeira'!$O:$O,'DRE 2024'!$B79,'Dados Mov Financeira'!$A:$A,'DRE 2024'!G$1,'Dados Mov Financeira'!$B:$B,'DRE 2024'!G$2)</f>
        <v>0</v>
      </c>
      <c r="H79" s="91" t="n">
        <f aca="false">IFERROR(G79/G$5,0)</f>
        <v>0</v>
      </c>
      <c r="I79" s="138" t="n">
        <f aca="false">IFERROR((G79/D79)-1,0)</f>
        <v>-1</v>
      </c>
      <c r="J79" s="157" t="n">
        <v>-6600</v>
      </c>
      <c r="K79" s="91" t="n">
        <f aca="false">IFERROR(J79/J$5,0)</f>
        <v>-0.0776470588235294</v>
      </c>
      <c r="M79" s="157" t="n">
        <f aca="false">SUMIFS('Dados Mov Financeira'!$N:$N,'Dados Mov Financeira'!$O:$O,'DRE 2024'!$B79,'Dados Mov Financeira'!$A:$A,'DRE 2024'!M$1,'Dados Mov Financeira'!$B:$B,'DRE 2024'!M$2)</f>
        <v>0</v>
      </c>
      <c r="N79" s="91" t="n">
        <f aca="false">IFERROR(M79/M$5,0)</f>
        <v>0</v>
      </c>
      <c r="O79" s="139" t="n">
        <f aca="false">IFERROR((M79/J79)-1,0)</f>
        <v>-1</v>
      </c>
      <c r="P79" s="157" t="n">
        <v>-6600</v>
      </c>
      <c r="Q79" s="91" t="n">
        <f aca="false">IFERROR(P79/P$5,0)</f>
        <v>-0.0733333333333333</v>
      </c>
      <c r="S79" s="157" t="n">
        <f aca="false">SUMIFS('Dados Mov Financeira'!$N:$N,'Dados Mov Financeira'!$O:$O,'DRE 2024'!$B79,'Dados Mov Financeira'!$A:$A,'DRE 2024'!S$1,'Dados Mov Financeira'!$B:$B,'DRE 2024'!S$2)</f>
        <v>0</v>
      </c>
      <c r="T79" s="91" t="n">
        <f aca="false">IFERROR(S79/S$5,0)</f>
        <v>0</v>
      </c>
      <c r="U79" s="139" t="n">
        <f aca="false">IFERROR((S79/P79)-1,0)</f>
        <v>-1</v>
      </c>
      <c r="V79" s="157" t="n">
        <v>-6600</v>
      </c>
      <c r="W79" s="91" t="n">
        <f aca="false">IFERROR(V79/V$5,0)</f>
        <v>-0.066</v>
      </c>
      <c r="Y79" s="157" t="n">
        <f aca="false">SUMIFS('Dados Mov Financeira'!$N:$N,'Dados Mov Financeira'!$O:$O,'DRE 2024'!$B79,'Dados Mov Financeira'!$A:$A,'DRE 2024'!Y$1,'Dados Mov Financeira'!$B:$B,'DRE 2024'!Y$2)</f>
        <v>0</v>
      </c>
      <c r="Z79" s="91" t="n">
        <f aca="false">IFERROR(Y79/Y$5,0)</f>
        <v>0</v>
      </c>
      <c r="AA79" s="139" t="n">
        <f aca="false">IFERROR((Y79/V79)-1,0)</f>
        <v>-1</v>
      </c>
      <c r="AB79" s="157" t="n">
        <v>-6600</v>
      </c>
      <c r="AC79" s="91" t="n">
        <f aca="false">IFERROR(AB79/AB$5,0)</f>
        <v>-0.06</v>
      </c>
      <c r="AE79" s="157" t="n">
        <f aca="false">SUMIFS('Dados Mov Financeira'!$N:$N,'Dados Mov Financeira'!$O:$O,'DRE 2024'!$B79,'Dados Mov Financeira'!$A:$A,'DRE 2024'!AE$1,'Dados Mov Financeira'!$B:$B,'DRE 2024'!AE$2)</f>
        <v>0</v>
      </c>
      <c r="AF79" s="91" t="n">
        <f aca="false">IFERROR(AE79/AE$5,0)</f>
        <v>0</v>
      </c>
      <c r="AG79" s="139" t="n">
        <f aca="false">IFERROR((AE79/AB79)-1,0)</f>
        <v>-1</v>
      </c>
      <c r="AH79" s="157" t="n">
        <v>-6600</v>
      </c>
      <c r="AI79" s="91" t="n">
        <f aca="false">IFERROR(AH79/AH$5,0)</f>
        <v>-0.055</v>
      </c>
      <c r="AK79" s="157" t="n">
        <f aca="false">SUMIFS('Dados Mov Financeira'!$N:$N,'Dados Mov Financeira'!$O:$O,'DRE 2024'!$B79,'Dados Mov Financeira'!$A:$A,'DRE 2024'!AK$1,'Dados Mov Financeira'!$B:$B,'DRE 2024'!AK$2)</f>
        <v>0</v>
      </c>
      <c r="AL79" s="91" t="n">
        <f aca="false">IFERROR(AK79/AK$5,0)</f>
        <v>0</v>
      </c>
      <c r="AM79" s="139" t="n">
        <f aca="false">IFERROR((AK79/AH79)-1,0)</f>
        <v>-1</v>
      </c>
      <c r="AN79" s="157" t="n">
        <v>-6600</v>
      </c>
      <c r="AO79" s="91" t="n">
        <f aca="false">IFERROR(AN79/AN$5,0)</f>
        <v>-0.0507692307692308</v>
      </c>
      <c r="AQ79" s="157" t="n">
        <f aca="false">SUMIFS('Dados Mov Financeira'!$N:$N,'Dados Mov Financeira'!$O:$O,'DRE 2024'!$B79,'Dados Mov Financeira'!$A:$A,'DRE 2024'!AQ$1,'Dados Mov Financeira'!$B:$B,'DRE 2024'!AQ$2)</f>
        <v>0</v>
      </c>
      <c r="AR79" s="91" t="n">
        <f aca="false">IFERROR(AQ79/AQ$5,0)</f>
        <v>0</v>
      </c>
      <c r="AS79" s="139" t="n">
        <f aca="false">IFERROR((AQ79/AN79)-1,0)</f>
        <v>-1</v>
      </c>
      <c r="AT79" s="157" t="n">
        <v>-6600</v>
      </c>
      <c r="AU79" s="91" t="n">
        <f aca="false">IFERROR(AT79/AT$5,0)</f>
        <v>-0.0471428571428571</v>
      </c>
      <c r="AW79" s="157" t="n">
        <f aca="false">SUMIFS('Dados Mov Financeira'!$N:$N,'Dados Mov Financeira'!$O:$O,'DRE 2024'!$B79,'Dados Mov Financeira'!$A:$A,'DRE 2024'!AW$1,'Dados Mov Financeira'!$B:$B,'DRE 2024'!AW$2)</f>
        <v>0</v>
      </c>
      <c r="AX79" s="91" t="n">
        <f aca="false">IFERROR(AW79/AW$5,0)</f>
        <v>0</v>
      </c>
      <c r="AY79" s="139" t="n">
        <f aca="false">IFERROR((AW79/AT79)-1,0)</f>
        <v>-1</v>
      </c>
      <c r="AZ79" s="157" t="n">
        <v>-6600</v>
      </c>
      <c r="BA79" s="91" t="n">
        <f aca="false">IFERROR(AZ79/AZ$5,0)</f>
        <v>-0.044</v>
      </c>
      <c r="BC79" s="157" t="n">
        <f aca="false">SUMIFS('Dados Mov Financeira'!$N:$N,'Dados Mov Financeira'!$O:$O,'DRE 2024'!$B79,'Dados Mov Financeira'!$A:$A,'DRE 2024'!BC$1,'Dados Mov Financeira'!$B:$B,'DRE 2024'!BC$2)</f>
        <v>0</v>
      </c>
      <c r="BD79" s="91" t="n">
        <f aca="false">IFERROR(BC79/BC$5,0)</f>
        <v>0</v>
      </c>
      <c r="BE79" s="139" t="n">
        <f aca="false">IFERROR((BC79/AZ79)-1,0)</f>
        <v>-1</v>
      </c>
      <c r="BF79" s="157" t="n">
        <v>-6600</v>
      </c>
      <c r="BG79" s="91" t="n">
        <f aca="false">IFERROR(BF79/BF$5,0)</f>
        <v>-0.044</v>
      </c>
      <c r="BI79" s="157" t="n">
        <f aca="false">SUMIFS('Dados Mov Financeira'!$N:$N,'Dados Mov Financeira'!$O:$O,'DRE 2024'!$B79,'Dados Mov Financeira'!$A:$A,'DRE 2024'!BI$1,'Dados Mov Financeira'!$B:$B,'DRE 2024'!BI$2)</f>
        <v>0</v>
      </c>
      <c r="BJ79" s="91" t="n">
        <f aca="false">IFERROR(BI79/BI$5,0)</f>
        <v>0</v>
      </c>
      <c r="BK79" s="139" t="n">
        <f aca="false">IFERROR((BI79/BF79)-1,0)</f>
        <v>-1</v>
      </c>
      <c r="BL79" s="157" t="n">
        <v>-6600</v>
      </c>
      <c r="BM79" s="91" t="n">
        <f aca="false">IFERROR(BL79/BL$5,0)</f>
        <v>-0.044</v>
      </c>
      <c r="BO79" s="173" t="n">
        <f aca="false">SUMIFS('Dados Mov Financeira'!$N:$N,'Dados Mov Financeira'!$O:$O,'DRE 2024'!$B79,'Dados Mov Financeira'!$A:$A,'DRE 2024'!BO$1,'Dados Mov Financeira'!$B:$B,'DRE 2024'!BO$2)</f>
        <v>0</v>
      </c>
      <c r="BP79" s="91" t="n">
        <f aca="false">IFERROR(BO79/BO$5,0)</f>
        <v>0</v>
      </c>
      <c r="BQ79" s="139" t="n">
        <f aca="false">IFERROR((BO79/BL79)-1,0)</f>
        <v>-1</v>
      </c>
      <c r="BR79" s="157" t="n">
        <v>-6600</v>
      </c>
      <c r="BS79" s="91" t="n">
        <f aca="false">IFERROR(BR79/BR$5,0)</f>
        <v>-0.044</v>
      </c>
      <c r="BT79" s="171"/>
      <c r="BU79" s="157" t="n">
        <f aca="false">SUMIFS('Dados Mov Financeira'!$N:$N,'Dados Mov Financeira'!$O:$O,'DRE 2024'!$B79,'Dados Mov Financeira'!$A:$A,'DRE 2024'!BU$1,'Dados Mov Financeira'!$B:$B,'DRE 2024'!BU$2)</f>
        <v>0</v>
      </c>
      <c r="BV79" s="91" t="n">
        <f aca="false">IFERROR(BU79/BU$5,0)</f>
        <v>0</v>
      </c>
      <c r="BW79" s="139" t="n">
        <f aca="false">IFERROR((BU79/BR79)-1,0)</f>
        <v>-1</v>
      </c>
      <c r="BX79" s="172" t="n">
        <f aca="false">SUM(D79,J79,P79,V79,AB79,AH79,AN79,AT79,AZ79,BF79,BL79,BR79)</f>
        <v>-79200</v>
      </c>
      <c r="BY79" s="91" t="n">
        <f aca="false">IFERROR(BX79/BX$5,0)</f>
        <v>-0.0544329896907217</v>
      </c>
      <c r="CA79" s="172" t="n">
        <f aca="false">SUM(G79,M79,S79,Y79,AE79,AK79,AQ79,AW79,BC79,BI79,BO79,BU79)</f>
        <v>0</v>
      </c>
      <c r="CB79" s="91" t="n">
        <f aca="false">IFERROR(CA79/CA$5,0)</f>
        <v>0</v>
      </c>
      <c r="CC79" s="139" t="n">
        <f aca="false">IFERROR((CA79/BX79)-1,0)</f>
        <v>-1</v>
      </c>
      <c r="CE79" s="157" t="n">
        <f aca="false">BX79/$CF$1</f>
        <v>-6600</v>
      </c>
      <c r="CF79" s="94" t="n">
        <f aca="false">IFERROR(CE79/CE$5,0)</f>
        <v>-0.0544329896907217</v>
      </c>
      <c r="CH79" s="157" t="n">
        <f aca="false">CA79/$CI$1</f>
        <v>0</v>
      </c>
      <c r="CI79" s="94" t="n">
        <f aca="false">IFERROR(CH79/CH$5,0)</f>
        <v>0</v>
      </c>
    </row>
    <row r="80" customFormat="false" ht="14.25" hidden="false" customHeight="false" outlineLevel="1" collapsed="false">
      <c r="B80" s="169" t="s">
        <v>110</v>
      </c>
      <c r="D80" s="157" t="n">
        <v>0</v>
      </c>
      <c r="E80" s="91" t="n">
        <f aca="false">IFERROR(D80/D$5,0)</f>
        <v>0</v>
      </c>
      <c r="G80" s="157" t="n">
        <f aca="false">SUMIFS('Dados Mov Financeira'!$N:$N,'Dados Mov Financeira'!$O:$O,'DRE 2024'!$B80,'Dados Mov Financeira'!$A:$A,'DRE 2024'!G$1,'Dados Mov Financeira'!$B:$B,'DRE 2024'!G$2)</f>
        <v>0</v>
      </c>
      <c r="H80" s="91" t="n">
        <f aca="false">IFERROR(G80/G$5,0)</f>
        <v>0</v>
      </c>
      <c r="I80" s="138" t="n">
        <f aca="false">IFERROR((G80/D80)-1,0)</f>
        <v>0</v>
      </c>
      <c r="J80" s="157" t="n">
        <v>0</v>
      </c>
      <c r="K80" s="91" t="n">
        <f aca="false">IFERROR(J80/J$5,0)</f>
        <v>0</v>
      </c>
      <c r="M80" s="157" t="n">
        <f aca="false">SUMIFS('Dados Mov Financeira'!$N:$N,'Dados Mov Financeira'!$O:$O,'DRE 2024'!$B80,'Dados Mov Financeira'!$A:$A,'DRE 2024'!M$1,'Dados Mov Financeira'!$B:$B,'DRE 2024'!M$2)</f>
        <v>0</v>
      </c>
      <c r="N80" s="91" t="n">
        <f aca="false">IFERROR(M80/M$5,0)</f>
        <v>0</v>
      </c>
      <c r="O80" s="139" t="n">
        <f aca="false">IFERROR((M80/J80)-1,0)</f>
        <v>0</v>
      </c>
      <c r="P80" s="157" t="n">
        <v>0</v>
      </c>
      <c r="Q80" s="91" t="n">
        <f aca="false">IFERROR(P80/P$5,0)</f>
        <v>0</v>
      </c>
      <c r="S80" s="157" t="n">
        <f aca="false">SUMIFS('Dados Mov Financeira'!$N:$N,'Dados Mov Financeira'!$O:$O,'DRE 2024'!$B80,'Dados Mov Financeira'!$A:$A,'DRE 2024'!S$1,'Dados Mov Financeira'!$B:$B,'DRE 2024'!S$2)</f>
        <v>0</v>
      </c>
      <c r="T80" s="91" t="n">
        <f aca="false">IFERROR(S80/S$5,0)</f>
        <v>0</v>
      </c>
      <c r="U80" s="139" t="n">
        <f aca="false">IFERROR((S80/P80)-1,0)</f>
        <v>0</v>
      </c>
      <c r="V80" s="157" t="n">
        <v>0</v>
      </c>
      <c r="W80" s="91" t="n">
        <f aca="false">IFERROR(V80/V$5,0)</f>
        <v>0</v>
      </c>
      <c r="Y80" s="157" t="n">
        <f aca="false">SUMIFS('Dados Mov Financeira'!$N:$N,'Dados Mov Financeira'!$O:$O,'DRE 2024'!$B80,'Dados Mov Financeira'!$A:$A,'DRE 2024'!Y$1,'Dados Mov Financeira'!$B:$B,'DRE 2024'!Y$2)</f>
        <v>0</v>
      </c>
      <c r="Z80" s="91" t="n">
        <f aca="false">IFERROR(Y80/Y$5,0)</f>
        <v>0</v>
      </c>
      <c r="AA80" s="139" t="n">
        <f aca="false">IFERROR((Y80/V80)-1,0)</f>
        <v>0</v>
      </c>
      <c r="AB80" s="157" t="n">
        <v>0</v>
      </c>
      <c r="AC80" s="91" t="n">
        <f aca="false">IFERROR(AB80/AB$5,0)</f>
        <v>0</v>
      </c>
      <c r="AE80" s="157" t="n">
        <f aca="false">SUMIFS('Dados Mov Financeira'!$N:$N,'Dados Mov Financeira'!$O:$O,'DRE 2024'!$B80,'Dados Mov Financeira'!$A:$A,'DRE 2024'!AE$1,'Dados Mov Financeira'!$B:$B,'DRE 2024'!AE$2)</f>
        <v>0</v>
      </c>
      <c r="AF80" s="91" t="n">
        <f aca="false">IFERROR(AE80/AE$5,0)</f>
        <v>0</v>
      </c>
      <c r="AG80" s="139" t="n">
        <f aca="false">IFERROR((AE80/AB80)-1,0)</f>
        <v>0</v>
      </c>
      <c r="AH80" s="157" t="n">
        <v>0</v>
      </c>
      <c r="AI80" s="91" t="n">
        <f aca="false">IFERROR(AH80/AH$5,0)</f>
        <v>0</v>
      </c>
      <c r="AK80" s="157" t="n">
        <f aca="false">SUMIFS('Dados Mov Financeira'!$N:$N,'Dados Mov Financeira'!$O:$O,'DRE 2024'!$B80,'Dados Mov Financeira'!$A:$A,'DRE 2024'!AK$1,'Dados Mov Financeira'!$B:$B,'DRE 2024'!AK$2)</f>
        <v>0</v>
      </c>
      <c r="AL80" s="91" t="n">
        <f aca="false">IFERROR(AK80/AK$5,0)</f>
        <v>0</v>
      </c>
      <c r="AM80" s="139" t="n">
        <f aca="false">IFERROR((AK80/AH80)-1,0)</f>
        <v>0</v>
      </c>
      <c r="AN80" s="157" t="n">
        <v>0</v>
      </c>
      <c r="AO80" s="91" t="n">
        <f aca="false">IFERROR(AN80/AN$5,0)</f>
        <v>0</v>
      </c>
      <c r="AQ80" s="157" t="n">
        <f aca="false">SUMIFS('Dados Mov Financeira'!$N:$N,'Dados Mov Financeira'!$O:$O,'DRE 2024'!$B80,'Dados Mov Financeira'!$A:$A,'DRE 2024'!AQ$1,'Dados Mov Financeira'!$B:$B,'DRE 2024'!AQ$2)</f>
        <v>0</v>
      </c>
      <c r="AR80" s="91" t="n">
        <f aca="false">IFERROR(AQ80/AQ$5,0)</f>
        <v>0</v>
      </c>
      <c r="AS80" s="139" t="n">
        <f aca="false">IFERROR((AQ80/AN80)-1,0)</f>
        <v>0</v>
      </c>
      <c r="AT80" s="157" t="n">
        <v>0</v>
      </c>
      <c r="AU80" s="91" t="n">
        <f aca="false">IFERROR(AT80/AT$5,0)</f>
        <v>0</v>
      </c>
      <c r="AW80" s="157" t="n">
        <f aca="false">SUMIFS('Dados Mov Financeira'!$N:$N,'Dados Mov Financeira'!$O:$O,'DRE 2024'!$B80,'Dados Mov Financeira'!$A:$A,'DRE 2024'!AW$1,'Dados Mov Financeira'!$B:$B,'DRE 2024'!AW$2)</f>
        <v>0</v>
      </c>
      <c r="AX80" s="91" t="n">
        <f aca="false">IFERROR(AW80/AW$5,0)</f>
        <v>0</v>
      </c>
      <c r="AY80" s="139" t="n">
        <f aca="false">IFERROR((AW80/AT80)-1,0)</f>
        <v>0</v>
      </c>
      <c r="AZ80" s="157" t="n">
        <v>0</v>
      </c>
      <c r="BA80" s="91" t="n">
        <f aca="false">IFERROR(AZ80/AZ$5,0)</f>
        <v>0</v>
      </c>
      <c r="BC80" s="157" t="n">
        <f aca="false">SUMIFS('Dados Mov Financeira'!$N:$N,'Dados Mov Financeira'!$O:$O,'DRE 2024'!$B80,'Dados Mov Financeira'!$A:$A,'DRE 2024'!BC$1,'Dados Mov Financeira'!$B:$B,'DRE 2024'!BC$2)</f>
        <v>0</v>
      </c>
      <c r="BD80" s="91" t="n">
        <f aca="false">IFERROR(BC80/BC$5,0)</f>
        <v>0</v>
      </c>
      <c r="BE80" s="139" t="n">
        <f aca="false">IFERROR((BC80/AZ80)-1,0)</f>
        <v>0</v>
      </c>
      <c r="BF80" s="157" t="n">
        <v>0</v>
      </c>
      <c r="BG80" s="91" t="n">
        <f aca="false">IFERROR(BF80/BF$5,0)</f>
        <v>0</v>
      </c>
      <c r="BI80" s="157" t="n">
        <f aca="false">SUMIFS('Dados Mov Financeira'!$N:$N,'Dados Mov Financeira'!$O:$O,'DRE 2024'!$B80,'Dados Mov Financeira'!$A:$A,'DRE 2024'!BI$1,'Dados Mov Financeira'!$B:$B,'DRE 2024'!BI$2)</f>
        <v>0</v>
      </c>
      <c r="BJ80" s="91" t="n">
        <f aca="false">IFERROR(BI80/BI$5,0)</f>
        <v>0</v>
      </c>
      <c r="BK80" s="139" t="n">
        <f aca="false">IFERROR((BI80/BF80)-1,0)</f>
        <v>0</v>
      </c>
      <c r="BL80" s="157" t="n">
        <v>0</v>
      </c>
      <c r="BM80" s="91" t="n">
        <f aca="false">IFERROR(BL80/BL$5,0)</f>
        <v>0</v>
      </c>
      <c r="BO80" s="157" t="n">
        <f aca="false">SUMIFS('Dados Mov Financeira'!$N:$N,'Dados Mov Financeira'!$O:$O,'DRE 2024'!$B80,'Dados Mov Financeira'!$A:$A,'DRE 2024'!BO$1,'Dados Mov Financeira'!$B:$B,'DRE 2024'!BO$2)</f>
        <v>0</v>
      </c>
      <c r="BP80" s="91" t="n">
        <f aca="false">IFERROR(BO80/BO$5,0)</f>
        <v>0</v>
      </c>
      <c r="BQ80" s="139" t="n">
        <f aca="false">IFERROR((BO80/BL80)-1,0)</f>
        <v>0</v>
      </c>
      <c r="BR80" s="157" t="n">
        <v>0</v>
      </c>
      <c r="BS80" s="91" t="n">
        <f aca="false">IFERROR(BR80/BR$5,0)</f>
        <v>0</v>
      </c>
      <c r="BT80" s="171"/>
      <c r="BU80" s="157" t="n">
        <f aca="false">SUMIFS('Dados Mov Financeira'!$N:$N,'Dados Mov Financeira'!$O:$O,'DRE 2024'!$B80,'Dados Mov Financeira'!$A:$A,'DRE 2024'!BU$1,'Dados Mov Financeira'!$B:$B,'DRE 2024'!BU$2)</f>
        <v>0</v>
      </c>
      <c r="BV80" s="91" t="n">
        <f aca="false">IFERROR(BU80/BU$5,0)</f>
        <v>0</v>
      </c>
      <c r="BW80" s="139" t="n">
        <f aca="false">IFERROR((BU80/BR80)-1,0)</f>
        <v>0</v>
      </c>
      <c r="BX80" s="172" t="n">
        <f aca="false">SUM(D80,J80,P80,V80,AB80,AH80,AN80,AT80,AZ80,BF80,BL80,BR80)</f>
        <v>0</v>
      </c>
      <c r="BY80" s="91" t="n">
        <f aca="false">IFERROR(BX80/BX$5,0)</f>
        <v>0</v>
      </c>
      <c r="CA80" s="172" t="n">
        <f aca="false">SUM(G80,M80,S80,Y80,AE80,AK80,AQ80,AW80,BC80,BI80,BO80,BU80)</f>
        <v>0</v>
      </c>
      <c r="CB80" s="91" t="n">
        <f aca="false">IFERROR(CA80/CA$5,0)</f>
        <v>0</v>
      </c>
      <c r="CC80" s="139" t="n">
        <f aca="false">IFERROR((CA80/BX80)-1,0)</f>
        <v>0</v>
      </c>
      <c r="CE80" s="157" t="n">
        <f aca="false">BX80/$CF$1</f>
        <v>0</v>
      </c>
      <c r="CF80" s="94" t="n">
        <f aca="false">IFERROR(CE80/CE$5,0)</f>
        <v>0</v>
      </c>
      <c r="CH80" s="157" t="n">
        <f aca="false">CA80/$CI$1</f>
        <v>0</v>
      </c>
      <c r="CI80" s="94" t="n">
        <f aca="false">IFERROR(CH80/CH$5,0)</f>
        <v>0</v>
      </c>
    </row>
    <row r="81" customFormat="false" ht="14.25" hidden="false" customHeight="false" outlineLevel="1" collapsed="false">
      <c r="B81" s="169" t="s">
        <v>111</v>
      </c>
      <c r="D81" s="157" t="n">
        <v>-930</v>
      </c>
      <c r="E81" s="91" t="n">
        <f aca="false">IFERROR(D81/D$5,0)</f>
        <v>-0.011625</v>
      </c>
      <c r="G81" s="157" t="n">
        <f aca="false">SUMIFS('Dados Mov Financeira'!$N:$N,'Dados Mov Financeira'!$O:$O,'DRE 2024'!$B81,'Dados Mov Financeira'!$A:$A,'DRE 2024'!G$1,'Dados Mov Financeira'!$B:$B,'DRE 2024'!G$2)</f>
        <v>0</v>
      </c>
      <c r="H81" s="91" t="n">
        <f aca="false">IFERROR(G81/G$5,0)</f>
        <v>0</v>
      </c>
      <c r="I81" s="138"/>
      <c r="J81" s="157" t="n">
        <v>-930</v>
      </c>
      <c r="K81" s="91" t="n">
        <f aca="false">IFERROR(J81/J$5,0)</f>
        <v>-0.0109411764705882</v>
      </c>
      <c r="M81" s="157" t="n">
        <f aca="false">SUMIFS('Dados Mov Financeira'!$N:$N,'Dados Mov Financeira'!$O:$O,'DRE 2024'!$B81,'Dados Mov Financeira'!$A:$A,'DRE 2024'!M$1,'Dados Mov Financeira'!$B:$B,'DRE 2024'!M$2)</f>
        <v>0</v>
      </c>
      <c r="N81" s="91" t="n">
        <f aca="false">IFERROR(M81/M$5,0)</f>
        <v>0</v>
      </c>
      <c r="O81" s="139" t="n">
        <f aca="false">IFERROR((M81/J81)-1,0)</f>
        <v>-1</v>
      </c>
      <c r="P81" s="157" t="n">
        <v>-930</v>
      </c>
      <c r="Q81" s="91" t="n">
        <f aca="false">IFERROR(P81/P$5,0)</f>
        <v>-0.0103333333333333</v>
      </c>
      <c r="S81" s="157"/>
      <c r="T81" s="91"/>
      <c r="U81" s="139"/>
      <c r="V81" s="157" t="n">
        <v>-930</v>
      </c>
      <c r="W81" s="91" t="n">
        <f aca="false">IFERROR(V81/V$5,0)</f>
        <v>-0.0093</v>
      </c>
      <c r="Y81" s="157"/>
      <c r="Z81" s="91"/>
      <c r="AA81" s="139"/>
      <c r="AB81" s="157" t="n">
        <v>-930</v>
      </c>
      <c r="AC81" s="91" t="n">
        <f aca="false">IFERROR(AB81/AB$5,0)</f>
        <v>-0.00845454545454545</v>
      </c>
      <c r="AE81" s="157"/>
      <c r="AF81" s="91"/>
      <c r="AG81" s="139"/>
      <c r="AH81" s="157" t="n">
        <v>-930</v>
      </c>
      <c r="AI81" s="91" t="n">
        <f aca="false">IFERROR(AH81/AH$5,0)</f>
        <v>-0.00775</v>
      </c>
      <c r="AK81" s="157"/>
      <c r="AL81" s="91"/>
      <c r="AM81" s="139"/>
      <c r="AN81" s="157" t="n">
        <v>-930</v>
      </c>
      <c r="AO81" s="91" t="n">
        <f aca="false">IFERROR(AN81/AN$5,0)</f>
        <v>-0.00715384615384615</v>
      </c>
      <c r="AQ81" s="157"/>
      <c r="AR81" s="91"/>
      <c r="AS81" s="139"/>
      <c r="AT81" s="157" t="n">
        <v>-930</v>
      </c>
      <c r="AU81" s="91" t="n">
        <f aca="false">IFERROR(AT81/AT$5,0)</f>
        <v>-0.00664285714285714</v>
      </c>
      <c r="AW81" s="157"/>
      <c r="AX81" s="91"/>
      <c r="AY81" s="139"/>
      <c r="AZ81" s="157" t="n">
        <v>-930</v>
      </c>
      <c r="BA81" s="91" t="n">
        <f aca="false">IFERROR(AZ81/AZ$5,0)</f>
        <v>-0.0062</v>
      </c>
      <c r="BC81" s="157"/>
      <c r="BD81" s="91"/>
      <c r="BE81" s="139"/>
      <c r="BF81" s="157" t="n">
        <v>-930</v>
      </c>
      <c r="BG81" s="91" t="n">
        <f aca="false">IFERROR(BF81/BF$5,0)</f>
        <v>-0.0062</v>
      </c>
      <c r="BI81" s="157"/>
      <c r="BJ81" s="91"/>
      <c r="BK81" s="139"/>
      <c r="BL81" s="157" t="n">
        <v>-930</v>
      </c>
      <c r="BM81" s="91" t="n">
        <f aca="false">IFERROR(BL81/BL$5,0)</f>
        <v>-0.0062</v>
      </c>
      <c r="BO81" s="157"/>
      <c r="BP81" s="91"/>
      <c r="BQ81" s="139"/>
      <c r="BR81" s="157" t="n">
        <v>-930</v>
      </c>
      <c r="BS81" s="91" t="n">
        <f aca="false">IFERROR(BR81/BR$5,0)</f>
        <v>-0.0062</v>
      </c>
      <c r="BT81" s="171"/>
      <c r="BU81" s="157"/>
      <c r="BV81" s="91"/>
      <c r="BW81" s="139"/>
      <c r="BX81" s="172"/>
      <c r="BY81" s="91"/>
      <c r="CA81" s="172"/>
      <c r="CB81" s="91"/>
      <c r="CC81" s="139"/>
      <c r="CE81" s="157"/>
      <c r="CF81" s="94"/>
      <c r="CH81" s="157"/>
      <c r="CI81" s="94"/>
    </row>
    <row r="82" customFormat="false" ht="14.25" hidden="false" customHeight="false" outlineLevel="1" collapsed="false">
      <c r="B82" s="169" t="s">
        <v>113</v>
      </c>
      <c r="D82" s="157" t="n">
        <v>-250</v>
      </c>
      <c r="E82" s="91" t="n">
        <f aca="false">IFERROR(D82/D$5,0)</f>
        <v>-0.003125</v>
      </c>
      <c r="G82" s="157" t="n">
        <f aca="false">SUMIFS('Dados Mov Financeira'!$N:$N,'Dados Mov Financeira'!$O:$O,'DRE 2024'!$B82,'Dados Mov Financeira'!$A:$A,'DRE 2024'!G$1,'Dados Mov Financeira'!$B:$B,'DRE 2024'!G$2)</f>
        <v>0</v>
      </c>
      <c r="H82" s="91" t="n">
        <f aca="false">IFERROR(G82/G$5,0)</f>
        <v>0</v>
      </c>
      <c r="I82" s="138" t="n">
        <f aca="false">IFERROR((G82/D82)-1,0)</f>
        <v>-1</v>
      </c>
      <c r="J82" s="157" t="n">
        <v>-250</v>
      </c>
      <c r="K82" s="91" t="n">
        <f aca="false">IFERROR(J82/J$5,0)</f>
        <v>-0.00294117647058824</v>
      </c>
      <c r="M82" s="157" t="n">
        <f aca="false">SUMIFS('Dados Mov Financeira'!$N:$N,'Dados Mov Financeira'!$O:$O,'DRE 2024'!$B82,'Dados Mov Financeira'!$A:$A,'DRE 2024'!M$1,'Dados Mov Financeira'!$B:$B,'DRE 2024'!M$2)</f>
        <v>0</v>
      </c>
      <c r="N82" s="91" t="n">
        <f aca="false">IFERROR(M82/M$5,0)</f>
        <v>0</v>
      </c>
      <c r="O82" s="139" t="n">
        <f aca="false">IFERROR((M82/J82)-1,0)</f>
        <v>-1</v>
      </c>
      <c r="P82" s="157" t="n">
        <v>-250</v>
      </c>
      <c r="Q82" s="91" t="n">
        <f aca="false">IFERROR(P82/P$5,0)</f>
        <v>-0.00277777777777778</v>
      </c>
      <c r="S82" s="157" t="n">
        <f aca="false">SUMIFS('Dados Mov Financeira'!$N:$N,'Dados Mov Financeira'!$O:$O,'DRE 2024'!$B82,'Dados Mov Financeira'!$A:$A,'DRE 2024'!S$1,'Dados Mov Financeira'!$B:$B,'DRE 2024'!S$2)</f>
        <v>0</v>
      </c>
      <c r="T82" s="91" t="n">
        <f aca="false">IFERROR(S82/S$5,0)</f>
        <v>0</v>
      </c>
      <c r="U82" s="139" t="n">
        <f aca="false">IFERROR((S82/P82)-1,0)</f>
        <v>-1</v>
      </c>
      <c r="V82" s="157" t="n">
        <v>-250</v>
      </c>
      <c r="W82" s="91" t="n">
        <f aca="false">IFERROR(V82/V$5,0)</f>
        <v>-0.0025</v>
      </c>
      <c r="Y82" s="157" t="n">
        <f aca="false">SUMIFS('Dados Mov Financeira'!$N:$N,'Dados Mov Financeira'!$O:$O,'DRE 2024'!$B82,'Dados Mov Financeira'!$A:$A,'DRE 2024'!Y$1,'Dados Mov Financeira'!$B:$B,'DRE 2024'!Y$2)</f>
        <v>0</v>
      </c>
      <c r="Z82" s="91" t="n">
        <f aca="false">IFERROR(Y82/Y$5,0)</f>
        <v>0</v>
      </c>
      <c r="AA82" s="139" t="n">
        <f aca="false">IFERROR((Y82/V82)-1,0)</f>
        <v>-1</v>
      </c>
      <c r="AB82" s="157" t="n">
        <v>-250</v>
      </c>
      <c r="AC82" s="91" t="n">
        <f aca="false">IFERROR(AB82/AB$5,0)</f>
        <v>-0.00227272727272727</v>
      </c>
      <c r="AE82" s="157" t="n">
        <f aca="false">SUMIFS('Dados Mov Financeira'!$N:$N,'Dados Mov Financeira'!$O:$O,'DRE 2024'!$B82,'Dados Mov Financeira'!$A:$A,'DRE 2024'!AE$1,'Dados Mov Financeira'!$B:$B,'DRE 2024'!AE$2)</f>
        <v>0</v>
      </c>
      <c r="AF82" s="91" t="n">
        <f aca="false">IFERROR(AE82/AE$5,0)</f>
        <v>0</v>
      </c>
      <c r="AG82" s="139" t="n">
        <f aca="false">IFERROR((AE82/AB82)-1,0)</f>
        <v>-1</v>
      </c>
      <c r="AH82" s="157" t="n">
        <v>-250</v>
      </c>
      <c r="AI82" s="91" t="n">
        <f aca="false">IFERROR(AH82/AH$5,0)</f>
        <v>-0.00208333333333333</v>
      </c>
      <c r="AK82" s="157" t="n">
        <f aca="false">SUMIFS('Dados Mov Financeira'!$N:$N,'Dados Mov Financeira'!$O:$O,'DRE 2024'!$B82,'Dados Mov Financeira'!$A:$A,'DRE 2024'!AK$1,'Dados Mov Financeira'!$B:$B,'DRE 2024'!AK$2)</f>
        <v>0</v>
      </c>
      <c r="AL82" s="91" t="n">
        <f aca="false">IFERROR(AK82/AK$5,0)</f>
        <v>0</v>
      </c>
      <c r="AM82" s="139" t="n">
        <f aca="false">IFERROR((AK82/AH82)-1,0)</f>
        <v>-1</v>
      </c>
      <c r="AN82" s="157" t="n">
        <v>-250</v>
      </c>
      <c r="AO82" s="91" t="n">
        <f aca="false">IFERROR(AN82/AN$5,0)</f>
        <v>-0.00192307692307692</v>
      </c>
      <c r="AQ82" s="157" t="n">
        <f aca="false">SUMIFS('Dados Mov Financeira'!$N:$N,'Dados Mov Financeira'!$O:$O,'DRE 2024'!$B82,'Dados Mov Financeira'!$A:$A,'DRE 2024'!AQ$1,'Dados Mov Financeira'!$B:$B,'DRE 2024'!AQ$2)</f>
        <v>0</v>
      </c>
      <c r="AR82" s="91" t="n">
        <f aca="false">IFERROR(AQ82/AQ$5,0)</f>
        <v>0</v>
      </c>
      <c r="AS82" s="139" t="n">
        <f aca="false">IFERROR((AQ82/AN82)-1,0)</f>
        <v>-1</v>
      </c>
      <c r="AT82" s="157" t="n">
        <v>-250</v>
      </c>
      <c r="AU82" s="91" t="n">
        <f aca="false">IFERROR(AT82/AT$5,0)</f>
        <v>-0.00178571428571429</v>
      </c>
      <c r="AW82" s="157" t="n">
        <f aca="false">SUMIFS('Dados Mov Financeira'!$N:$N,'Dados Mov Financeira'!$O:$O,'DRE 2024'!$B82,'Dados Mov Financeira'!$A:$A,'DRE 2024'!AW$1,'Dados Mov Financeira'!$B:$B,'DRE 2024'!AW$2)</f>
        <v>0</v>
      </c>
      <c r="AX82" s="91" t="n">
        <f aca="false">IFERROR(AW82/AW$5,0)</f>
        <v>0</v>
      </c>
      <c r="AY82" s="139" t="n">
        <f aca="false">IFERROR((AW82/AT82)-1,0)</f>
        <v>-1</v>
      </c>
      <c r="AZ82" s="157" t="n">
        <v>-250</v>
      </c>
      <c r="BA82" s="91" t="n">
        <f aca="false">IFERROR(AZ82/AZ$5,0)</f>
        <v>-0.00166666666666667</v>
      </c>
      <c r="BC82" s="157" t="n">
        <f aca="false">SUMIFS('Dados Mov Financeira'!$N:$N,'Dados Mov Financeira'!$O:$O,'DRE 2024'!$B82,'Dados Mov Financeira'!$A:$A,'DRE 2024'!BC$1,'Dados Mov Financeira'!$B:$B,'DRE 2024'!BC$2)</f>
        <v>0</v>
      </c>
      <c r="BD82" s="91" t="n">
        <f aca="false">IFERROR(BC82/BC$5,0)</f>
        <v>0</v>
      </c>
      <c r="BE82" s="139" t="n">
        <f aca="false">IFERROR((BC82/AZ82)-1,0)</f>
        <v>-1</v>
      </c>
      <c r="BF82" s="157" t="n">
        <v>-250</v>
      </c>
      <c r="BG82" s="91" t="n">
        <f aca="false">IFERROR(BF82/BF$5,0)</f>
        <v>-0.00166666666666667</v>
      </c>
      <c r="BI82" s="157" t="n">
        <f aca="false">SUMIFS('Dados Mov Financeira'!$N:$N,'Dados Mov Financeira'!$O:$O,'DRE 2024'!$B82,'Dados Mov Financeira'!$A:$A,'DRE 2024'!BI$1,'Dados Mov Financeira'!$B:$B,'DRE 2024'!BI$2)</f>
        <v>0</v>
      </c>
      <c r="BJ82" s="91" t="n">
        <f aca="false">IFERROR(BI82/BI$5,0)</f>
        <v>0</v>
      </c>
      <c r="BK82" s="139" t="n">
        <f aca="false">IFERROR((BI82/BF82)-1,0)</f>
        <v>-1</v>
      </c>
      <c r="BL82" s="157" t="n">
        <v>-250</v>
      </c>
      <c r="BM82" s="91" t="n">
        <f aca="false">IFERROR(BL82/BL$5,0)</f>
        <v>-0.00166666666666667</v>
      </c>
      <c r="BO82" s="157" t="n">
        <f aca="false">SUMIFS('Dados Mov Financeira'!$N:$N,'Dados Mov Financeira'!$O:$O,'DRE 2024'!$B82,'Dados Mov Financeira'!$A:$A,'DRE 2024'!BO$1,'Dados Mov Financeira'!$B:$B,'DRE 2024'!BO$2)</f>
        <v>0</v>
      </c>
      <c r="BP82" s="91" t="n">
        <f aca="false">IFERROR(BO82/BO$5,0)</f>
        <v>0</v>
      </c>
      <c r="BQ82" s="139" t="n">
        <f aca="false">IFERROR((BO82/BL82)-1,0)</f>
        <v>-1</v>
      </c>
      <c r="BR82" s="157" t="n">
        <v>-250</v>
      </c>
      <c r="BS82" s="91" t="n">
        <f aca="false">IFERROR(BR82/BR$5,0)</f>
        <v>-0.00166666666666667</v>
      </c>
      <c r="BT82" s="171"/>
      <c r="BU82" s="157" t="n">
        <f aca="false">SUMIFS('Dados Mov Financeira'!$N:$N,'Dados Mov Financeira'!$O:$O,'DRE 2024'!$B82,'Dados Mov Financeira'!$A:$A,'DRE 2024'!BU$1,'Dados Mov Financeira'!$B:$B,'DRE 2024'!BU$2)</f>
        <v>0</v>
      </c>
      <c r="BV82" s="91" t="n">
        <f aca="false">IFERROR(BU82/BU$5,0)</f>
        <v>0</v>
      </c>
      <c r="BW82" s="139" t="n">
        <f aca="false">IFERROR((BU82/BR82)-1,0)</f>
        <v>-1</v>
      </c>
      <c r="BX82" s="172" t="n">
        <f aca="false">SUM(D82,J82,P82,V82,AB82,AH82,AN82,AT82,AZ82,BF82,BL82,BR82)</f>
        <v>-3000</v>
      </c>
      <c r="BY82" s="91" t="n">
        <f aca="false">IFERROR(BX82/BX$5,0)</f>
        <v>-0.00206185567010309</v>
      </c>
      <c r="CA82" s="172" t="n">
        <f aca="false">SUM(G82,M82,S82,Y82,AE82,AK82,AQ82,AW82,BC82,BI82,BO82,BU82)</f>
        <v>0</v>
      </c>
      <c r="CB82" s="91" t="n">
        <f aca="false">IFERROR(CA82/CA$5,0)</f>
        <v>0</v>
      </c>
      <c r="CC82" s="139" t="n">
        <f aca="false">IFERROR((CA82/BX82)-1,0)</f>
        <v>-1</v>
      </c>
      <c r="CE82" s="157" t="n">
        <f aca="false">BX82/$CF$1</f>
        <v>-250</v>
      </c>
      <c r="CF82" s="94" t="n">
        <f aca="false">IFERROR(CE82/CE$5,0)</f>
        <v>-0.00206185567010309</v>
      </c>
      <c r="CH82" s="157" t="n">
        <f aca="false">CA82/$CI$1</f>
        <v>0</v>
      </c>
      <c r="CI82" s="94" t="n">
        <f aca="false">IFERROR(CH82/CH$5,0)</f>
        <v>0</v>
      </c>
    </row>
    <row r="83" customFormat="false" ht="14.25" hidden="false" customHeight="false" outlineLevel="1" collapsed="false">
      <c r="B83" s="169" t="s">
        <v>114</v>
      </c>
      <c r="D83" s="157" t="n">
        <v>0</v>
      </c>
      <c r="E83" s="91" t="n">
        <f aca="false">IFERROR(D83/D$5,0)</f>
        <v>0</v>
      </c>
      <c r="G83" s="157" t="n">
        <f aca="false">SUMIFS('Dados Mov Financeira'!$N:$N,'Dados Mov Financeira'!$O:$O,'DRE 2024'!$B83,'Dados Mov Financeira'!$A:$A,'DRE 2024'!G$1,'Dados Mov Financeira'!$B:$B,'DRE 2024'!G$2)</f>
        <v>0</v>
      </c>
      <c r="H83" s="91" t="n">
        <f aca="false">IFERROR(G83/G$5,0)</f>
        <v>0</v>
      </c>
      <c r="I83" s="138" t="n">
        <f aca="false">IFERROR((G83/D83)-1,0)</f>
        <v>0</v>
      </c>
      <c r="J83" s="157" t="n">
        <v>0</v>
      </c>
      <c r="K83" s="91" t="n">
        <f aca="false">IFERROR(J83/J$5,0)</f>
        <v>0</v>
      </c>
      <c r="M83" s="157" t="n">
        <f aca="false">SUMIFS('Dados Mov Financeira'!$N:$N,'Dados Mov Financeira'!$O:$O,'DRE 2024'!$B83,'Dados Mov Financeira'!$A:$A,'DRE 2024'!M$1,'Dados Mov Financeira'!$B:$B,'DRE 2024'!M$2)</f>
        <v>0</v>
      </c>
      <c r="N83" s="91" t="n">
        <f aca="false">IFERROR(M83/M$5,0)</f>
        <v>0</v>
      </c>
      <c r="O83" s="139" t="n">
        <f aca="false">IFERROR((M83/J83)-1,0)</f>
        <v>0</v>
      </c>
      <c r="P83" s="157" t="n">
        <v>0</v>
      </c>
      <c r="Q83" s="91" t="n">
        <f aca="false">IFERROR(P83/P$5,0)</f>
        <v>0</v>
      </c>
      <c r="S83" s="157" t="n">
        <f aca="false">SUMIFS('Dados Mov Financeira'!$N:$N,'Dados Mov Financeira'!$O:$O,'DRE 2024'!$B83,'Dados Mov Financeira'!$A:$A,'DRE 2024'!S$1,'Dados Mov Financeira'!$B:$B,'DRE 2024'!S$2)</f>
        <v>0</v>
      </c>
      <c r="T83" s="91" t="n">
        <f aca="false">IFERROR(S83/S$5,0)</f>
        <v>0</v>
      </c>
      <c r="U83" s="139" t="n">
        <f aca="false">IFERROR((S83/P83)-1,0)</f>
        <v>0</v>
      </c>
      <c r="V83" s="157" t="n">
        <v>0</v>
      </c>
      <c r="W83" s="91" t="n">
        <f aca="false">IFERROR(V83/V$5,0)</f>
        <v>0</v>
      </c>
      <c r="Y83" s="157" t="n">
        <f aca="false">SUMIFS('Dados Mov Financeira'!$N:$N,'Dados Mov Financeira'!$O:$O,'DRE 2024'!$B83,'Dados Mov Financeira'!$A:$A,'DRE 2024'!Y$1,'Dados Mov Financeira'!$B:$B,'DRE 2024'!Y$2)</f>
        <v>0</v>
      </c>
      <c r="Z83" s="91" t="n">
        <f aca="false">IFERROR(Y83/Y$5,0)</f>
        <v>0</v>
      </c>
      <c r="AA83" s="139" t="n">
        <f aca="false">IFERROR((Y83/V83)-1,0)</f>
        <v>0</v>
      </c>
      <c r="AB83" s="157" t="n">
        <v>0</v>
      </c>
      <c r="AC83" s="91" t="n">
        <f aca="false">IFERROR(AB83/AB$5,0)</f>
        <v>0</v>
      </c>
      <c r="AE83" s="157" t="n">
        <f aca="false">SUMIFS('Dados Mov Financeira'!$N:$N,'Dados Mov Financeira'!$O:$O,'DRE 2024'!$B83,'Dados Mov Financeira'!$A:$A,'DRE 2024'!AE$1,'Dados Mov Financeira'!$B:$B,'DRE 2024'!AE$2)</f>
        <v>0</v>
      </c>
      <c r="AF83" s="91" t="n">
        <f aca="false">IFERROR(AE83/AE$5,0)</f>
        <v>0</v>
      </c>
      <c r="AG83" s="139" t="n">
        <f aca="false">IFERROR((AE83/AB83)-1,0)</f>
        <v>0</v>
      </c>
      <c r="AH83" s="157" t="n">
        <v>0</v>
      </c>
      <c r="AI83" s="91" t="n">
        <f aca="false">IFERROR(AH83/AH$5,0)</f>
        <v>0</v>
      </c>
      <c r="AK83" s="157" t="n">
        <f aca="false">SUMIFS('Dados Mov Financeira'!$N:$N,'Dados Mov Financeira'!$O:$O,'DRE 2024'!$B83,'Dados Mov Financeira'!$A:$A,'DRE 2024'!AK$1,'Dados Mov Financeira'!$B:$B,'DRE 2024'!AK$2)</f>
        <v>0</v>
      </c>
      <c r="AL83" s="91" t="n">
        <f aca="false">IFERROR(AK83/AK$5,0)</f>
        <v>0</v>
      </c>
      <c r="AM83" s="139" t="n">
        <f aca="false">IFERROR((AK83/AH83)-1,0)</f>
        <v>0</v>
      </c>
      <c r="AN83" s="157" t="n">
        <v>0</v>
      </c>
      <c r="AO83" s="91" t="n">
        <f aca="false">IFERROR(AN83/AN$5,0)</f>
        <v>0</v>
      </c>
      <c r="AQ83" s="157" t="n">
        <f aca="false">SUMIFS('Dados Mov Financeira'!$N:$N,'Dados Mov Financeira'!$O:$O,'DRE 2024'!$B83,'Dados Mov Financeira'!$A:$A,'DRE 2024'!AQ$1,'Dados Mov Financeira'!$B:$B,'DRE 2024'!AQ$2)</f>
        <v>0</v>
      </c>
      <c r="AR83" s="91" t="n">
        <f aca="false">IFERROR(AQ83/AQ$5,0)</f>
        <v>0</v>
      </c>
      <c r="AS83" s="139" t="n">
        <f aca="false">IFERROR((AQ83/AN83)-1,0)</f>
        <v>0</v>
      </c>
      <c r="AT83" s="157" t="n">
        <v>0</v>
      </c>
      <c r="AU83" s="91" t="n">
        <f aca="false">IFERROR(AT83/AT$5,0)</f>
        <v>0</v>
      </c>
      <c r="AW83" s="157" t="n">
        <f aca="false">SUMIFS('Dados Mov Financeira'!$N:$N,'Dados Mov Financeira'!$O:$O,'DRE 2024'!$B83,'Dados Mov Financeira'!$A:$A,'DRE 2024'!AW$1,'Dados Mov Financeira'!$B:$B,'DRE 2024'!AW$2)</f>
        <v>0</v>
      </c>
      <c r="AX83" s="91" t="n">
        <f aca="false">IFERROR(AW83/AW$5,0)</f>
        <v>0</v>
      </c>
      <c r="AY83" s="139" t="n">
        <f aca="false">IFERROR((AW83/AT83)-1,0)</f>
        <v>0</v>
      </c>
      <c r="AZ83" s="157" t="n">
        <v>0</v>
      </c>
      <c r="BA83" s="91" t="n">
        <f aca="false">IFERROR(AZ83/AZ$5,0)</f>
        <v>0</v>
      </c>
      <c r="BC83" s="157" t="n">
        <f aca="false">SUMIFS('Dados Mov Financeira'!$N:$N,'Dados Mov Financeira'!$O:$O,'DRE 2024'!$B83,'Dados Mov Financeira'!$A:$A,'DRE 2024'!BC$1,'Dados Mov Financeira'!$B:$B,'DRE 2024'!BC$2)</f>
        <v>0</v>
      </c>
      <c r="BD83" s="91" t="n">
        <f aca="false">IFERROR(BC83/BC$5,0)</f>
        <v>0</v>
      </c>
      <c r="BE83" s="139" t="n">
        <f aca="false">IFERROR((BC83/AZ83)-1,0)</f>
        <v>0</v>
      </c>
      <c r="BF83" s="157" t="n">
        <v>0</v>
      </c>
      <c r="BG83" s="91" t="n">
        <f aca="false">IFERROR(BF83/BF$5,0)</f>
        <v>0</v>
      </c>
      <c r="BI83" s="157" t="n">
        <f aca="false">SUMIFS('Dados Mov Financeira'!$N:$N,'Dados Mov Financeira'!$O:$O,'DRE 2024'!$B83,'Dados Mov Financeira'!$A:$A,'DRE 2024'!BI$1,'Dados Mov Financeira'!$B:$B,'DRE 2024'!BI$2)</f>
        <v>0</v>
      </c>
      <c r="BJ83" s="91" t="n">
        <f aca="false">IFERROR(BI83/BI$5,0)</f>
        <v>0</v>
      </c>
      <c r="BK83" s="139" t="n">
        <f aca="false">IFERROR((BI83/BF83)-1,0)</f>
        <v>0</v>
      </c>
      <c r="BL83" s="157" t="n">
        <v>0</v>
      </c>
      <c r="BM83" s="91" t="n">
        <f aca="false">IFERROR(BL83/BL$5,0)</f>
        <v>0</v>
      </c>
      <c r="BO83" s="157" t="n">
        <f aca="false">SUMIFS('Dados Mov Financeira'!$N:$N,'Dados Mov Financeira'!$O:$O,'DRE 2024'!$B83,'Dados Mov Financeira'!$A:$A,'DRE 2024'!BO$1,'Dados Mov Financeira'!$B:$B,'DRE 2024'!BO$2)</f>
        <v>0</v>
      </c>
      <c r="BP83" s="91" t="n">
        <f aca="false">IFERROR(BO83/BO$5,0)</f>
        <v>0</v>
      </c>
      <c r="BQ83" s="139" t="n">
        <f aca="false">IFERROR((BO83/BL83)-1,0)</f>
        <v>0</v>
      </c>
      <c r="BR83" s="157" t="n">
        <v>0</v>
      </c>
      <c r="BS83" s="91" t="n">
        <f aca="false">IFERROR(BR83/BR$5,0)</f>
        <v>0</v>
      </c>
      <c r="BT83" s="171"/>
      <c r="BU83" s="157" t="n">
        <f aca="false">SUMIFS('Dados Mov Financeira'!$N:$N,'Dados Mov Financeira'!$O:$O,'DRE 2024'!$B83,'Dados Mov Financeira'!$A:$A,'DRE 2024'!BU$1,'Dados Mov Financeira'!$B:$B,'DRE 2024'!BU$2)</f>
        <v>0</v>
      </c>
      <c r="BV83" s="91" t="n">
        <f aca="false">IFERROR(BU83/BU$5,0)</f>
        <v>0</v>
      </c>
      <c r="BW83" s="139" t="n">
        <f aca="false">IFERROR((BU83/BR83)-1,0)</f>
        <v>0</v>
      </c>
      <c r="BX83" s="172" t="n">
        <f aca="false">SUM(D83,J83,P83,V83,AB83,AH83,AN83,AT83,AZ83,BF83,BL83,BR83)</f>
        <v>0</v>
      </c>
      <c r="BY83" s="91" t="n">
        <f aca="false">IFERROR(BX83/BX$5,0)</f>
        <v>0</v>
      </c>
      <c r="CA83" s="172" t="n">
        <f aca="false">SUM(G83,M83,S83,Y83,AE83,AK83,AQ83,AW83,BC83,BI83,BO83,BU83)</f>
        <v>0</v>
      </c>
      <c r="CB83" s="91" t="n">
        <f aca="false">IFERROR(CA83/CA$5,0)</f>
        <v>0</v>
      </c>
      <c r="CC83" s="139" t="n">
        <f aca="false">IFERROR((CA83/BX83)-1,0)</f>
        <v>0</v>
      </c>
      <c r="CE83" s="157" t="n">
        <f aca="false">BX83/$CF$1</f>
        <v>0</v>
      </c>
      <c r="CF83" s="94" t="n">
        <f aca="false">IFERROR(CE83/CE$5,0)</f>
        <v>0</v>
      </c>
      <c r="CH83" s="157" t="n">
        <f aca="false">CA83/$CI$1</f>
        <v>0</v>
      </c>
      <c r="CI83" s="94" t="n">
        <f aca="false">IFERROR(CH83/CH$5,0)</f>
        <v>0</v>
      </c>
    </row>
    <row r="84" customFormat="false" ht="14.25" hidden="false" customHeight="false" outlineLevel="1" collapsed="false">
      <c r="B84" s="169" t="s">
        <v>115</v>
      </c>
      <c r="D84" s="157" t="n">
        <v>-675</v>
      </c>
      <c r="E84" s="91" t="n">
        <f aca="false">IFERROR(D84/D$5,0)</f>
        <v>-0.0084375</v>
      </c>
      <c r="G84" s="157" t="n">
        <f aca="false">SUMIFS('Dados Mov Financeira'!$N:$N,'Dados Mov Financeira'!$O:$O,'DRE 2024'!$B84,'Dados Mov Financeira'!$A:$A,'DRE 2024'!G$1,'Dados Mov Financeira'!$B:$B,'DRE 2024'!G$2)</f>
        <v>0</v>
      </c>
      <c r="H84" s="91" t="n">
        <f aca="false">IFERROR(G84/G$5,0)</f>
        <v>0</v>
      </c>
      <c r="I84" s="138" t="n">
        <f aca="false">IFERROR((G84/D84)-1,0)</f>
        <v>-1</v>
      </c>
      <c r="J84" s="157" t="n">
        <v>-675</v>
      </c>
      <c r="K84" s="91" t="n">
        <f aca="false">IFERROR(J84/J$5,0)</f>
        <v>-0.00794117647058823</v>
      </c>
      <c r="M84" s="157" t="n">
        <f aca="false">SUMIFS('Dados Mov Financeira'!$N:$N,'Dados Mov Financeira'!$O:$O,'DRE 2024'!$B84,'Dados Mov Financeira'!$A:$A,'DRE 2024'!M$1,'Dados Mov Financeira'!$B:$B,'DRE 2024'!M$2)</f>
        <v>0</v>
      </c>
      <c r="N84" s="91" t="n">
        <f aca="false">IFERROR(M84/M$5,0)</f>
        <v>0</v>
      </c>
      <c r="O84" s="139" t="n">
        <f aca="false">IFERROR((M84/J84)-1,0)</f>
        <v>-1</v>
      </c>
      <c r="P84" s="157" t="n">
        <v>-675</v>
      </c>
      <c r="Q84" s="91" t="n">
        <f aca="false">IFERROR(P84/P$5,0)</f>
        <v>-0.0075</v>
      </c>
      <c r="S84" s="157" t="n">
        <f aca="false">SUMIFS('Dados Mov Financeira'!$N:$N,'Dados Mov Financeira'!$O:$O,'DRE 2024'!$B84,'Dados Mov Financeira'!$A:$A,'DRE 2024'!S$1,'Dados Mov Financeira'!$B:$B,'DRE 2024'!S$2)</f>
        <v>0</v>
      </c>
      <c r="T84" s="91" t="n">
        <f aca="false">IFERROR(S84/S$5,0)</f>
        <v>0</v>
      </c>
      <c r="U84" s="139" t="n">
        <f aca="false">IFERROR((S84/P84)-1,0)</f>
        <v>-1</v>
      </c>
      <c r="V84" s="157" t="n">
        <v>-675</v>
      </c>
      <c r="W84" s="91" t="n">
        <f aca="false">IFERROR(V84/V$5,0)</f>
        <v>-0.00675</v>
      </c>
      <c r="Y84" s="173" t="n">
        <f aca="false">SUMIFS('Dados Mov Financeira'!$N:$N,'Dados Mov Financeira'!$O:$O,'DRE 2024'!$B84,'Dados Mov Financeira'!$A:$A,'DRE 2024'!Y$1,'Dados Mov Financeira'!$B:$B,'DRE 2024'!Y$2)</f>
        <v>0</v>
      </c>
      <c r="Z84" s="91" t="n">
        <f aca="false">IFERROR(Y84/Y$5,0)</f>
        <v>0</v>
      </c>
      <c r="AA84" s="139" t="n">
        <f aca="false">IFERROR((Y84/V84)-1,0)</f>
        <v>-1</v>
      </c>
      <c r="AB84" s="157" t="n">
        <v>-675</v>
      </c>
      <c r="AC84" s="91" t="n">
        <f aca="false">IFERROR(AB84/AB$5,0)</f>
        <v>-0.00613636363636364</v>
      </c>
      <c r="AE84" s="157" t="n">
        <f aca="false">SUMIFS('Dados Mov Financeira'!$N:$N,'Dados Mov Financeira'!$O:$O,'DRE 2024'!$B84,'Dados Mov Financeira'!$A:$A,'DRE 2024'!AE$1,'Dados Mov Financeira'!$B:$B,'DRE 2024'!AE$2)</f>
        <v>0</v>
      </c>
      <c r="AF84" s="91" t="n">
        <f aca="false">IFERROR(AE84/AE$5,0)</f>
        <v>0</v>
      </c>
      <c r="AG84" s="139" t="n">
        <f aca="false">IFERROR((AE84/AB84)-1,0)</f>
        <v>-1</v>
      </c>
      <c r="AH84" s="157" t="n">
        <v>-675</v>
      </c>
      <c r="AI84" s="91" t="n">
        <f aca="false">IFERROR(AH84/AH$5,0)</f>
        <v>-0.005625</v>
      </c>
      <c r="AK84" s="157" t="n">
        <f aca="false">SUMIFS('Dados Mov Financeira'!$N:$N,'Dados Mov Financeira'!$O:$O,'DRE 2024'!$B84,'Dados Mov Financeira'!$A:$A,'DRE 2024'!AK$1,'Dados Mov Financeira'!$B:$B,'DRE 2024'!AK$2)</f>
        <v>0</v>
      </c>
      <c r="AL84" s="91" t="n">
        <f aca="false">IFERROR(AK84/AK$5,0)</f>
        <v>0</v>
      </c>
      <c r="AM84" s="139" t="n">
        <f aca="false">IFERROR((AK84/AH84)-1,0)</f>
        <v>-1</v>
      </c>
      <c r="AN84" s="157" t="n">
        <v>-675</v>
      </c>
      <c r="AO84" s="91" t="n">
        <f aca="false">IFERROR(AN84/AN$5,0)</f>
        <v>-0.00519230769230769</v>
      </c>
      <c r="AQ84" s="157" t="n">
        <f aca="false">SUMIFS('Dados Mov Financeira'!$N:$N,'Dados Mov Financeira'!$O:$O,'DRE 2024'!$B84,'Dados Mov Financeira'!$A:$A,'DRE 2024'!AQ$1,'Dados Mov Financeira'!$B:$B,'DRE 2024'!AQ$2)</f>
        <v>0</v>
      </c>
      <c r="AR84" s="91" t="n">
        <f aca="false">IFERROR(AQ84/AQ$5,0)</f>
        <v>0</v>
      </c>
      <c r="AS84" s="139" t="n">
        <f aca="false">IFERROR((AQ84/AN84)-1,0)</f>
        <v>-1</v>
      </c>
      <c r="AT84" s="157" t="n">
        <v>-675</v>
      </c>
      <c r="AU84" s="91" t="n">
        <f aca="false">IFERROR(AT84/AT$5,0)</f>
        <v>-0.00482142857142857</v>
      </c>
      <c r="AW84" s="157" t="n">
        <f aca="false">SUMIFS('Dados Mov Financeira'!$N:$N,'Dados Mov Financeira'!$O:$O,'DRE 2024'!$B84,'Dados Mov Financeira'!$A:$A,'DRE 2024'!AW$1,'Dados Mov Financeira'!$B:$B,'DRE 2024'!AW$2)</f>
        <v>0</v>
      </c>
      <c r="AX84" s="91" t="n">
        <f aca="false">IFERROR(AW84/AW$5,0)</f>
        <v>0</v>
      </c>
      <c r="AY84" s="139" t="n">
        <f aca="false">IFERROR((AW84/AT84)-1,0)</f>
        <v>-1</v>
      </c>
      <c r="AZ84" s="157" t="n">
        <v>-675</v>
      </c>
      <c r="BA84" s="91" t="n">
        <f aca="false">IFERROR(AZ84/AZ$5,0)</f>
        <v>-0.0045</v>
      </c>
      <c r="BC84" s="157" t="n">
        <f aca="false">SUMIFS('Dados Mov Financeira'!$N:$N,'Dados Mov Financeira'!$O:$O,'DRE 2024'!$B84,'Dados Mov Financeira'!$A:$A,'DRE 2024'!BC$1,'Dados Mov Financeira'!$B:$B,'DRE 2024'!BC$2)</f>
        <v>0</v>
      </c>
      <c r="BD84" s="91" t="n">
        <f aca="false">IFERROR(BC84/BC$5,0)</f>
        <v>0</v>
      </c>
      <c r="BE84" s="139" t="n">
        <f aca="false">IFERROR((BC84/AZ84)-1,0)</f>
        <v>-1</v>
      </c>
      <c r="BF84" s="157" t="n">
        <v>-675</v>
      </c>
      <c r="BG84" s="91" t="n">
        <f aca="false">IFERROR(BF84/BF$5,0)</f>
        <v>-0.0045</v>
      </c>
      <c r="BI84" s="157" t="n">
        <f aca="false">SUMIFS('Dados Mov Financeira'!$N:$N,'Dados Mov Financeira'!$O:$O,'DRE 2024'!$B84,'Dados Mov Financeira'!$A:$A,'DRE 2024'!BI$1,'Dados Mov Financeira'!$B:$B,'DRE 2024'!BI$2)</f>
        <v>0</v>
      </c>
      <c r="BJ84" s="91" t="n">
        <f aca="false">IFERROR(BI84/BI$5,0)</f>
        <v>0</v>
      </c>
      <c r="BK84" s="139" t="n">
        <f aca="false">IFERROR((BI84/BF84)-1,0)</f>
        <v>-1</v>
      </c>
      <c r="BL84" s="157" t="n">
        <v>-675</v>
      </c>
      <c r="BM84" s="91" t="n">
        <f aca="false">IFERROR(BL84/BL$5,0)</f>
        <v>-0.0045</v>
      </c>
      <c r="BO84" s="157" t="n">
        <f aca="false">SUMIFS('Dados Mov Financeira'!$N:$N,'Dados Mov Financeira'!$O:$O,'DRE 2024'!$B84,'Dados Mov Financeira'!$A:$A,'DRE 2024'!BO$1,'Dados Mov Financeira'!$B:$B,'DRE 2024'!BO$2)</f>
        <v>0</v>
      </c>
      <c r="BP84" s="91" t="n">
        <f aca="false">IFERROR(BO84/BO$5,0)</f>
        <v>0</v>
      </c>
      <c r="BQ84" s="139" t="n">
        <f aca="false">IFERROR((BO84/BL84)-1,0)</f>
        <v>-1</v>
      </c>
      <c r="BR84" s="157" t="n">
        <v>-675</v>
      </c>
      <c r="BS84" s="91" t="n">
        <f aca="false">IFERROR(BR84/BR$5,0)</f>
        <v>-0.0045</v>
      </c>
      <c r="BT84" s="171"/>
      <c r="BU84" s="157" t="n">
        <f aca="false">SUMIFS('Dados Mov Financeira'!$N:$N,'Dados Mov Financeira'!$O:$O,'DRE 2024'!$B84,'Dados Mov Financeira'!$A:$A,'DRE 2024'!BU$1,'Dados Mov Financeira'!$B:$B,'DRE 2024'!BU$2)</f>
        <v>0</v>
      </c>
      <c r="BV84" s="91" t="n">
        <f aca="false">IFERROR(BU84/BU$5,0)</f>
        <v>0</v>
      </c>
      <c r="BW84" s="139" t="n">
        <f aca="false">IFERROR((BU84/BR84)-1,0)</f>
        <v>-1</v>
      </c>
      <c r="BX84" s="172" t="n">
        <f aca="false">SUM(D84,J84,P84,V84,AB84,AH84,AN84,AT84,AZ84,BF84,BL84,BR84)</f>
        <v>-8100</v>
      </c>
      <c r="BY84" s="91" t="n">
        <f aca="false">IFERROR(BX84/BX$5,0)</f>
        <v>-0.00556701030927835</v>
      </c>
      <c r="CA84" s="172" t="n">
        <f aca="false">SUM(G84,M84,S84,Y84,AE84,AK84,AQ84,AW84,BC84,BI84,BO84,BU84)</f>
        <v>0</v>
      </c>
      <c r="CB84" s="91" t="n">
        <f aca="false">IFERROR(CA84/CA$5,0)</f>
        <v>0</v>
      </c>
      <c r="CC84" s="139" t="n">
        <f aca="false">IFERROR((CA84/BX84)-1,0)</f>
        <v>-1</v>
      </c>
      <c r="CE84" s="157" t="n">
        <f aca="false">BX84/$CF$1</f>
        <v>-675</v>
      </c>
      <c r="CF84" s="94" t="n">
        <f aca="false">IFERROR(CE84/CE$5,0)</f>
        <v>-0.00556701030927835</v>
      </c>
      <c r="CH84" s="157" t="n">
        <f aca="false">CA84/$CI$1</f>
        <v>0</v>
      </c>
      <c r="CI84" s="94" t="n">
        <f aca="false">IFERROR(CH84/CH$5,0)</f>
        <v>0</v>
      </c>
    </row>
    <row r="85" s="150" customFormat="true" ht="14.25" hidden="false" customHeight="false" outlineLevel="0" collapsed="false">
      <c r="B85" s="190" t="s">
        <v>116</v>
      </c>
      <c r="C85" s="187"/>
      <c r="D85" s="157" t="n">
        <f aca="false">SUM(D86:D88)</f>
        <v>-1599.72</v>
      </c>
      <c r="E85" s="88" t="n">
        <f aca="false">IFERROR(D85/D$5,0)</f>
        <v>-0.0199965</v>
      </c>
      <c r="F85" s="187"/>
      <c r="G85" s="157" t="n">
        <f aca="false">SUM(G86:G88)</f>
        <v>0</v>
      </c>
      <c r="H85" s="88" t="n">
        <f aca="false">IFERROR(G85/G$5,0)</f>
        <v>0</v>
      </c>
      <c r="I85" s="138" t="n">
        <f aca="false">IFERROR((G85/D85)-1,0)</f>
        <v>-1</v>
      </c>
      <c r="J85" s="157" t="n">
        <f aca="false">SUM(J86:J88)</f>
        <v>-1599.72</v>
      </c>
      <c r="K85" s="88" t="n">
        <f aca="false">IFERROR(J85/J$5,0)</f>
        <v>-0.0188202352941176</v>
      </c>
      <c r="L85" s="187"/>
      <c r="M85" s="157" t="n">
        <f aca="false">SUM(M86:M88)</f>
        <v>0</v>
      </c>
      <c r="N85" s="88" t="n">
        <f aca="false">IFERROR(M85/M$5,0)</f>
        <v>0</v>
      </c>
      <c r="O85" s="139" t="n">
        <f aca="false">IFERROR((M85/J85)-1,0)</f>
        <v>-1</v>
      </c>
      <c r="P85" s="157" t="n">
        <f aca="false">SUM(P86:P88)</f>
        <v>-1599.72</v>
      </c>
      <c r="Q85" s="88" t="n">
        <f aca="false">IFERROR(P85/P$5,0)</f>
        <v>-0.0177746666666667</v>
      </c>
      <c r="R85" s="187"/>
      <c r="S85" s="157" t="n">
        <f aca="false">SUM(S86:S88)</f>
        <v>0</v>
      </c>
      <c r="T85" s="88" t="n">
        <f aca="false">IFERROR(S85/S$5,0)</f>
        <v>0</v>
      </c>
      <c r="U85" s="139" t="n">
        <f aca="false">IFERROR((S85/P85)-1,0)</f>
        <v>-1</v>
      </c>
      <c r="V85" s="157" t="n">
        <f aca="false">SUM(V86:V88)</f>
        <v>-1599.72</v>
      </c>
      <c r="W85" s="88" t="n">
        <f aca="false">IFERROR(V85/V$5,0)</f>
        <v>-0.0159972</v>
      </c>
      <c r="X85" s="187"/>
      <c r="Y85" s="157" t="n">
        <f aca="false">SUM(Y86:Y88)</f>
        <v>0</v>
      </c>
      <c r="Z85" s="88" t="n">
        <f aca="false">IFERROR(Y85/Y$5,0)</f>
        <v>0</v>
      </c>
      <c r="AA85" s="139" t="n">
        <f aca="false">IFERROR((Y85/V85)-1,0)</f>
        <v>-1</v>
      </c>
      <c r="AB85" s="157" t="n">
        <f aca="false">SUM(AB86:AB88)</f>
        <v>-1599.72</v>
      </c>
      <c r="AC85" s="88" t="n">
        <f aca="false">IFERROR(AB85/AB$5,0)</f>
        <v>-0.0145429090909091</v>
      </c>
      <c r="AD85" s="187"/>
      <c r="AE85" s="157" t="n">
        <f aca="false">SUM(AE86:AE88)</f>
        <v>0</v>
      </c>
      <c r="AF85" s="88" t="n">
        <f aca="false">IFERROR(AE85/AE$5,0)</f>
        <v>0</v>
      </c>
      <c r="AG85" s="139" t="n">
        <f aca="false">IFERROR((AE85/AB85)-1,0)</f>
        <v>-1</v>
      </c>
      <c r="AH85" s="157" t="n">
        <f aca="false">SUM(AH86:AH88)</f>
        <v>-1599.72</v>
      </c>
      <c r="AI85" s="88" t="n">
        <f aca="false">IFERROR(AH85/AH$5,0)</f>
        <v>-0.013331</v>
      </c>
      <c r="AJ85" s="187"/>
      <c r="AK85" s="157" t="n">
        <f aca="false">SUM(AK86:AK88)</f>
        <v>0</v>
      </c>
      <c r="AL85" s="88" t="n">
        <f aca="false">IFERROR(AK85/AK$5,0)</f>
        <v>0</v>
      </c>
      <c r="AM85" s="139" t="n">
        <f aca="false">IFERROR((AK85/AH85)-1,0)</f>
        <v>-1</v>
      </c>
      <c r="AN85" s="157" t="n">
        <f aca="false">SUM(AN86:AN88)</f>
        <v>-1599.72</v>
      </c>
      <c r="AO85" s="88" t="n">
        <f aca="false">IFERROR(AN85/AN$5,0)</f>
        <v>-0.0123055384615385</v>
      </c>
      <c r="AP85" s="187"/>
      <c r="AQ85" s="157" t="n">
        <f aca="false">SUM(AQ86:AQ88)</f>
        <v>0</v>
      </c>
      <c r="AR85" s="88" t="n">
        <f aca="false">IFERROR(AQ85/AQ$5,0)</f>
        <v>0</v>
      </c>
      <c r="AS85" s="139" t="n">
        <f aca="false">IFERROR((AQ85/AN85)-1,0)</f>
        <v>-1</v>
      </c>
      <c r="AT85" s="157" t="n">
        <f aca="false">SUM(AT86:AT88)</f>
        <v>-1599.72</v>
      </c>
      <c r="AU85" s="88" t="n">
        <f aca="false">IFERROR(AT85/AT$5,0)</f>
        <v>-0.0114265714285714</v>
      </c>
      <c r="AV85" s="187"/>
      <c r="AW85" s="157" t="n">
        <f aca="false">SUM(AW86:AW88)</f>
        <v>0</v>
      </c>
      <c r="AX85" s="88" t="n">
        <f aca="false">IFERROR(AW85/AW$5,0)</f>
        <v>0</v>
      </c>
      <c r="AY85" s="139" t="n">
        <f aca="false">IFERROR((AW85/AT85)-1,0)</f>
        <v>-1</v>
      </c>
      <c r="AZ85" s="157" t="n">
        <f aca="false">SUM(AZ86:AZ88)</f>
        <v>-1599.72</v>
      </c>
      <c r="BA85" s="88" t="n">
        <f aca="false">IFERROR(AZ85/AZ$5,0)</f>
        <v>-0.0106648</v>
      </c>
      <c r="BB85" s="187"/>
      <c r="BC85" s="157" t="n">
        <f aca="false">SUM(BC86:BC88)</f>
        <v>0</v>
      </c>
      <c r="BD85" s="88" t="n">
        <f aca="false">IFERROR(BC85/BC$5,0)</f>
        <v>0</v>
      </c>
      <c r="BE85" s="139" t="n">
        <f aca="false">IFERROR((BC85/AZ85)-1,0)</f>
        <v>-1</v>
      </c>
      <c r="BF85" s="157" t="n">
        <f aca="false">SUM(BF86:BF88)</f>
        <v>-1599.72</v>
      </c>
      <c r="BG85" s="88" t="n">
        <f aca="false">IFERROR(BF85/BF$5,0)</f>
        <v>-0.0106648</v>
      </c>
      <c r="BH85" s="187"/>
      <c r="BI85" s="157" t="n">
        <f aca="false">SUM(BI86:BI88)</f>
        <v>0</v>
      </c>
      <c r="BJ85" s="88" t="n">
        <f aca="false">IFERROR(BI85/BI$5,0)</f>
        <v>0</v>
      </c>
      <c r="BK85" s="139" t="n">
        <f aca="false">IFERROR((BI85/BF85)-1,0)</f>
        <v>-1</v>
      </c>
      <c r="BL85" s="157" t="n">
        <f aca="false">SUM(BL86:BL88)</f>
        <v>-1599.72</v>
      </c>
      <c r="BM85" s="88" t="n">
        <f aca="false">IFERROR(BL85/BL$5,0)</f>
        <v>-0.0106648</v>
      </c>
      <c r="BN85" s="187"/>
      <c r="BO85" s="157" t="n">
        <f aca="false">SUM(BO86:BO88)</f>
        <v>0</v>
      </c>
      <c r="BP85" s="88" t="n">
        <f aca="false">IFERROR(BO85/BO$5,0)</f>
        <v>0</v>
      </c>
      <c r="BQ85" s="139" t="n">
        <f aca="false">IFERROR((BO85/BL85)-1,0)</f>
        <v>-1</v>
      </c>
      <c r="BR85" s="157" t="n">
        <f aca="false">SUM(BR86:BR88)</f>
        <v>-1599.72</v>
      </c>
      <c r="BS85" s="88" t="n">
        <f aca="false">IFERROR(BR85/BR$5,0)</f>
        <v>-0.0106648</v>
      </c>
      <c r="BT85" s="158"/>
      <c r="BU85" s="157" t="n">
        <f aca="false">SUM(BU86:BU88)</f>
        <v>0</v>
      </c>
      <c r="BV85" s="88" t="n">
        <f aca="false">IFERROR(BU85/BU$5,0)</f>
        <v>0</v>
      </c>
      <c r="BW85" s="139" t="n">
        <f aca="false">IFERROR((BU85/BR85)-1,0)</f>
        <v>-1</v>
      </c>
      <c r="BX85" s="157" t="n">
        <f aca="false">SUM(D85,J85,P85,V85,AB85,AH85,AN85,AT85,AZ85,BF85,BL85,BR85)</f>
        <v>-19196.64</v>
      </c>
      <c r="BY85" s="88" t="n">
        <f aca="false">IFERROR(BX85/BX$5,0)</f>
        <v>-0.0131935670103093</v>
      </c>
      <c r="BZ85" s="187"/>
      <c r="CA85" s="157" t="n">
        <f aca="false">SUM(G85,M85,S85,Y85,AE85,AK85,AQ85,AW85,BC85,BI85,BO85,BU85)</f>
        <v>0</v>
      </c>
      <c r="CB85" s="88" t="n">
        <f aca="false">IFERROR(CA85/CA$5,0)</f>
        <v>0</v>
      </c>
      <c r="CC85" s="139" t="n">
        <f aca="false">IFERROR((CA85/BX85)-1,0)</f>
        <v>-1</v>
      </c>
      <c r="CD85" s="187"/>
      <c r="CE85" s="157" t="n">
        <f aca="false">BX85/$CF$1</f>
        <v>-1599.72</v>
      </c>
      <c r="CF85" s="76" t="n">
        <f aca="false">IFERROR(CE85/CE$5,0)</f>
        <v>-0.0131935670103093</v>
      </c>
      <c r="CG85" s="187"/>
      <c r="CH85" s="157" t="n">
        <f aca="false">CA85/$CI$1</f>
        <v>0</v>
      </c>
      <c r="CI85" s="76" t="n">
        <f aca="false">IFERROR(CH85/CH$5,0)</f>
        <v>0</v>
      </c>
    </row>
    <row r="86" customFormat="false" ht="14.25" hidden="false" customHeight="false" outlineLevel="1" collapsed="false">
      <c r="B86" s="169" t="s">
        <v>117</v>
      </c>
      <c r="C86" s="176"/>
      <c r="D86" s="157" t="n">
        <v>-99.72</v>
      </c>
      <c r="E86" s="91" t="n">
        <f aca="false">IFERROR(D86/D$5,0)</f>
        <v>-0.0012465</v>
      </c>
      <c r="F86" s="176"/>
      <c r="G86" s="157" t="n">
        <f aca="false">SUMIFS('Dados Mov Financeira'!$N:$N,'Dados Mov Financeira'!$O:$O,'DRE 2024'!$B86,'Dados Mov Financeira'!$A:$A,'DRE 2024'!G$1,'Dados Mov Financeira'!$B:$B,'DRE 2024'!G$2)</f>
        <v>0</v>
      </c>
      <c r="H86" s="91" t="n">
        <f aca="false">IFERROR(G86/G$5,0)</f>
        <v>0</v>
      </c>
      <c r="I86" s="138" t="n">
        <f aca="false">IFERROR((G86/D86)-1,0)</f>
        <v>-1</v>
      </c>
      <c r="J86" s="157" t="n">
        <v>-99.72</v>
      </c>
      <c r="K86" s="91" t="n">
        <f aca="false">IFERROR(J86/J$5,0)</f>
        <v>-0.00117317647058824</v>
      </c>
      <c r="L86" s="176"/>
      <c r="M86" s="157" t="n">
        <f aca="false">SUMIFS('Dados Mov Financeira'!$N:$N,'Dados Mov Financeira'!$O:$O,'DRE 2024'!$B86,'Dados Mov Financeira'!$A:$A,'DRE 2024'!M$1,'Dados Mov Financeira'!$B:$B,'DRE 2024'!M$2)</f>
        <v>0</v>
      </c>
      <c r="N86" s="91" t="n">
        <f aca="false">IFERROR(M86/M$5,0)</f>
        <v>0</v>
      </c>
      <c r="O86" s="139" t="n">
        <f aca="false">IFERROR((M86/J86)-1,0)</f>
        <v>-1</v>
      </c>
      <c r="P86" s="157" t="n">
        <v>-99.72</v>
      </c>
      <c r="Q86" s="91" t="n">
        <f aca="false">IFERROR(P86/P$5,0)</f>
        <v>-0.001108</v>
      </c>
      <c r="R86" s="176"/>
      <c r="S86" s="157" t="n">
        <f aca="false">SUMIFS('Dados Mov Financeira'!$N:$N,'Dados Mov Financeira'!$O:$O,'DRE 2024'!$B86,'Dados Mov Financeira'!$A:$A,'DRE 2024'!S$1,'Dados Mov Financeira'!$B:$B,'DRE 2024'!S$2)</f>
        <v>0</v>
      </c>
      <c r="T86" s="91" t="n">
        <f aca="false">IFERROR(S86/S$5,0)</f>
        <v>0</v>
      </c>
      <c r="U86" s="139" t="n">
        <f aca="false">IFERROR((S86/P86)-1,0)</f>
        <v>-1</v>
      </c>
      <c r="V86" s="157" t="n">
        <v>-99.72</v>
      </c>
      <c r="W86" s="91" t="n">
        <f aca="false">IFERROR(V86/V$5,0)</f>
        <v>-0.0009972</v>
      </c>
      <c r="X86" s="176"/>
      <c r="Y86" s="157" t="n">
        <f aca="false">SUMIFS('Dados Mov Financeira'!$N:$N,'Dados Mov Financeira'!$O:$O,'DRE 2024'!$B86,'Dados Mov Financeira'!$A:$A,'DRE 2024'!Y$1,'Dados Mov Financeira'!$B:$B,'DRE 2024'!Y$2)</f>
        <v>0</v>
      </c>
      <c r="Z86" s="91" t="n">
        <f aca="false">IFERROR(Y86/Y$5,0)</f>
        <v>0</v>
      </c>
      <c r="AA86" s="139" t="n">
        <f aca="false">IFERROR((Y86/V86)-1,0)</f>
        <v>-1</v>
      </c>
      <c r="AB86" s="157" t="n">
        <v>-99.72</v>
      </c>
      <c r="AC86" s="91" t="n">
        <f aca="false">IFERROR(AB86/AB$5,0)</f>
        <v>-0.000906545454545455</v>
      </c>
      <c r="AD86" s="176"/>
      <c r="AE86" s="157" t="n">
        <f aca="false">SUMIFS('Dados Mov Financeira'!$N:$N,'Dados Mov Financeira'!$O:$O,'DRE 2024'!$B86,'Dados Mov Financeira'!$A:$A,'DRE 2024'!AE$1,'Dados Mov Financeira'!$B:$B,'DRE 2024'!AE$2)</f>
        <v>0</v>
      </c>
      <c r="AF86" s="91" t="n">
        <f aca="false">IFERROR(AE86/AE$5,0)</f>
        <v>0</v>
      </c>
      <c r="AG86" s="139" t="n">
        <f aca="false">IFERROR((AE86/AB86)-1,0)</f>
        <v>-1</v>
      </c>
      <c r="AH86" s="157" t="n">
        <v>-99.72</v>
      </c>
      <c r="AI86" s="91" t="n">
        <f aca="false">IFERROR(AH86/AH$5,0)</f>
        <v>-0.000831</v>
      </c>
      <c r="AJ86" s="176"/>
      <c r="AK86" s="157" t="n">
        <f aca="false">SUMIFS('Dados Mov Financeira'!$N:$N,'Dados Mov Financeira'!$O:$O,'DRE 2024'!$B86,'Dados Mov Financeira'!$A:$A,'DRE 2024'!AK$1,'Dados Mov Financeira'!$B:$B,'DRE 2024'!AK$2)</f>
        <v>0</v>
      </c>
      <c r="AL86" s="91" t="n">
        <f aca="false">IFERROR(AK86/AK$5,0)</f>
        <v>0</v>
      </c>
      <c r="AM86" s="139" t="n">
        <f aca="false">IFERROR((AK86/AH86)-1,0)</f>
        <v>-1</v>
      </c>
      <c r="AN86" s="157" t="n">
        <v>-99.72</v>
      </c>
      <c r="AO86" s="91" t="n">
        <f aca="false">IFERROR(AN86/AN$5,0)</f>
        <v>-0.000767076923076923</v>
      </c>
      <c r="AP86" s="176"/>
      <c r="AQ86" s="157" t="n">
        <f aca="false">SUMIFS('Dados Mov Financeira'!$N:$N,'Dados Mov Financeira'!$O:$O,'DRE 2024'!$B86,'Dados Mov Financeira'!$A:$A,'DRE 2024'!AQ$1,'Dados Mov Financeira'!$B:$B,'DRE 2024'!AQ$2)</f>
        <v>0</v>
      </c>
      <c r="AR86" s="91" t="n">
        <f aca="false">IFERROR(AQ86/AQ$5,0)</f>
        <v>0</v>
      </c>
      <c r="AS86" s="139" t="n">
        <f aca="false">IFERROR((AQ86/AN86)-1,0)</f>
        <v>-1</v>
      </c>
      <c r="AT86" s="157" t="n">
        <v>-99.72</v>
      </c>
      <c r="AU86" s="91" t="n">
        <f aca="false">IFERROR(AT86/AT$5,0)</f>
        <v>-0.000712285714285714</v>
      </c>
      <c r="AV86" s="176"/>
      <c r="AW86" s="157" t="n">
        <f aca="false">SUMIFS('Dados Mov Financeira'!$N:$N,'Dados Mov Financeira'!$O:$O,'DRE 2024'!$B86,'Dados Mov Financeira'!$A:$A,'DRE 2024'!AW$1,'Dados Mov Financeira'!$B:$B,'DRE 2024'!AW$2)</f>
        <v>0</v>
      </c>
      <c r="AX86" s="91" t="n">
        <f aca="false">IFERROR(AW86/AW$5,0)</f>
        <v>0</v>
      </c>
      <c r="AY86" s="139" t="n">
        <f aca="false">IFERROR((AW86/AT86)-1,0)</f>
        <v>-1</v>
      </c>
      <c r="AZ86" s="157" t="n">
        <v>-99.72</v>
      </c>
      <c r="BA86" s="91" t="n">
        <f aca="false">IFERROR(AZ86/AZ$5,0)</f>
        <v>-0.0006648</v>
      </c>
      <c r="BB86" s="176"/>
      <c r="BC86" s="157" t="n">
        <f aca="false">SUMIFS('Dados Mov Financeira'!$N:$N,'Dados Mov Financeira'!$O:$O,'DRE 2024'!$B86,'Dados Mov Financeira'!$A:$A,'DRE 2024'!BC$1,'Dados Mov Financeira'!$B:$B,'DRE 2024'!BC$2)</f>
        <v>0</v>
      </c>
      <c r="BD86" s="91" t="n">
        <f aca="false">IFERROR(BC86/BC$5,0)</f>
        <v>0</v>
      </c>
      <c r="BE86" s="139" t="n">
        <f aca="false">IFERROR((BC86/AZ86)-1,0)</f>
        <v>-1</v>
      </c>
      <c r="BF86" s="157" t="n">
        <v>-99.72</v>
      </c>
      <c r="BG86" s="91" t="n">
        <f aca="false">IFERROR(BF86/BF$5,0)</f>
        <v>-0.0006648</v>
      </c>
      <c r="BH86" s="176"/>
      <c r="BI86" s="157" t="n">
        <f aca="false">SUMIFS('Dados Mov Financeira'!$N:$N,'Dados Mov Financeira'!$O:$O,'DRE 2024'!$B86,'Dados Mov Financeira'!$A:$A,'DRE 2024'!BI$1,'Dados Mov Financeira'!$B:$B,'DRE 2024'!BI$2)</f>
        <v>0</v>
      </c>
      <c r="BJ86" s="91" t="n">
        <f aca="false">IFERROR(BI86/BI$5,0)</f>
        <v>0</v>
      </c>
      <c r="BK86" s="139" t="n">
        <f aca="false">IFERROR((BI86/BF86)-1,0)</f>
        <v>-1</v>
      </c>
      <c r="BL86" s="157" t="n">
        <v>-99.72</v>
      </c>
      <c r="BM86" s="91" t="n">
        <f aca="false">IFERROR(BL86/BL$5,0)</f>
        <v>-0.0006648</v>
      </c>
      <c r="BN86" s="176"/>
      <c r="BO86" s="157" t="n">
        <f aca="false">SUMIFS('Dados Mov Financeira'!$N:$N,'Dados Mov Financeira'!$O:$O,'DRE 2024'!$B86,'Dados Mov Financeira'!$A:$A,'DRE 2024'!BO$1,'Dados Mov Financeira'!$B:$B,'DRE 2024'!BO$2)</f>
        <v>0</v>
      </c>
      <c r="BP86" s="91" t="n">
        <f aca="false">IFERROR(BO86/BO$5,0)</f>
        <v>0</v>
      </c>
      <c r="BQ86" s="139" t="n">
        <f aca="false">IFERROR((BO86/BL86)-1,0)</f>
        <v>-1</v>
      </c>
      <c r="BR86" s="157" t="n">
        <v>-99.72</v>
      </c>
      <c r="BS86" s="91" t="n">
        <f aca="false">IFERROR(BR86/BR$5,0)</f>
        <v>-0.0006648</v>
      </c>
      <c r="BT86" s="171"/>
      <c r="BU86" s="157" t="n">
        <f aca="false">SUMIFS('Dados Mov Financeira'!$N:$N,'Dados Mov Financeira'!$O:$O,'DRE 2024'!$B86,'Dados Mov Financeira'!$A:$A,'DRE 2024'!BU$1,'Dados Mov Financeira'!$B:$B,'DRE 2024'!BU$2)</f>
        <v>0</v>
      </c>
      <c r="BV86" s="91" t="n">
        <f aca="false">IFERROR(BU86/BU$5,0)</f>
        <v>0</v>
      </c>
      <c r="BW86" s="139" t="n">
        <f aca="false">IFERROR((BU86/BR86)-1,0)</f>
        <v>-1</v>
      </c>
      <c r="BX86" s="172" t="n">
        <f aca="false">SUM(D86,J86,P86,V86,AB86,AH86,AN86,AT86,AZ86,BF86,BL86,BR86)</f>
        <v>-1196.64</v>
      </c>
      <c r="BY86" s="91" t="n">
        <f aca="false">IFERROR(BX86/BX$5,0)</f>
        <v>-0.000822432989690722</v>
      </c>
      <c r="BZ86" s="176"/>
      <c r="CA86" s="172" t="n">
        <f aca="false">SUM(G86,M86,S86,Y86,AE86,AK86,AQ86,AW86,BC86,BI86,BO86,BU86)</f>
        <v>0</v>
      </c>
      <c r="CB86" s="91" t="n">
        <f aca="false">IFERROR(CA86/CA$5,0)</f>
        <v>0</v>
      </c>
      <c r="CC86" s="139" t="n">
        <f aca="false">IFERROR((CA86/BX86)-1,0)</f>
        <v>-1</v>
      </c>
      <c r="CD86" s="176"/>
      <c r="CE86" s="157" t="n">
        <f aca="false">BX86/$CF$1</f>
        <v>-99.72</v>
      </c>
      <c r="CF86" s="94" t="n">
        <f aca="false">IFERROR(CE86/CE$5,0)</f>
        <v>-0.000822432989690722</v>
      </c>
      <c r="CG86" s="176"/>
      <c r="CH86" s="157" t="n">
        <f aca="false">CA86/$CI$1</f>
        <v>0</v>
      </c>
      <c r="CI86" s="94" t="n">
        <f aca="false">IFERROR(CH86/CH$5,0)</f>
        <v>0</v>
      </c>
    </row>
    <row r="87" s="178" customFormat="true" ht="14.25" hidden="false" customHeight="false" outlineLevel="1" collapsed="false">
      <c r="B87" s="179" t="s">
        <v>119</v>
      </c>
      <c r="C87" s="180"/>
      <c r="D87" s="181" t="n">
        <v>-1500</v>
      </c>
      <c r="E87" s="182" t="n">
        <f aca="false">IFERROR(D87/D$5,0)</f>
        <v>-0.01875</v>
      </c>
      <c r="F87" s="180"/>
      <c r="G87" s="181" t="n">
        <f aca="false">SUMIFS('Dados Mov Financeira'!$N:$N,'Dados Mov Financeira'!$O:$O,'DRE 2024'!$B87,'Dados Mov Financeira'!$A:$A,'DRE 2024'!G$1,'Dados Mov Financeira'!$B:$B,'DRE 2024'!G$2)</f>
        <v>0</v>
      </c>
      <c r="H87" s="182" t="n">
        <f aca="false">IFERROR(G87/G$5,0)</f>
        <v>0</v>
      </c>
      <c r="I87" s="138" t="n">
        <f aca="false">IFERROR((G87/D87)-1,0)</f>
        <v>-1</v>
      </c>
      <c r="J87" s="181" t="n">
        <v>-1500</v>
      </c>
      <c r="K87" s="182" t="n">
        <f aca="false">IFERROR(J87/J$5,0)</f>
        <v>-0.0176470588235294</v>
      </c>
      <c r="L87" s="180"/>
      <c r="M87" s="181" t="n">
        <f aca="false">SUMIFS('Dados Mov Financeira'!$N:$N,'Dados Mov Financeira'!$O:$O,'DRE 2024'!$B87,'Dados Mov Financeira'!$A:$A,'DRE 2024'!M$1,'Dados Mov Financeira'!$B:$B,'DRE 2024'!M$2)</f>
        <v>0</v>
      </c>
      <c r="N87" s="182" t="n">
        <f aca="false">IFERROR(M87/M$5,0)</f>
        <v>0</v>
      </c>
      <c r="O87" s="183" t="n">
        <f aca="false">IFERROR((M87/J87)-1,0)</f>
        <v>-1</v>
      </c>
      <c r="P87" s="181" t="n">
        <v>-1500</v>
      </c>
      <c r="Q87" s="182" t="n">
        <f aca="false">IFERROR(P87/P$5,0)</f>
        <v>-0.0166666666666667</v>
      </c>
      <c r="R87" s="180"/>
      <c r="S87" s="181" t="n">
        <f aca="false">SUMIFS('Dados Mov Financeira'!$N:$N,'Dados Mov Financeira'!$O:$O,'DRE 2024'!$B87,'Dados Mov Financeira'!$A:$A,'DRE 2024'!S$1,'Dados Mov Financeira'!$B:$B,'DRE 2024'!S$2)</f>
        <v>0</v>
      </c>
      <c r="T87" s="182" t="n">
        <f aca="false">IFERROR(S87/S$5,0)</f>
        <v>0</v>
      </c>
      <c r="U87" s="183" t="n">
        <f aca="false">IFERROR((S87/P87)-1,0)</f>
        <v>-1</v>
      </c>
      <c r="V87" s="181" t="n">
        <v>-1500</v>
      </c>
      <c r="W87" s="182" t="n">
        <f aca="false">IFERROR(V87/V$5,0)</f>
        <v>-0.015</v>
      </c>
      <c r="X87" s="180"/>
      <c r="Y87" s="181" t="n">
        <f aca="false">SUMIFS('Dados Mov Financeira'!$N:$N,'Dados Mov Financeira'!$O:$O,'DRE 2024'!$B87,'Dados Mov Financeira'!$A:$A,'DRE 2024'!Y$1,'Dados Mov Financeira'!$B:$B,'DRE 2024'!Y$2)</f>
        <v>0</v>
      </c>
      <c r="Z87" s="182" t="n">
        <f aca="false">IFERROR(Y87/Y$5,0)</f>
        <v>0</v>
      </c>
      <c r="AA87" s="183" t="n">
        <f aca="false">IFERROR((Y87/V87)-1,0)</f>
        <v>-1</v>
      </c>
      <c r="AB87" s="181" t="n">
        <v>-1500</v>
      </c>
      <c r="AC87" s="182" t="n">
        <f aca="false">IFERROR(AB87/AB$5,0)</f>
        <v>-0.0136363636363636</v>
      </c>
      <c r="AD87" s="180"/>
      <c r="AE87" s="181" t="n">
        <f aca="false">SUMIFS('Dados Mov Financeira'!$N:$N,'Dados Mov Financeira'!$O:$O,'DRE 2024'!$B87,'Dados Mov Financeira'!$A:$A,'DRE 2024'!AE$1,'Dados Mov Financeira'!$B:$B,'DRE 2024'!AE$2)</f>
        <v>0</v>
      </c>
      <c r="AF87" s="182" t="n">
        <f aca="false">IFERROR(AE87/AE$5,0)</f>
        <v>0</v>
      </c>
      <c r="AG87" s="183" t="n">
        <f aca="false">IFERROR((AE87/AB87)-1,0)</f>
        <v>-1</v>
      </c>
      <c r="AH87" s="181" t="n">
        <v>-1500</v>
      </c>
      <c r="AI87" s="182" t="n">
        <f aca="false">IFERROR(AH87/AH$5,0)</f>
        <v>-0.0125</v>
      </c>
      <c r="AJ87" s="180"/>
      <c r="AK87" s="181" t="n">
        <f aca="false">SUMIFS('Dados Mov Financeira'!$N:$N,'Dados Mov Financeira'!$O:$O,'DRE 2024'!$B87,'Dados Mov Financeira'!$A:$A,'DRE 2024'!AK$1,'Dados Mov Financeira'!$B:$B,'DRE 2024'!AK$2)</f>
        <v>0</v>
      </c>
      <c r="AL87" s="182" t="n">
        <f aca="false">IFERROR(AK87/AK$5,0)</f>
        <v>0</v>
      </c>
      <c r="AM87" s="183" t="n">
        <f aca="false">IFERROR((AK87/AH87)-1,0)</f>
        <v>-1</v>
      </c>
      <c r="AN87" s="181" t="n">
        <v>-1500</v>
      </c>
      <c r="AO87" s="182" t="n">
        <f aca="false">IFERROR(AN87/AN$5,0)</f>
        <v>-0.0115384615384615</v>
      </c>
      <c r="AP87" s="180"/>
      <c r="AQ87" s="181" t="n">
        <f aca="false">SUMIFS('Dados Mov Financeira'!$N:$N,'Dados Mov Financeira'!$O:$O,'DRE 2024'!$B87,'Dados Mov Financeira'!$A:$A,'DRE 2024'!AQ$1,'Dados Mov Financeira'!$B:$B,'DRE 2024'!AQ$2)</f>
        <v>0</v>
      </c>
      <c r="AR87" s="182" t="n">
        <f aca="false">IFERROR(AQ87/AQ$5,0)</f>
        <v>0</v>
      </c>
      <c r="AS87" s="183" t="n">
        <f aca="false">IFERROR((AQ87/AN87)-1,0)</f>
        <v>-1</v>
      </c>
      <c r="AT87" s="181" t="n">
        <v>-1500</v>
      </c>
      <c r="AU87" s="182" t="n">
        <f aca="false">IFERROR(AT87/AT$5,0)</f>
        <v>-0.0107142857142857</v>
      </c>
      <c r="AV87" s="180"/>
      <c r="AW87" s="181" t="n">
        <f aca="false">SUMIFS('Dados Mov Financeira'!$N:$N,'Dados Mov Financeira'!$O:$O,'DRE 2024'!$B87,'Dados Mov Financeira'!$A:$A,'DRE 2024'!AW$1,'Dados Mov Financeira'!$B:$B,'DRE 2024'!AW$2)</f>
        <v>0</v>
      </c>
      <c r="AX87" s="182" t="n">
        <f aca="false">IFERROR(AW87/AW$5,0)</f>
        <v>0</v>
      </c>
      <c r="AY87" s="183" t="n">
        <f aca="false">IFERROR((AW87/AT87)-1,0)</f>
        <v>-1</v>
      </c>
      <c r="AZ87" s="181" t="n">
        <v>-1500</v>
      </c>
      <c r="BA87" s="182" t="n">
        <f aca="false">IFERROR(AZ87/AZ$5,0)</f>
        <v>-0.01</v>
      </c>
      <c r="BB87" s="180"/>
      <c r="BC87" s="181" t="n">
        <f aca="false">SUMIFS('Dados Mov Financeira'!$N:$N,'Dados Mov Financeira'!$O:$O,'DRE 2024'!$B87,'Dados Mov Financeira'!$A:$A,'DRE 2024'!BC$1,'Dados Mov Financeira'!$B:$B,'DRE 2024'!BC$2)</f>
        <v>0</v>
      </c>
      <c r="BD87" s="182" t="n">
        <f aca="false">IFERROR(BC87/BC$5,0)</f>
        <v>0</v>
      </c>
      <c r="BE87" s="183" t="n">
        <f aca="false">IFERROR((BC87/AZ87)-1,0)</f>
        <v>-1</v>
      </c>
      <c r="BF87" s="181" t="n">
        <v>-1500</v>
      </c>
      <c r="BG87" s="182" t="n">
        <f aca="false">IFERROR(BF87/BF$5,0)</f>
        <v>-0.01</v>
      </c>
      <c r="BH87" s="180"/>
      <c r="BI87" s="181" t="n">
        <f aca="false">SUMIFS('Dados Mov Financeira'!$N:$N,'Dados Mov Financeira'!$O:$O,'DRE 2024'!$B87,'Dados Mov Financeira'!$A:$A,'DRE 2024'!BI$1,'Dados Mov Financeira'!$B:$B,'DRE 2024'!BI$2)</f>
        <v>0</v>
      </c>
      <c r="BJ87" s="182" t="n">
        <f aca="false">IFERROR(BI87/BI$5,0)</f>
        <v>0</v>
      </c>
      <c r="BK87" s="183" t="n">
        <f aca="false">IFERROR((BI87/BF87)-1,0)</f>
        <v>-1</v>
      </c>
      <c r="BL87" s="181" t="n">
        <v>-1500</v>
      </c>
      <c r="BM87" s="182" t="n">
        <f aca="false">IFERROR(BL87/BL$5,0)</f>
        <v>-0.01</v>
      </c>
      <c r="BN87" s="180"/>
      <c r="BO87" s="181" t="n">
        <f aca="false">SUMIFS('Dados Mov Financeira'!$N:$N,'Dados Mov Financeira'!$O:$O,'DRE 2024'!$B87,'Dados Mov Financeira'!$A:$A,'DRE 2024'!BO$1,'Dados Mov Financeira'!$B:$B,'DRE 2024'!BO$2)</f>
        <v>0</v>
      </c>
      <c r="BP87" s="182" t="n">
        <f aca="false">IFERROR(BO87/BO$5,0)</f>
        <v>0</v>
      </c>
      <c r="BQ87" s="183" t="n">
        <f aca="false">IFERROR((BO87/BL87)-1,0)</f>
        <v>-1</v>
      </c>
      <c r="BR87" s="181" t="n">
        <v>-1500</v>
      </c>
      <c r="BS87" s="182" t="n">
        <f aca="false">IFERROR(BR87/BR$5,0)</f>
        <v>-0.01</v>
      </c>
      <c r="BT87" s="184"/>
      <c r="BU87" s="181" t="n">
        <f aca="false">SUMIFS('Dados Mov Financeira'!$N:$N,'Dados Mov Financeira'!$O:$O,'DRE 2024'!$B87,'Dados Mov Financeira'!$A:$A,'DRE 2024'!BU$1,'Dados Mov Financeira'!$B:$B,'DRE 2024'!BU$2)</f>
        <v>0</v>
      </c>
      <c r="BV87" s="182" t="n">
        <f aca="false">IFERROR(BU87/BU$5,0)</f>
        <v>0</v>
      </c>
      <c r="BW87" s="183" t="n">
        <f aca="false">IFERROR((BU87/BR87)-1,0)</f>
        <v>-1</v>
      </c>
      <c r="BX87" s="185" t="n">
        <f aca="false">SUM(D87,J87,P87,V87,AB87,AH87,AN87,AT87,AZ87,BF87,BL87,BR87)</f>
        <v>-18000</v>
      </c>
      <c r="BY87" s="182" t="n">
        <f aca="false">IFERROR(BX87/BX$5,0)</f>
        <v>-0.0123711340206186</v>
      </c>
      <c r="BZ87" s="180"/>
      <c r="CA87" s="185" t="n">
        <f aca="false">SUM(G87,M87,S87,Y87,AE87,AK87,AQ87,AW87,BC87,BI87,BO87,BU87)</f>
        <v>0</v>
      </c>
      <c r="CB87" s="182" t="n">
        <f aca="false">IFERROR(CA87/CA$5,0)</f>
        <v>0</v>
      </c>
      <c r="CC87" s="183" t="n">
        <f aca="false">IFERROR((CA87/BX87)-1,0)</f>
        <v>-1</v>
      </c>
      <c r="CD87" s="180"/>
      <c r="CE87" s="181" t="n">
        <f aca="false">BX87/$CF$1</f>
        <v>-1500</v>
      </c>
      <c r="CF87" s="182" t="n">
        <f aca="false">IFERROR(CE87/CE$5,0)</f>
        <v>-0.0123711340206186</v>
      </c>
      <c r="CG87" s="180"/>
      <c r="CH87" s="181" t="n">
        <f aca="false">CA87/$CI$1</f>
        <v>0</v>
      </c>
      <c r="CI87" s="182" t="n">
        <f aca="false">IFERROR(CH87/CH$5,0)</f>
        <v>0</v>
      </c>
    </row>
    <row r="88" customFormat="false" ht="14.25" hidden="false" customHeight="false" outlineLevel="1" collapsed="false">
      <c r="B88" s="169" t="s">
        <v>84</v>
      </c>
      <c r="C88" s="176"/>
      <c r="D88" s="157" t="n">
        <v>0</v>
      </c>
      <c r="E88" s="91" t="n">
        <f aca="false">IFERROR(D88/D$5,0)</f>
        <v>0</v>
      </c>
      <c r="F88" s="176"/>
      <c r="G88" s="157" t="n">
        <f aca="false">SUMIFS('Dados Mov Financeira'!$N:$N,'Dados Mov Financeira'!$O:$O,'DRE 2024'!$B88,'Dados Mov Financeira'!$A:$A,'DRE 2024'!G$1,'Dados Mov Financeira'!$B:$B,'DRE 2024'!G$2)</f>
        <v>0</v>
      </c>
      <c r="H88" s="91" t="n">
        <f aca="false">IFERROR(G88/G$5,0)</f>
        <v>0</v>
      </c>
      <c r="I88" s="138" t="n">
        <f aca="false">IFERROR((G88/D88)-1,0)</f>
        <v>0</v>
      </c>
      <c r="J88" s="157" t="n">
        <v>0</v>
      </c>
      <c r="K88" s="91" t="n">
        <f aca="false">IFERROR(J88/J$5,0)</f>
        <v>0</v>
      </c>
      <c r="L88" s="176"/>
      <c r="M88" s="157" t="n">
        <f aca="false">SUMIFS('Dados Mov Financeira'!$N:$N,'Dados Mov Financeira'!$O:$O,'DRE 2024'!$B88,'Dados Mov Financeira'!$A:$A,'DRE 2024'!M$1,'Dados Mov Financeira'!$B:$B,'DRE 2024'!M$2)</f>
        <v>0</v>
      </c>
      <c r="N88" s="91" t="n">
        <f aca="false">IFERROR(M88/M$5,0)</f>
        <v>0</v>
      </c>
      <c r="O88" s="139" t="n">
        <f aca="false">IFERROR((M88/J88)-1,0)</f>
        <v>0</v>
      </c>
      <c r="P88" s="157" t="n">
        <v>0</v>
      </c>
      <c r="Q88" s="91" t="n">
        <f aca="false">IFERROR(P88/P$5,0)</f>
        <v>0</v>
      </c>
      <c r="R88" s="176"/>
      <c r="S88" s="157" t="n">
        <f aca="false">SUMIFS('Dados Mov Financeira'!$N:$N,'Dados Mov Financeira'!$O:$O,'DRE 2024'!$B88,'Dados Mov Financeira'!$A:$A,'DRE 2024'!S$1,'Dados Mov Financeira'!$B:$B,'DRE 2024'!S$2)</f>
        <v>0</v>
      </c>
      <c r="T88" s="91" t="n">
        <f aca="false">IFERROR(S88/S$5,0)</f>
        <v>0</v>
      </c>
      <c r="U88" s="139" t="n">
        <f aca="false">IFERROR((S88/P88)-1,0)</f>
        <v>0</v>
      </c>
      <c r="V88" s="157" t="n">
        <v>0</v>
      </c>
      <c r="W88" s="91" t="n">
        <f aca="false">IFERROR(V88/V$5,0)</f>
        <v>0</v>
      </c>
      <c r="X88" s="176"/>
      <c r="Y88" s="157" t="n">
        <f aca="false">SUMIFS('Dados Mov Financeira'!$N:$N,'Dados Mov Financeira'!$O:$O,'DRE 2024'!$B88,'Dados Mov Financeira'!$A:$A,'DRE 2024'!Y$1,'Dados Mov Financeira'!$B:$B,'DRE 2024'!Y$2)</f>
        <v>0</v>
      </c>
      <c r="Z88" s="91" t="n">
        <f aca="false">IFERROR(Y88/Y$5,0)</f>
        <v>0</v>
      </c>
      <c r="AA88" s="139" t="n">
        <f aca="false">IFERROR((Y88/V88)-1,0)</f>
        <v>0</v>
      </c>
      <c r="AB88" s="157" t="n">
        <v>0</v>
      </c>
      <c r="AC88" s="91" t="n">
        <f aca="false">IFERROR(AB88/AB$5,0)</f>
        <v>0</v>
      </c>
      <c r="AD88" s="176"/>
      <c r="AE88" s="157" t="n">
        <f aca="false">SUMIFS('Dados Mov Financeira'!$N:$N,'Dados Mov Financeira'!$O:$O,'DRE 2024'!$B88,'Dados Mov Financeira'!$A:$A,'DRE 2024'!AE$1,'Dados Mov Financeira'!$B:$B,'DRE 2024'!AE$2)</f>
        <v>0</v>
      </c>
      <c r="AF88" s="91" t="n">
        <f aca="false">IFERROR(AE88/AE$5,0)</f>
        <v>0</v>
      </c>
      <c r="AG88" s="139" t="n">
        <f aca="false">IFERROR((AE88/AB88)-1,0)</f>
        <v>0</v>
      </c>
      <c r="AH88" s="157" t="n">
        <v>0</v>
      </c>
      <c r="AI88" s="91" t="n">
        <f aca="false">IFERROR(AH88/AH$5,0)</f>
        <v>0</v>
      </c>
      <c r="AJ88" s="176"/>
      <c r="AK88" s="157" t="n">
        <f aca="false">SUMIFS('Dados Mov Financeira'!$N:$N,'Dados Mov Financeira'!$O:$O,'DRE 2024'!$B88,'Dados Mov Financeira'!$A:$A,'DRE 2024'!AK$1,'Dados Mov Financeira'!$B:$B,'DRE 2024'!AK$2)</f>
        <v>0</v>
      </c>
      <c r="AL88" s="91" t="n">
        <f aca="false">IFERROR(AK88/AK$5,0)</f>
        <v>0</v>
      </c>
      <c r="AM88" s="139" t="n">
        <f aca="false">IFERROR((AK88/AH88)-1,0)</f>
        <v>0</v>
      </c>
      <c r="AN88" s="157" t="n">
        <v>0</v>
      </c>
      <c r="AO88" s="91" t="n">
        <f aca="false">IFERROR(AN88/AN$5,0)</f>
        <v>0</v>
      </c>
      <c r="AP88" s="176"/>
      <c r="AQ88" s="157" t="n">
        <f aca="false">SUMIFS('Dados Mov Financeira'!$N:$N,'Dados Mov Financeira'!$O:$O,'DRE 2024'!$B88,'Dados Mov Financeira'!$A:$A,'DRE 2024'!AQ$1,'Dados Mov Financeira'!$B:$B,'DRE 2024'!AQ$2)</f>
        <v>0</v>
      </c>
      <c r="AR88" s="91" t="n">
        <f aca="false">IFERROR(AQ88/AQ$5,0)</f>
        <v>0</v>
      </c>
      <c r="AS88" s="139" t="n">
        <f aca="false">IFERROR((AQ88/AN88)-1,0)</f>
        <v>0</v>
      </c>
      <c r="AT88" s="157" t="n">
        <v>0</v>
      </c>
      <c r="AU88" s="91" t="n">
        <f aca="false">IFERROR(AT88/AT$5,0)</f>
        <v>0</v>
      </c>
      <c r="AV88" s="176"/>
      <c r="AW88" s="157" t="n">
        <f aca="false">SUMIFS('Dados Mov Financeira'!$N:$N,'Dados Mov Financeira'!$O:$O,'DRE 2024'!$B88,'Dados Mov Financeira'!$A:$A,'DRE 2024'!AW$1,'Dados Mov Financeira'!$B:$B,'DRE 2024'!AW$2)</f>
        <v>0</v>
      </c>
      <c r="AX88" s="91" t="n">
        <f aca="false">IFERROR(AW88/AW$5,0)</f>
        <v>0</v>
      </c>
      <c r="AY88" s="139" t="n">
        <f aca="false">IFERROR((AW88/AT88)-1,0)</f>
        <v>0</v>
      </c>
      <c r="AZ88" s="157" t="n">
        <v>0</v>
      </c>
      <c r="BA88" s="91" t="n">
        <f aca="false">IFERROR(AZ88/AZ$5,0)</f>
        <v>0</v>
      </c>
      <c r="BB88" s="176"/>
      <c r="BC88" s="157" t="n">
        <f aca="false">SUMIFS('Dados Mov Financeira'!$N:$N,'Dados Mov Financeira'!$O:$O,'DRE 2024'!$B88,'Dados Mov Financeira'!$A:$A,'DRE 2024'!BC$1,'Dados Mov Financeira'!$B:$B,'DRE 2024'!BC$2)</f>
        <v>0</v>
      </c>
      <c r="BD88" s="91" t="n">
        <f aca="false">IFERROR(BC88/BC$5,0)</f>
        <v>0</v>
      </c>
      <c r="BE88" s="139" t="n">
        <f aca="false">IFERROR((BC88/AZ88)-1,0)</f>
        <v>0</v>
      </c>
      <c r="BF88" s="157" t="n">
        <v>0</v>
      </c>
      <c r="BG88" s="91" t="n">
        <f aca="false">IFERROR(BF88/BF$5,0)</f>
        <v>0</v>
      </c>
      <c r="BH88" s="176"/>
      <c r="BI88" s="157" t="n">
        <f aca="false">SUMIFS('Dados Mov Financeira'!$N:$N,'Dados Mov Financeira'!$O:$O,'DRE 2024'!$B88,'Dados Mov Financeira'!$A:$A,'DRE 2024'!BI$1,'Dados Mov Financeira'!$B:$B,'DRE 2024'!BI$2)</f>
        <v>0</v>
      </c>
      <c r="BJ88" s="91" t="n">
        <f aca="false">IFERROR(BI88/BI$5,0)</f>
        <v>0</v>
      </c>
      <c r="BK88" s="139" t="n">
        <f aca="false">IFERROR((BI88/BF88)-1,0)</f>
        <v>0</v>
      </c>
      <c r="BL88" s="157" t="n">
        <v>0</v>
      </c>
      <c r="BM88" s="91" t="n">
        <f aca="false">IFERROR(BL88/BL$5,0)</f>
        <v>0</v>
      </c>
      <c r="BN88" s="176"/>
      <c r="BO88" s="157" t="n">
        <f aca="false">SUMIFS('Dados Mov Financeira'!$N:$N,'Dados Mov Financeira'!$O:$O,'DRE 2024'!$B88,'Dados Mov Financeira'!$A:$A,'DRE 2024'!BO$1,'Dados Mov Financeira'!$B:$B,'DRE 2024'!BO$2)</f>
        <v>0</v>
      </c>
      <c r="BP88" s="91" t="n">
        <f aca="false">IFERROR(BO88/BO$5,0)</f>
        <v>0</v>
      </c>
      <c r="BQ88" s="139" t="n">
        <f aca="false">IFERROR((BO88/BL88)-1,0)</f>
        <v>0</v>
      </c>
      <c r="BR88" s="157" t="n">
        <v>0</v>
      </c>
      <c r="BS88" s="91" t="n">
        <f aca="false">IFERROR(BR88/BR$5,0)</f>
        <v>0</v>
      </c>
      <c r="BT88" s="171"/>
      <c r="BU88" s="157" t="n">
        <f aca="false">SUMIFS('Dados Mov Financeira'!$N:$N,'Dados Mov Financeira'!$O:$O,'DRE 2024'!$B88,'Dados Mov Financeira'!$A:$A,'DRE 2024'!BU$1,'Dados Mov Financeira'!$B:$B,'DRE 2024'!BU$2)</f>
        <v>0</v>
      </c>
      <c r="BV88" s="91" t="n">
        <f aca="false">IFERROR(BU88/BU$5,0)</f>
        <v>0</v>
      </c>
      <c r="BW88" s="139" t="n">
        <f aca="false">IFERROR((BU88/BR88)-1,0)</f>
        <v>0</v>
      </c>
      <c r="BX88" s="172" t="n">
        <f aca="false">SUM(D88,J88,P88,V88,AB88,AH88,AN88,AT88,AZ88,BF88,BL88,BR88)</f>
        <v>0</v>
      </c>
      <c r="BY88" s="91" t="n">
        <f aca="false">IFERROR(BX88/BX$5,0)</f>
        <v>0</v>
      </c>
      <c r="BZ88" s="176"/>
      <c r="CA88" s="172" t="n">
        <f aca="false">SUM(G88,M88,S88,Y88,AE88,AK88,AQ88,AW88,BC88,BI88,BO88,BU88)</f>
        <v>0</v>
      </c>
      <c r="CB88" s="91" t="n">
        <f aca="false">IFERROR(CA88/CA$5,0)</f>
        <v>0</v>
      </c>
      <c r="CC88" s="139" t="n">
        <f aca="false">IFERROR((CA88/BX88)-1,0)</f>
        <v>0</v>
      </c>
      <c r="CD88" s="176"/>
      <c r="CE88" s="157" t="n">
        <f aca="false">BX88/$CF$1</f>
        <v>0</v>
      </c>
      <c r="CF88" s="94" t="n">
        <f aca="false">IFERROR(CE88/CE$5,0)</f>
        <v>0</v>
      </c>
      <c r="CG88" s="176"/>
      <c r="CH88" s="157" t="n">
        <f aca="false">CA88/$CI$1</f>
        <v>0</v>
      </c>
      <c r="CI88" s="94" t="n">
        <f aca="false">IFERROR(CH88/CH$5,0)</f>
        <v>0</v>
      </c>
    </row>
    <row r="89" s="150" customFormat="true" ht="14.25" hidden="false" customHeight="false" outlineLevel="0" collapsed="false">
      <c r="B89" s="190" t="s">
        <v>121</v>
      </c>
      <c r="D89" s="157" t="n">
        <f aca="false">SUM(D90:D96)</f>
        <v>-3212.22</v>
      </c>
      <c r="E89" s="88" t="n">
        <f aca="false">IFERROR(D89/D$5,0)</f>
        <v>-0.04015275</v>
      </c>
      <c r="G89" s="157" t="n">
        <f aca="false">SUM(G90:G102)</f>
        <v>0</v>
      </c>
      <c r="H89" s="88" t="n">
        <f aca="false">IFERROR(G89/G$5,0)</f>
        <v>0</v>
      </c>
      <c r="I89" s="138" t="n">
        <f aca="false">IFERROR((G89/D89)-1,0)</f>
        <v>-1</v>
      </c>
      <c r="J89" s="157" t="n">
        <f aca="false">SUM(J90:J96)</f>
        <v>-3212.22</v>
      </c>
      <c r="K89" s="88" t="n">
        <f aca="false">IFERROR(J89/J$5,0)</f>
        <v>-0.0377908235294118</v>
      </c>
      <c r="M89" s="157" t="n">
        <f aca="false">SUM(M90:M102)</f>
        <v>0</v>
      </c>
      <c r="N89" s="88" t="n">
        <f aca="false">IFERROR(M89/M$5,0)</f>
        <v>0</v>
      </c>
      <c r="O89" s="139" t="n">
        <f aca="false">IFERROR((M89/J89)-1,0)</f>
        <v>-1</v>
      </c>
      <c r="P89" s="157" t="n">
        <f aca="false">SUM(P90:P96)</f>
        <v>-3212.22</v>
      </c>
      <c r="Q89" s="88" t="n">
        <f aca="false">IFERROR(P89/P$5,0)</f>
        <v>-0.0356913333333333</v>
      </c>
      <c r="S89" s="157" t="n">
        <f aca="false">SUM(S90:S102)</f>
        <v>0</v>
      </c>
      <c r="T89" s="88" t="n">
        <f aca="false">IFERROR(S89/S$5,0)</f>
        <v>0</v>
      </c>
      <c r="U89" s="139" t="n">
        <f aca="false">IFERROR((S89/P89)-1,0)</f>
        <v>-1</v>
      </c>
      <c r="V89" s="157" t="n">
        <f aca="false">SUM(V90:V96)</f>
        <v>-3212.22</v>
      </c>
      <c r="W89" s="88" t="n">
        <f aca="false">IFERROR(V89/V$5,0)</f>
        <v>-0.0321222</v>
      </c>
      <c r="Y89" s="157" t="n">
        <f aca="false">SUM(Y90:Y102)</f>
        <v>0</v>
      </c>
      <c r="Z89" s="88" t="n">
        <f aca="false">IFERROR(Y89/Y$5,0)</f>
        <v>0</v>
      </c>
      <c r="AA89" s="139" t="n">
        <f aca="false">IFERROR((Y89/V89)-1,0)</f>
        <v>-1</v>
      </c>
      <c r="AB89" s="157" t="n">
        <f aca="false">SUM(AB90:AB96)</f>
        <v>-3212.22</v>
      </c>
      <c r="AC89" s="88" t="n">
        <f aca="false">IFERROR(AB89/AB$5,0)</f>
        <v>-0.029202</v>
      </c>
      <c r="AE89" s="157" t="n">
        <f aca="false">SUM(AE90:AE102)</f>
        <v>0</v>
      </c>
      <c r="AF89" s="88" t="n">
        <f aca="false">IFERROR(AE89/AE$5,0)</f>
        <v>0</v>
      </c>
      <c r="AG89" s="139" t="n">
        <f aca="false">IFERROR((AE89/AB89)-1,0)</f>
        <v>-1</v>
      </c>
      <c r="AH89" s="157" t="n">
        <f aca="false">SUM(AH90:AH96)</f>
        <v>-3212.22</v>
      </c>
      <c r="AI89" s="88" t="n">
        <f aca="false">IFERROR(AH89/AH$5,0)</f>
        <v>-0.0267685</v>
      </c>
      <c r="AK89" s="157" t="n">
        <f aca="false">SUM(AK90:AK102)</f>
        <v>0</v>
      </c>
      <c r="AL89" s="88" t="n">
        <f aca="false">IFERROR(AK89/AK$5,0)</f>
        <v>0</v>
      </c>
      <c r="AM89" s="139" t="n">
        <f aca="false">IFERROR((AK89/AH89)-1,0)</f>
        <v>-1</v>
      </c>
      <c r="AN89" s="157" t="n">
        <f aca="false">SUM(AN90:AN96)</f>
        <v>-3212.22</v>
      </c>
      <c r="AO89" s="88" t="n">
        <f aca="false">IFERROR(AN89/AN$5,0)</f>
        <v>-0.0247093846153846</v>
      </c>
      <c r="AQ89" s="157" t="n">
        <f aca="false">SUM(AQ90:AQ102)</f>
        <v>0</v>
      </c>
      <c r="AR89" s="88" t="n">
        <f aca="false">IFERROR(AQ89/AQ$5,0)</f>
        <v>0</v>
      </c>
      <c r="AS89" s="139" t="n">
        <f aca="false">IFERROR((AQ89/AN89)-1,0)</f>
        <v>-1</v>
      </c>
      <c r="AT89" s="157" t="n">
        <f aca="false">SUM(AT90:AT96)</f>
        <v>-3212.22</v>
      </c>
      <c r="AU89" s="88" t="n">
        <f aca="false">IFERROR(AT89/AT$5,0)</f>
        <v>-0.0229444285714286</v>
      </c>
      <c r="AW89" s="157" t="n">
        <f aca="false">SUM(AW90:AW102)</f>
        <v>0</v>
      </c>
      <c r="AX89" s="88" t="n">
        <f aca="false">IFERROR(AW89/AW$5,0)</f>
        <v>0</v>
      </c>
      <c r="AY89" s="139" t="n">
        <f aca="false">IFERROR((AW89/AT89)-1,0)</f>
        <v>-1</v>
      </c>
      <c r="AZ89" s="157" t="n">
        <f aca="false">SUM(AZ90:AZ96)</f>
        <v>-3212.22</v>
      </c>
      <c r="BA89" s="88" t="n">
        <f aca="false">IFERROR(AZ89/AZ$5,0)</f>
        <v>-0.0214148</v>
      </c>
      <c r="BC89" s="157" t="n">
        <f aca="false">SUM(BC90:BC102)</f>
        <v>0</v>
      </c>
      <c r="BD89" s="88" t="n">
        <f aca="false">IFERROR(BC89/BC$5,0)</f>
        <v>0</v>
      </c>
      <c r="BE89" s="139" t="n">
        <f aca="false">IFERROR((BC89/AZ89)-1,0)</f>
        <v>-1</v>
      </c>
      <c r="BF89" s="157" t="n">
        <f aca="false">SUM(BF90:BF96)</f>
        <v>-3212.22</v>
      </c>
      <c r="BG89" s="88" t="n">
        <f aca="false">IFERROR(BF89/BF$5,0)</f>
        <v>-0.0214148</v>
      </c>
      <c r="BI89" s="157" t="n">
        <f aca="false">SUM(BI90:BI102)</f>
        <v>0</v>
      </c>
      <c r="BJ89" s="88" t="n">
        <f aca="false">IFERROR(BI89/BI$5,0)</f>
        <v>0</v>
      </c>
      <c r="BK89" s="139" t="n">
        <f aca="false">IFERROR((BI89/BF89)-1,0)</f>
        <v>-1</v>
      </c>
      <c r="BL89" s="157" t="n">
        <f aca="false">SUM(BL90:BL96)</f>
        <v>-3212.22</v>
      </c>
      <c r="BM89" s="88" t="n">
        <f aca="false">IFERROR(BL89/BL$5,0)</f>
        <v>-0.0214148</v>
      </c>
      <c r="BO89" s="157" t="n">
        <f aca="false">SUM(BO90:BO102)</f>
        <v>0</v>
      </c>
      <c r="BP89" s="88" t="n">
        <f aca="false">IFERROR(BO89/BO$5,0)</f>
        <v>0</v>
      </c>
      <c r="BQ89" s="139" t="n">
        <f aca="false">IFERROR((BO89/BL89)-1,0)</f>
        <v>-1</v>
      </c>
      <c r="BR89" s="157" t="n">
        <f aca="false">SUM(BR90:BR96)</f>
        <v>-3212.22</v>
      </c>
      <c r="BS89" s="88" t="n">
        <f aca="false">IFERROR(BR89/BR$5,0)</f>
        <v>-0.0214148</v>
      </c>
      <c r="BT89" s="158"/>
      <c r="BU89" s="157" t="n">
        <f aca="false">SUM(BU90:BU102)</f>
        <v>0</v>
      </c>
      <c r="BV89" s="88" t="n">
        <f aca="false">IFERROR(BU89/BU$5,0)</f>
        <v>0</v>
      </c>
      <c r="BW89" s="139" t="n">
        <f aca="false">IFERROR((BU89/BR89)-1,0)</f>
        <v>-1</v>
      </c>
      <c r="BX89" s="157" t="n">
        <f aca="false">SUM(D89,J89,P89,V89,AB89,AH89,AN89,AT89,AZ89,BF89,BL89,BR89)</f>
        <v>-38546.64</v>
      </c>
      <c r="BY89" s="88" t="n">
        <f aca="false">IFERROR(BX89/BX$5,0)</f>
        <v>-0.0264925360824742</v>
      </c>
      <c r="CA89" s="157" t="n">
        <f aca="false">SUM(G89,M89,S89,Y89,AE89,AK89,AQ89,AW89,BC89,BI89,BO89,BU89)</f>
        <v>0</v>
      </c>
      <c r="CB89" s="88" t="n">
        <f aca="false">IFERROR(CA89/CA$5,0)</f>
        <v>0</v>
      </c>
      <c r="CC89" s="139" t="n">
        <f aca="false">IFERROR((CA89/BX89)-1,0)</f>
        <v>-1</v>
      </c>
      <c r="CE89" s="157" t="n">
        <f aca="false">BX89/$CF$1</f>
        <v>-3212.22</v>
      </c>
      <c r="CF89" s="76" t="n">
        <f aca="false">IFERROR(CE89/CE$5,0)</f>
        <v>-0.0264925360824742</v>
      </c>
      <c r="CH89" s="157" t="n">
        <f aca="false">CA89/$CI$1</f>
        <v>0</v>
      </c>
      <c r="CI89" s="76" t="n">
        <f aca="false">IFERROR(CH89/CH$5,0)</f>
        <v>0</v>
      </c>
    </row>
    <row r="90" customFormat="false" ht="14.25" hidden="false" customHeight="false" outlineLevel="1" collapsed="false">
      <c r="B90" s="169" t="s">
        <v>122</v>
      </c>
      <c r="D90" s="157" t="n">
        <v>0</v>
      </c>
      <c r="E90" s="91" t="n">
        <f aca="false">IFERROR(D90/D$5,0)</f>
        <v>0</v>
      </c>
      <c r="G90" s="157" t="n">
        <f aca="false">SUMIFS('Dados Mov Financeira'!$N:$N,'Dados Mov Financeira'!$O:$O,'DRE 2024'!$B90,'Dados Mov Financeira'!$A:$A,'DRE 2024'!G$1,'Dados Mov Financeira'!$B:$B,'DRE 2024'!G$2)</f>
        <v>0</v>
      </c>
      <c r="H90" s="91" t="n">
        <f aca="false">IFERROR(G90/G$5,0)</f>
        <v>0</v>
      </c>
      <c r="I90" s="138" t="n">
        <f aca="false">IFERROR((G90/D90)-1,0)</f>
        <v>0</v>
      </c>
      <c r="J90" s="157" t="n">
        <v>0</v>
      </c>
      <c r="K90" s="91" t="n">
        <f aca="false">IFERROR(J90/J$5,0)</f>
        <v>0</v>
      </c>
      <c r="M90" s="157" t="n">
        <f aca="false">SUMIFS('Dados Mov Financeira'!$N:$N,'Dados Mov Financeira'!$O:$O,'DRE 2024'!$B90,'Dados Mov Financeira'!$A:$A,'DRE 2024'!M$1,'Dados Mov Financeira'!$B:$B,'DRE 2024'!M$2)</f>
        <v>0</v>
      </c>
      <c r="N90" s="91" t="n">
        <f aca="false">IFERROR(M90/M$5,0)</f>
        <v>0</v>
      </c>
      <c r="O90" s="139" t="n">
        <f aca="false">IFERROR((M90/J90)-1,0)</f>
        <v>0</v>
      </c>
      <c r="P90" s="157" t="n">
        <v>0</v>
      </c>
      <c r="Q90" s="91" t="n">
        <f aca="false">IFERROR(P90/P$5,0)</f>
        <v>0</v>
      </c>
      <c r="S90" s="157" t="n">
        <f aca="false">SUMIFS('Dados Mov Financeira'!$N:$N,'Dados Mov Financeira'!$O:$O,'DRE 2024'!$B90,'Dados Mov Financeira'!$A:$A,'DRE 2024'!S$1,'Dados Mov Financeira'!$B:$B,'DRE 2024'!S$2)</f>
        <v>0</v>
      </c>
      <c r="T90" s="91" t="n">
        <f aca="false">IFERROR(S90/S$5,0)</f>
        <v>0</v>
      </c>
      <c r="U90" s="139" t="n">
        <f aca="false">IFERROR((S90/P90)-1,0)</f>
        <v>0</v>
      </c>
      <c r="V90" s="157" t="n">
        <v>0</v>
      </c>
      <c r="W90" s="91" t="n">
        <f aca="false">IFERROR(V90/V$5,0)</f>
        <v>0</v>
      </c>
      <c r="Y90" s="157" t="n">
        <f aca="false">SUMIFS('Dados Mov Financeira'!$N:$N,'Dados Mov Financeira'!$O:$O,'DRE 2024'!$B90,'Dados Mov Financeira'!$A:$A,'DRE 2024'!Y$1,'Dados Mov Financeira'!$B:$B,'DRE 2024'!Y$2)</f>
        <v>0</v>
      </c>
      <c r="Z90" s="91" t="n">
        <f aca="false">IFERROR(Y90/Y$5,0)</f>
        <v>0</v>
      </c>
      <c r="AA90" s="139" t="n">
        <f aca="false">IFERROR((Y90/V90)-1,0)</f>
        <v>0</v>
      </c>
      <c r="AB90" s="157" t="n">
        <v>0</v>
      </c>
      <c r="AC90" s="91" t="n">
        <f aca="false">IFERROR(AB90/AB$5,0)</f>
        <v>0</v>
      </c>
      <c r="AE90" s="157" t="n">
        <f aca="false">SUMIFS('Dados Mov Financeira'!$N:$N,'Dados Mov Financeira'!$O:$O,'DRE 2024'!$B90,'Dados Mov Financeira'!$A:$A,'DRE 2024'!AE$1,'Dados Mov Financeira'!$B:$B,'DRE 2024'!AE$2)</f>
        <v>0</v>
      </c>
      <c r="AF90" s="91" t="n">
        <f aca="false">IFERROR(AE90/AE$5,0)</f>
        <v>0</v>
      </c>
      <c r="AG90" s="139" t="n">
        <f aca="false">IFERROR((AE90/AB90)-1,0)</f>
        <v>0</v>
      </c>
      <c r="AH90" s="157" t="n">
        <v>0</v>
      </c>
      <c r="AI90" s="91" t="n">
        <f aca="false">IFERROR(AH90/AH$5,0)</f>
        <v>0</v>
      </c>
      <c r="AK90" s="157" t="n">
        <f aca="false">SUMIFS('Dados Mov Financeira'!$N:$N,'Dados Mov Financeira'!$O:$O,'DRE 2024'!$B90,'Dados Mov Financeira'!$A:$A,'DRE 2024'!AK$1,'Dados Mov Financeira'!$B:$B,'DRE 2024'!AK$2)</f>
        <v>0</v>
      </c>
      <c r="AL90" s="91" t="n">
        <f aca="false">IFERROR(AK90/AK$5,0)</f>
        <v>0</v>
      </c>
      <c r="AM90" s="139" t="n">
        <f aca="false">IFERROR((AK90/AH90)-1,0)</f>
        <v>0</v>
      </c>
      <c r="AN90" s="157" t="n">
        <v>0</v>
      </c>
      <c r="AO90" s="91" t="n">
        <f aca="false">IFERROR(AN90/AN$5,0)</f>
        <v>0</v>
      </c>
      <c r="AQ90" s="157" t="n">
        <f aca="false">SUMIFS('Dados Mov Financeira'!$N:$N,'Dados Mov Financeira'!$O:$O,'DRE 2024'!$B90,'Dados Mov Financeira'!$A:$A,'DRE 2024'!AQ$1,'Dados Mov Financeira'!$B:$B,'DRE 2024'!AQ$2)</f>
        <v>0</v>
      </c>
      <c r="AR90" s="91" t="n">
        <f aca="false">IFERROR(AQ90/AQ$5,0)</f>
        <v>0</v>
      </c>
      <c r="AS90" s="139" t="n">
        <f aca="false">IFERROR((AQ90/AN90)-1,0)</f>
        <v>0</v>
      </c>
      <c r="AT90" s="157" t="n">
        <v>0</v>
      </c>
      <c r="AU90" s="91" t="n">
        <f aca="false">IFERROR(AT90/AT$5,0)</f>
        <v>0</v>
      </c>
      <c r="AW90" s="157" t="n">
        <f aca="false">SUMIFS('Dados Mov Financeira'!$N:$N,'Dados Mov Financeira'!$O:$O,'DRE 2024'!$B90,'Dados Mov Financeira'!$A:$A,'DRE 2024'!AW$1,'Dados Mov Financeira'!$B:$B,'DRE 2024'!AW$2)</f>
        <v>0</v>
      </c>
      <c r="AX90" s="91" t="n">
        <f aca="false">IFERROR(AW90/AW$5,0)</f>
        <v>0</v>
      </c>
      <c r="AY90" s="139" t="n">
        <f aca="false">IFERROR((AW90/AT90)-1,0)</f>
        <v>0</v>
      </c>
      <c r="AZ90" s="157" t="n">
        <v>0</v>
      </c>
      <c r="BA90" s="91" t="n">
        <f aca="false">IFERROR(AZ90/AZ$5,0)</f>
        <v>0</v>
      </c>
      <c r="BC90" s="157" t="n">
        <f aca="false">SUMIFS('Dados Mov Financeira'!$N:$N,'Dados Mov Financeira'!$O:$O,'DRE 2024'!$B90,'Dados Mov Financeira'!$A:$A,'DRE 2024'!BC$1,'Dados Mov Financeira'!$B:$B,'DRE 2024'!BC$2)</f>
        <v>0</v>
      </c>
      <c r="BD90" s="91" t="n">
        <f aca="false">IFERROR(BC90/BC$5,0)</f>
        <v>0</v>
      </c>
      <c r="BE90" s="139" t="n">
        <f aca="false">IFERROR((BC90/AZ90)-1,0)</f>
        <v>0</v>
      </c>
      <c r="BF90" s="157" t="n">
        <v>0</v>
      </c>
      <c r="BG90" s="91" t="n">
        <f aca="false">IFERROR(BF90/BF$5,0)</f>
        <v>0</v>
      </c>
      <c r="BI90" s="157" t="n">
        <f aca="false">SUMIFS('Dados Mov Financeira'!$N:$N,'Dados Mov Financeira'!$O:$O,'DRE 2024'!$B90,'Dados Mov Financeira'!$A:$A,'DRE 2024'!BI$1,'Dados Mov Financeira'!$B:$B,'DRE 2024'!BI$2)</f>
        <v>0</v>
      </c>
      <c r="BJ90" s="91" t="n">
        <f aca="false">IFERROR(BI90/BI$5,0)</f>
        <v>0</v>
      </c>
      <c r="BK90" s="139" t="n">
        <f aca="false">IFERROR((BI90/BF90)-1,0)</f>
        <v>0</v>
      </c>
      <c r="BL90" s="157" t="n">
        <v>0</v>
      </c>
      <c r="BM90" s="91" t="n">
        <f aca="false">IFERROR(BL90/BL$5,0)</f>
        <v>0</v>
      </c>
      <c r="BO90" s="157" t="n">
        <f aca="false">SUMIFS('Dados Mov Financeira'!$N:$N,'Dados Mov Financeira'!$O:$O,'DRE 2024'!$B90,'Dados Mov Financeira'!$A:$A,'DRE 2024'!BO$1,'Dados Mov Financeira'!$B:$B,'DRE 2024'!BO$2)</f>
        <v>0</v>
      </c>
      <c r="BP90" s="91" t="n">
        <f aca="false">IFERROR(BO90/BO$5,0)</f>
        <v>0</v>
      </c>
      <c r="BQ90" s="139" t="n">
        <f aca="false">IFERROR((BO90/BL90)-1,0)</f>
        <v>0</v>
      </c>
      <c r="BR90" s="157" t="n">
        <v>0</v>
      </c>
      <c r="BS90" s="91" t="n">
        <f aca="false">IFERROR(BR90/BR$5,0)</f>
        <v>0</v>
      </c>
      <c r="BT90" s="171"/>
      <c r="BU90" s="157" t="n">
        <f aca="false">SUMIFS('Dados Mov Financeira'!$N:$N,'Dados Mov Financeira'!$O:$O,'DRE 2024'!$B90,'Dados Mov Financeira'!$A:$A,'DRE 2024'!BU$1,'Dados Mov Financeira'!$B:$B,'DRE 2024'!BU$2)</f>
        <v>0</v>
      </c>
      <c r="BV90" s="91" t="n">
        <f aca="false">IFERROR(BU90/BU$5,0)</f>
        <v>0</v>
      </c>
      <c r="BW90" s="139" t="n">
        <f aca="false">IFERROR((BU90/BR90)-1,0)</f>
        <v>0</v>
      </c>
      <c r="BX90" s="172" t="n">
        <f aca="false">SUM(D90,J90,P90,V90,AB90,AH90,AN90,AT90,AZ90,BF90,BL90,BR90)</f>
        <v>0</v>
      </c>
      <c r="BY90" s="91" t="n">
        <f aca="false">IFERROR(BX90/BX$5,0)</f>
        <v>0</v>
      </c>
      <c r="CA90" s="172" t="n">
        <f aca="false">SUM(G90,M90,S90,Y90,AE90,AK90,AQ90,AW90,BC90,BI90,BO90,BU90)</f>
        <v>0</v>
      </c>
      <c r="CB90" s="91" t="n">
        <f aca="false">IFERROR(CA90/CA$5,0)</f>
        <v>0</v>
      </c>
      <c r="CC90" s="139" t="n">
        <f aca="false">IFERROR((CA90/BX90)-1,0)</f>
        <v>0</v>
      </c>
      <c r="CE90" s="174" t="n">
        <f aca="false">BX90/$CF$1</f>
        <v>0</v>
      </c>
      <c r="CF90" s="94" t="n">
        <f aca="false">IFERROR(CE90/CE$5,0)</f>
        <v>0</v>
      </c>
      <c r="CH90" s="174" t="n">
        <f aca="false">CA90/$CI$1</f>
        <v>0</v>
      </c>
      <c r="CI90" s="94" t="n">
        <f aca="false">IFERROR(CH90/CH$5,0)</f>
        <v>0</v>
      </c>
    </row>
    <row r="91" customFormat="false" ht="14.25" hidden="false" customHeight="false" outlineLevel="1" collapsed="false">
      <c r="B91" s="169" t="s">
        <v>123</v>
      </c>
      <c r="D91" s="157" t="n">
        <v>0</v>
      </c>
      <c r="E91" s="91" t="n">
        <f aca="false">IFERROR(D91/D$5,0)</f>
        <v>0</v>
      </c>
      <c r="G91" s="157" t="n">
        <f aca="false">SUMIFS('Dados Mov Financeira'!$N:$N,'Dados Mov Financeira'!$O:$O,'DRE 2024'!$B91,'Dados Mov Financeira'!$A:$A,'DRE 2024'!G$1,'Dados Mov Financeira'!$B:$B,'DRE 2024'!G$2)</f>
        <v>0</v>
      </c>
      <c r="H91" s="91" t="n">
        <f aca="false">IFERROR(G91/G$5,0)</f>
        <v>0</v>
      </c>
      <c r="I91" s="138" t="n">
        <f aca="false">IFERROR((G91/D91)-1,0)</f>
        <v>0</v>
      </c>
      <c r="J91" s="157" t="n">
        <v>0</v>
      </c>
      <c r="K91" s="91" t="n">
        <f aca="false">IFERROR(J91/J$5,0)</f>
        <v>0</v>
      </c>
      <c r="M91" s="157" t="n">
        <f aca="false">SUMIFS('Dados Mov Financeira'!$N:$N,'Dados Mov Financeira'!$O:$O,'DRE 2024'!$B91,'Dados Mov Financeira'!$A:$A,'DRE 2024'!M$1,'Dados Mov Financeira'!$B:$B,'DRE 2024'!M$2)</f>
        <v>0</v>
      </c>
      <c r="N91" s="91" t="n">
        <f aca="false">IFERROR(M91/M$5,0)</f>
        <v>0</v>
      </c>
      <c r="O91" s="139" t="n">
        <f aca="false">IFERROR((M91/J91)-1,0)</f>
        <v>0</v>
      </c>
      <c r="P91" s="157" t="n">
        <v>0</v>
      </c>
      <c r="Q91" s="91" t="n">
        <f aca="false">IFERROR(P91/P$5,0)</f>
        <v>0</v>
      </c>
      <c r="S91" s="157" t="n">
        <f aca="false">SUMIFS('Dados Mov Financeira'!$N:$N,'Dados Mov Financeira'!$O:$O,'DRE 2024'!$B91,'Dados Mov Financeira'!$A:$A,'DRE 2024'!S$1,'Dados Mov Financeira'!$B:$B,'DRE 2024'!S$2)</f>
        <v>0</v>
      </c>
      <c r="T91" s="91" t="n">
        <f aca="false">IFERROR(S91/S$5,0)</f>
        <v>0</v>
      </c>
      <c r="U91" s="139" t="n">
        <f aca="false">IFERROR((S91/P91)-1,0)</f>
        <v>0</v>
      </c>
      <c r="V91" s="157" t="n">
        <v>0</v>
      </c>
      <c r="W91" s="91" t="n">
        <f aca="false">IFERROR(V91/V$5,0)</f>
        <v>0</v>
      </c>
      <c r="Y91" s="157" t="n">
        <f aca="false">SUMIFS('Dados Mov Financeira'!$N:$N,'Dados Mov Financeira'!$O:$O,'DRE 2024'!$B91,'Dados Mov Financeira'!$A:$A,'DRE 2024'!Y$1,'Dados Mov Financeira'!$B:$B,'DRE 2024'!Y$2)</f>
        <v>0</v>
      </c>
      <c r="Z91" s="91" t="n">
        <f aca="false">IFERROR(Y91/Y$5,0)</f>
        <v>0</v>
      </c>
      <c r="AA91" s="139" t="n">
        <f aca="false">IFERROR((Y91/V91)-1,0)</f>
        <v>0</v>
      </c>
      <c r="AB91" s="157" t="n">
        <v>0</v>
      </c>
      <c r="AC91" s="91" t="n">
        <f aca="false">IFERROR(AB91/AB$5,0)</f>
        <v>0</v>
      </c>
      <c r="AE91" s="157" t="n">
        <f aca="false">SUMIFS('Dados Mov Financeira'!$N:$N,'Dados Mov Financeira'!$O:$O,'DRE 2024'!$B91,'Dados Mov Financeira'!$A:$A,'DRE 2024'!AE$1,'Dados Mov Financeira'!$B:$B,'DRE 2024'!AE$2)</f>
        <v>0</v>
      </c>
      <c r="AF91" s="91" t="n">
        <f aca="false">IFERROR(AE91/AE$5,0)</f>
        <v>0</v>
      </c>
      <c r="AG91" s="139" t="n">
        <f aca="false">IFERROR((AE91/AB91)-1,0)</f>
        <v>0</v>
      </c>
      <c r="AH91" s="157" t="n">
        <v>0</v>
      </c>
      <c r="AI91" s="91" t="n">
        <f aca="false">IFERROR(AH91/AH$5,0)</f>
        <v>0</v>
      </c>
      <c r="AK91" s="157" t="n">
        <f aca="false">SUMIFS('Dados Mov Financeira'!$N:$N,'Dados Mov Financeira'!$O:$O,'DRE 2024'!$B91,'Dados Mov Financeira'!$A:$A,'DRE 2024'!AK$1,'Dados Mov Financeira'!$B:$B,'DRE 2024'!AK$2)</f>
        <v>0</v>
      </c>
      <c r="AL91" s="91" t="n">
        <f aca="false">IFERROR(AK91/AK$5,0)</f>
        <v>0</v>
      </c>
      <c r="AM91" s="139" t="n">
        <f aca="false">IFERROR((AK91/AH91)-1,0)</f>
        <v>0</v>
      </c>
      <c r="AN91" s="157" t="n">
        <v>0</v>
      </c>
      <c r="AO91" s="91" t="n">
        <f aca="false">IFERROR(AN91/AN$5,0)</f>
        <v>0</v>
      </c>
      <c r="AQ91" s="157" t="n">
        <f aca="false">SUMIFS('Dados Mov Financeira'!$N:$N,'Dados Mov Financeira'!$O:$O,'DRE 2024'!$B91,'Dados Mov Financeira'!$A:$A,'DRE 2024'!AQ$1,'Dados Mov Financeira'!$B:$B,'DRE 2024'!AQ$2)</f>
        <v>0</v>
      </c>
      <c r="AR91" s="91" t="n">
        <f aca="false">IFERROR(AQ91/AQ$5,0)</f>
        <v>0</v>
      </c>
      <c r="AS91" s="139" t="n">
        <f aca="false">IFERROR((AQ91/AN91)-1,0)</f>
        <v>0</v>
      </c>
      <c r="AT91" s="157" t="n">
        <v>0</v>
      </c>
      <c r="AU91" s="91" t="n">
        <f aca="false">IFERROR(AT91/AT$5,0)</f>
        <v>0</v>
      </c>
      <c r="AW91" s="157" t="n">
        <f aca="false">SUMIFS('Dados Mov Financeira'!$N:$N,'Dados Mov Financeira'!$O:$O,'DRE 2024'!$B91,'Dados Mov Financeira'!$A:$A,'DRE 2024'!AW$1,'Dados Mov Financeira'!$B:$B,'DRE 2024'!AW$2)</f>
        <v>0</v>
      </c>
      <c r="AX91" s="91" t="n">
        <f aca="false">IFERROR(AW91/AW$5,0)</f>
        <v>0</v>
      </c>
      <c r="AY91" s="139" t="n">
        <f aca="false">IFERROR((AW91/AT91)-1,0)</f>
        <v>0</v>
      </c>
      <c r="AZ91" s="157" t="n">
        <v>0</v>
      </c>
      <c r="BA91" s="91" t="n">
        <f aca="false">IFERROR(AZ91/AZ$5,0)</f>
        <v>0</v>
      </c>
      <c r="BC91" s="157" t="n">
        <f aca="false">SUMIFS('Dados Mov Financeira'!$N:$N,'Dados Mov Financeira'!$O:$O,'DRE 2024'!$B91,'Dados Mov Financeira'!$A:$A,'DRE 2024'!BC$1,'Dados Mov Financeira'!$B:$B,'DRE 2024'!BC$2)</f>
        <v>0</v>
      </c>
      <c r="BD91" s="91" t="n">
        <f aca="false">IFERROR(BC91/BC$5,0)</f>
        <v>0</v>
      </c>
      <c r="BE91" s="139" t="n">
        <f aca="false">IFERROR((BC91/AZ91)-1,0)</f>
        <v>0</v>
      </c>
      <c r="BF91" s="157" t="n">
        <v>0</v>
      </c>
      <c r="BG91" s="91" t="n">
        <f aca="false">IFERROR(BF91/BF$5,0)</f>
        <v>0</v>
      </c>
      <c r="BI91" s="157" t="n">
        <f aca="false">SUMIFS('Dados Mov Financeira'!$N:$N,'Dados Mov Financeira'!$O:$O,'DRE 2024'!$B91,'Dados Mov Financeira'!$A:$A,'DRE 2024'!BI$1,'Dados Mov Financeira'!$B:$B,'DRE 2024'!BI$2)</f>
        <v>0</v>
      </c>
      <c r="BJ91" s="91" t="n">
        <f aca="false">IFERROR(BI91/BI$5,0)</f>
        <v>0</v>
      </c>
      <c r="BK91" s="139" t="n">
        <f aca="false">IFERROR((BI91/BF91)-1,0)</f>
        <v>0</v>
      </c>
      <c r="BL91" s="157" t="n">
        <v>0</v>
      </c>
      <c r="BM91" s="91" t="n">
        <f aca="false">IFERROR(BL91/BL$5,0)</f>
        <v>0</v>
      </c>
      <c r="BO91" s="157" t="n">
        <f aca="false">SUMIFS('Dados Mov Financeira'!$N:$N,'Dados Mov Financeira'!$O:$O,'DRE 2024'!$B91,'Dados Mov Financeira'!$A:$A,'DRE 2024'!BO$1,'Dados Mov Financeira'!$B:$B,'DRE 2024'!BO$2)</f>
        <v>0</v>
      </c>
      <c r="BP91" s="91" t="n">
        <f aca="false">IFERROR(BO91/BO$5,0)</f>
        <v>0</v>
      </c>
      <c r="BQ91" s="139" t="n">
        <f aca="false">IFERROR((BO91/BL91)-1,0)</f>
        <v>0</v>
      </c>
      <c r="BR91" s="157" t="n">
        <v>0</v>
      </c>
      <c r="BS91" s="91" t="n">
        <f aca="false">IFERROR(BR91/BR$5,0)</f>
        <v>0</v>
      </c>
      <c r="BT91" s="171"/>
      <c r="BU91" s="157" t="n">
        <f aca="false">SUMIFS('Dados Mov Financeira'!$N:$N,'Dados Mov Financeira'!$O:$O,'DRE 2024'!$B91,'Dados Mov Financeira'!$A:$A,'DRE 2024'!BU$1,'Dados Mov Financeira'!$B:$B,'DRE 2024'!BU$2)</f>
        <v>0</v>
      </c>
      <c r="BV91" s="91" t="n">
        <f aca="false">IFERROR(BU91/BU$5,0)</f>
        <v>0</v>
      </c>
      <c r="BW91" s="139" t="n">
        <f aca="false">IFERROR((BU91/BR91)-1,0)</f>
        <v>0</v>
      </c>
      <c r="BX91" s="172" t="n">
        <f aca="false">SUM(D91,J91,P91,V91,AB91,AH91,AN91,AT91,AZ91,BF91,BL91,BR91)</f>
        <v>0</v>
      </c>
      <c r="BY91" s="91" t="n">
        <f aca="false">IFERROR(BX91/BX$5,0)</f>
        <v>0</v>
      </c>
      <c r="CA91" s="172" t="n">
        <f aca="false">SUM(G91,M91,S91,Y91,AE91,AK91,AQ91,AW91,BC91,BI91,BO91,BU91)</f>
        <v>0</v>
      </c>
      <c r="CB91" s="91" t="n">
        <f aca="false">IFERROR(CA91/CA$5,0)</f>
        <v>0</v>
      </c>
      <c r="CC91" s="139" t="n">
        <f aca="false">IFERROR((CA91/BX91)-1,0)</f>
        <v>0</v>
      </c>
      <c r="CE91" s="174" t="n">
        <f aca="false">BX91/$CF$1</f>
        <v>0</v>
      </c>
      <c r="CF91" s="94" t="n">
        <f aca="false">IFERROR(CE91/CE$5,0)</f>
        <v>0</v>
      </c>
      <c r="CH91" s="174" t="n">
        <f aca="false">CA91/$CI$1</f>
        <v>0</v>
      </c>
      <c r="CI91" s="94" t="n">
        <f aca="false">IFERROR(CH91/CH$5,0)</f>
        <v>0</v>
      </c>
    </row>
    <row r="92" customFormat="false" ht="14.25" hidden="false" customHeight="false" outlineLevel="1" collapsed="false">
      <c r="B92" s="169" t="s">
        <v>124</v>
      </c>
      <c r="D92" s="157" t="n">
        <v>-2532.22</v>
      </c>
      <c r="E92" s="91" t="n">
        <f aca="false">IFERROR(D92/D$5,0)</f>
        <v>-0.03165275</v>
      </c>
      <c r="G92" s="157" t="n">
        <f aca="false">SUMIFS('Dados Mov Financeira'!$N:$N,'Dados Mov Financeira'!$O:$O,'DRE 2024'!$B92,'Dados Mov Financeira'!$A:$A,'DRE 2024'!G$1,'Dados Mov Financeira'!$B:$B,'DRE 2024'!G$2)</f>
        <v>0</v>
      </c>
      <c r="H92" s="91" t="n">
        <f aca="false">IFERROR(G92/G$5,0)</f>
        <v>0</v>
      </c>
      <c r="I92" s="138" t="n">
        <f aca="false">IFERROR((G92/D92)-1,0)</f>
        <v>-1</v>
      </c>
      <c r="J92" s="157" t="n">
        <v>-2532.22</v>
      </c>
      <c r="K92" s="91" t="n">
        <f aca="false">IFERROR(J92/J$5,0)</f>
        <v>-0.0297908235294118</v>
      </c>
      <c r="M92" s="157" t="n">
        <f aca="false">SUMIFS('Dados Mov Financeira'!$N:$N,'Dados Mov Financeira'!$O:$O,'DRE 2024'!$B92,'Dados Mov Financeira'!$A:$A,'DRE 2024'!M$1,'Dados Mov Financeira'!$B:$B,'DRE 2024'!M$2)</f>
        <v>0</v>
      </c>
      <c r="N92" s="91" t="n">
        <f aca="false">IFERROR(M92/M$5,0)</f>
        <v>0</v>
      </c>
      <c r="O92" s="139" t="n">
        <f aca="false">IFERROR((M92/J92)-1,0)</f>
        <v>-1</v>
      </c>
      <c r="P92" s="157" t="n">
        <v>-2532.22</v>
      </c>
      <c r="Q92" s="91" t="n">
        <f aca="false">IFERROR(P92/P$5,0)</f>
        <v>-0.0281357777777778</v>
      </c>
      <c r="S92" s="157" t="n">
        <f aca="false">SUMIFS('Dados Mov Financeira'!$N:$N,'Dados Mov Financeira'!$O:$O,'DRE 2024'!$B92,'Dados Mov Financeira'!$A:$A,'DRE 2024'!S$1,'Dados Mov Financeira'!$B:$B,'DRE 2024'!S$2)</f>
        <v>0</v>
      </c>
      <c r="T92" s="91" t="n">
        <f aca="false">IFERROR(S92/S$5,0)</f>
        <v>0</v>
      </c>
      <c r="U92" s="139" t="n">
        <f aca="false">IFERROR((S92/P92)-1,0)</f>
        <v>-1</v>
      </c>
      <c r="V92" s="157" t="n">
        <v>-2532.22</v>
      </c>
      <c r="W92" s="91" t="n">
        <f aca="false">IFERROR(V92/V$5,0)</f>
        <v>-0.0253222</v>
      </c>
      <c r="Y92" s="157" t="n">
        <f aca="false">SUMIFS('Dados Mov Financeira'!$N:$N,'Dados Mov Financeira'!$O:$O,'DRE 2024'!$B92,'Dados Mov Financeira'!$A:$A,'DRE 2024'!Y$1,'Dados Mov Financeira'!$B:$B,'DRE 2024'!Y$2)</f>
        <v>0</v>
      </c>
      <c r="Z92" s="91" t="n">
        <f aca="false">IFERROR(Y92/Y$5,0)</f>
        <v>0</v>
      </c>
      <c r="AA92" s="139" t="n">
        <f aca="false">IFERROR((Y92/V92)-1,0)</f>
        <v>-1</v>
      </c>
      <c r="AB92" s="157" t="n">
        <v>-2532.22</v>
      </c>
      <c r="AC92" s="91" t="n">
        <f aca="false">IFERROR(AB92/AB$5,0)</f>
        <v>-0.0230201818181818</v>
      </c>
      <c r="AE92" s="157" t="n">
        <f aca="false">SUMIFS('Dados Mov Financeira'!$N:$N,'Dados Mov Financeira'!$O:$O,'DRE 2024'!$B92,'Dados Mov Financeira'!$A:$A,'DRE 2024'!AE$1,'Dados Mov Financeira'!$B:$B,'DRE 2024'!AE$2)</f>
        <v>0</v>
      </c>
      <c r="AF92" s="91" t="n">
        <f aca="false">IFERROR(AE92/AE$5,0)</f>
        <v>0</v>
      </c>
      <c r="AG92" s="139" t="n">
        <f aca="false">IFERROR((AE92/AB92)-1,0)</f>
        <v>-1</v>
      </c>
      <c r="AH92" s="157" t="n">
        <v>-2532.22</v>
      </c>
      <c r="AI92" s="91" t="n">
        <f aca="false">IFERROR(AH92/AH$5,0)</f>
        <v>-0.0211018333333333</v>
      </c>
      <c r="AK92" s="157" t="n">
        <f aca="false">SUMIFS('Dados Mov Financeira'!$N:$N,'Dados Mov Financeira'!$O:$O,'DRE 2024'!$B92,'Dados Mov Financeira'!$A:$A,'DRE 2024'!AK$1,'Dados Mov Financeira'!$B:$B,'DRE 2024'!AK$2)</f>
        <v>0</v>
      </c>
      <c r="AL92" s="91" t="n">
        <f aca="false">IFERROR(AK92/AK$5,0)</f>
        <v>0</v>
      </c>
      <c r="AM92" s="139" t="n">
        <f aca="false">IFERROR((AK92/AH92)-1,0)</f>
        <v>-1</v>
      </c>
      <c r="AN92" s="157" t="n">
        <v>-2532.22</v>
      </c>
      <c r="AO92" s="91" t="n">
        <f aca="false">IFERROR(AN92/AN$5,0)</f>
        <v>-0.0194786153846154</v>
      </c>
      <c r="AQ92" s="157" t="n">
        <f aca="false">SUMIFS('Dados Mov Financeira'!$N:$N,'Dados Mov Financeira'!$O:$O,'DRE 2024'!$B92,'Dados Mov Financeira'!$A:$A,'DRE 2024'!AQ$1,'Dados Mov Financeira'!$B:$B,'DRE 2024'!AQ$2)</f>
        <v>0</v>
      </c>
      <c r="AR92" s="91" t="n">
        <f aca="false">IFERROR(AQ92/AQ$5,0)</f>
        <v>0</v>
      </c>
      <c r="AS92" s="139" t="n">
        <f aca="false">IFERROR((AQ92/AN92)-1,0)</f>
        <v>-1</v>
      </c>
      <c r="AT92" s="157" t="n">
        <v>-2532.22</v>
      </c>
      <c r="AU92" s="91" t="n">
        <f aca="false">IFERROR(AT92/AT$5,0)</f>
        <v>-0.0180872857142857</v>
      </c>
      <c r="AW92" s="157" t="n">
        <f aca="false">SUMIFS('Dados Mov Financeira'!$N:$N,'Dados Mov Financeira'!$O:$O,'DRE 2024'!$B92,'Dados Mov Financeira'!$A:$A,'DRE 2024'!AW$1,'Dados Mov Financeira'!$B:$B,'DRE 2024'!AW$2)</f>
        <v>0</v>
      </c>
      <c r="AX92" s="91" t="n">
        <f aca="false">IFERROR(AW92/AW$5,0)</f>
        <v>0</v>
      </c>
      <c r="AY92" s="139" t="n">
        <f aca="false">IFERROR((AW92/AT92)-1,0)</f>
        <v>-1</v>
      </c>
      <c r="AZ92" s="157" t="n">
        <v>-2532.22</v>
      </c>
      <c r="BA92" s="91" t="n">
        <f aca="false">IFERROR(AZ92/AZ$5,0)</f>
        <v>-0.0168814666666667</v>
      </c>
      <c r="BC92" s="157" t="n">
        <f aca="false">SUMIFS('Dados Mov Financeira'!$N:$N,'Dados Mov Financeira'!$O:$O,'DRE 2024'!$B92,'Dados Mov Financeira'!$A:$A,'DRE 2024'!BC$1,'Dados Mov Financeira'!$B:$B,'DRE 2024'!BC$2)</f>
        <v>0</v>
      </c>
      <c r="BD92" s="91" t="n">
        <f aca="false">IFERROR(BC92/BC$5,0)</f>
        <v>0</v>
      </c>
      <c r="BE92" s="139" t="n">
        <f aca="false">IFERROR((BC92/AZ92)-1,0)</f>
        <v>-1</v>
      </c>
      <c r="BF92" s="157" t="n">
        <v>-2532.22</v>
      </c>
      <c r="BG92" s="91" t="n">
        <f aca="false">IFERROR(BF92/BF$5,0)</f>
        <v>-0.0168814666666667</v>
      </c>
      <c r="BI92" s="157" t="n">
        <f aca="false">SUMIFS('Dados Mov Financeira'!$N:$N,'Dados Mov Financeira'!$O:$O,'DRE 2024'!$B92,'Dados Mov Financeira'!$A:$A,'DRE 2024'!BI$1,'Dados Mov Financeira'!$B:$B,'DRE 2024'!BI$2)</f>
        <v>0</v>
      </c>
      <c r="BJ92" s="91" t="n">
        <f aca="false">IFERROR(BI92/BI$5,0)</f>
        <v>0</v>
      </c>
      <c r="BK92" s="139" t="n">
        <f aca="false">IFERROR((BI92/BF92)-1,0)</f>
        <v>-1</v>
      </c>
      <c r="BL92" s="157" t="n">
        <v>-2532.22</v>
      </c>
      <c r="BM92" s="91" t="n">
        <f aca="false">IFERROR(BL92/BL$5,0)</f>
        <v>-0.0168814666666667</v>
      </c>
      <c r="BO92" s="157" t="n">
        <f aca="false">SUMIFS('Dados Mov Financeira'!$N:$N,'Dados Mov Financeira'!$O:$O,'DRE 2024'!$B92,'Dados Mov Financeira'!$A:$A,'DRE 2024'!BO$1,'Dados Mov Financeira'!$B:$B,'DRE 2024'!BO$2)</f>
        <v>0</v>
      </c>
      <c r="BP92" s="91" t="n">
        <f aca="false">IFERROR(BO92/BO$5,0)</f>
        <v>0</v>
      </c>
      <c r="BQ92" s="139" t="n">
        <f aca="false">IFERROR((BO92/BL92)-1,0)</f>
        <v>-1</v>
      </c>
      <c r="BR92" s="157" t="n">
        <v>-2532.22</v>
      </c>
      <c r="BS92" s="91" t="n">
        <f aca="false">IFERROR(BR92/BR$5,0)</f>
        <v>-0.0168814666666667</v>
      </c>
      <c r="BT92" s="171"/>
      <c r="BU92" s="157" t="n">
        <f aca="false">SUMIFS('Dados Mov Financeira'!$N:$N,'Dados Mov Financeira'!$O:$O,'DRE 2024'!$B92,'Dados Mov Financeira'!$A:$A,'DRE 2024'!BU$1,'Dados Mov Financeira'!$B:$B,'DRE 2024'!BU$2)</f>
        <v>0</v>
      </c>
      <c r="BV92" s="91" t="n">
        <f aca="false">IFERROR(BU92/BU$5,0)</f>
        <v>0</v>
      </c>
      <c r="BW92" s="139" t="n">
        <f aca="false">IFERROR((BU92/BR92)-1,0)</f>
        <v>-1</v>
      </c>
      <c r="BX92" s="172" t="n">
        <f aca="false">SUM(D92,J92,P92,V92,AB92,AH92,AN92,AT92,AZ92,BF92,BL92,BR92)</f>
        <v>-30386.64</v>
      </c>
      <c r="BY92" s="91" t="n">
        <f aca="false">IFERROR(BX92/BX$5,0)</f>
        <v>-0.0208842886597938</v>
      </c>
      <c r="CA92" s="172" t="n">
        <f aca="false">SUM(G92,M92,S92,Y92,AE92,AK92,AQ92,AW92,BC92,BI92,BO92,BU92)</f>
        <v>0</v>
      </c>
      <c r="CB92" s="91" t="n">
        <f aca="false">IFERROR(CA92/CA$5,0)</f>
        <v>0</v>
      </c>
      <c r="CC92" s="139" t="n">
        <f aca="false">IFERROR((CA92/BX92)-1,0)</f>
        <v>-1</v>
      </c>
      <c r="CE92" s="174" t="n">
        <f aca="false">BX92/$CF$1</f>
        <v>-2532.22</v>
      </c>
      <c r="CF92" s="94" t="n">
        <f aca="false">IFERROR(CE92/CE$5,0)</f>
        <v>-0.0208842886597938</v>
      </c>
      <c r="CH92" s="174" t="n">
        <f aca="false">CA92/$CI$1</f>
        <v>0</v>
      </c>
      <c r="CI92" s="94" t="n">
        <f aca="false">IFERROR(CH92/CH$5,0)</f>
        <v>0</v>
      </c>
    </row>
    <row r="93" customFormat="false" ht="14.25" hidden="false" customHeight="false" outlineLevel="1" collapsed="false">
      <c r="B93" s="169" t="s">
        <v>125</v>
      </c>
      <c r="D93" s="157" t="n">
        <v>-480</v>
      </c>
      <c r="E93" s="91" t="n">
        <f aca="false">IFERROR(D93/D$5,0)</f>
        <v>-0.006</v>
      </c>
      <c r="G93" s="157" t="n">
        <f aca="false">SUMIFS('Dados Mov Financeira'!$N:$N,'Dados Mov Financeira'!$O:$O,'DRE 2024'!$B93,'Dados Mov Financeira'!$A:$A,'DRE 2024'!G$1,'Dados Mov Financeira'!$B:$B,'DRE 2024'!G$2)</f>
        <v>0</v>
      </c>
      <c r="H93" s="91" t="n">
        <f aca="false">IFERROR(G93/G$5,0)</f>
        <v>0</v>
      </c>
      <c r="I93" s="138" t="n">
        <f aca="false">IFERROR((G93/D93)-1,0)</f>
        <v>-1</v>
      </c>
      <c r="J93" s="157" t="n">
        <v>-480</v>
      </c>
      <c r="K93" s="91" t="n">
        <f aca="false">IFERROR(J93/J$5,0)</f>
        <v>-0.00564705882352941</v>
      </c>
      <c r="M93" s="157" t="n">
        <f aca="false">SUMIFS('Dados Mov Financeira'!$N:$N,'Dados Mov Financeira'!$O:$O,'DRE 2024'!$B93,'Dados Mov Financeira'!$A:$A,'DRE 2024'!M$1,'Dados Mov Financeira'!$B:$B,'DRE 2024'!M$2)</f>
        <v>0</v>
      </c>
      <c r="N93" s="91" t="n">
        <f aca="false">IFERROR(M93/M$5,0)</f>
        <v>0</v>
      </c>
      <c r="O93" s="139" t="n">
        <f aca="false">IFERROR((M93/J93)-1,0)</f>
        <v>-1</v>
      </c>
      <c r="P93" s="157" t="n">
        <v>-480</v>
      </c>
      <c r="Q93" s="91" t="n">
        <f aca="false">IFERROR(P93/P$5,0)</f>
        <v>-0.00533333333333333</v>
      </c>
      <c r="S93" s="157" t="n">
        <f aca="false">SUMIFS('Dados Mov Financeira'!$N:$N,'Dados Mov Financeira'!$O:$O,'DRE 2024'!$B93,'Dados Mov Financeira'!$A:$A,'DRE 2024'!S$1,'Dados Mov Financeira'!$B:$B,'DRE 2024'!S$2)</f>
        <v>0</v>
      </c>
      <c r="T93" s="91" t="n">
        <f aca="false">IFERROR(S93/S$5,0)</f>
        <v>0</v>
      </c>
      <c r="U93" s="139" t="n">
        <f aca="false">IFERROR((S93/P93)-1,0)</f>
        <v>-1</v>
      </c>
      <c r="V93" s="157" t="n">
        <v>-480</v>
      </c>
      <c r="W93" s="91" t="n">
        <f aca="false">IFERROR(V93/V$5,0)</f>
        <v>-0.0048</v>
      </c>
      <c r="Y93" s="157" t="n">
        <f aca="false">SUMIFS('Dados Mov Financeira'!$N:$N,'Dados Mov Financeira'!$O:$O,'DRE 2024'!$B93,'Dados Mov Financeira'!$A:$A,'DRE 2024'!Y$1,'Dados Mov Financeira'!$B:$B,'DRE 2024'!Y$2)</f>
        <v>0</v>
      </c>
      <c r="Z93" s="91" t="n">
        <f aca="false">IFERROR(Y93/Y$5,0)</f>
        <v>0</v>
      </c>
      <c r="AA93" s="139" t="n">
        <f aca="false">IFERROR((Y93/V93)-1,0)</f>
        <v>-1</v>
      </c>
      <c r="AB93" s="157" t="n">
        <v>-480</v>
      </c>
      <c r="AC93" s="91" t="n">
        <f aca="false">IFERROR(AB93/AB$5,0)</f>
        <v>-0.00436363636363636</v>
      </c>
      <c r="AE93" s="157" t="n">
        <f aca="false">SUMIFS('Dados Mov Financeira'!$N:$N,'Dados Mov Financeira'!$O:$O,'DRE 2024'!$B93,'Dados Mov Financeira'!$A:$A,'DRE 2024'!AE$1,'Dados Mov Financeira'!$B:$B,'DRE 2024'!AE$2)</f>
        <v>0</v>
      </c>
      <c r="AF93" s="91" t="n">
        <f aca="false">IFERROR(AE93/AE$5,0)</f>
        <v>0</v>
      </c>
      <c r="AG93" s="139" t="n">
        <f aca="false">IFERROR((AE93/AB93)-1,0)</f>
        <v>-1</v>
      </c>
      <c r="AH93" s="157" t="n">
        <v>-480</v>
      </c>
      <c r="AI93" s="91" t="n">
        <f aca="false">IFERROR(AH93/AH$5,0)</f>
        <v>-0.004</v>
      </c>
      <c r="AK93" s="157" t="n">
        <f aca="false">SUMIFS('Dados Mov Financeira'!$N:$N,'Dados Mov Financeira'!$O:$O,'DRE 2024'!$B93,'Dados Mov Financeira'!$A:$A,'DRE 2024'!AK$1,'Dados Mov Financeira'!$B:$B,'DRE 2024'!AK$2)</f>
        <v>0</v>
      </c>
      <c r="AL93" s="91" t="n">
        <f aca="false">IFERROR(AK93/AK$5,0)</f>
        <v>0</v>
      </c>
      <c r="AM93" s="139" t="n">
        <f aca="false">IFERROR((AK93/AH93)-1,0)</f>
        <v>-1</v>
      </c>
      <c r="AN93" s="157" t="n">
        <v>-480</v>
      </c>
      <c r="AO93" s="91" t="n">
        <f aca="false">IFERROR(AN93/AN$5,0)</f>
        <v>-0.00369230769230769</v>
      </c>
      <c r="AQ93" s="157" t="n">
        <f aca="false">SUMIFS('Dados Mov Financeira'!$N:$N,'Dados Mov Financeira'!$O:$O,'DRE 2024'!$B93,'Dados Mov Financeira'!$A:$A,'DRE 2024'!AQ$1,'Dados Mov Financeira'!$B:$B,'DRE 2024'!AQ$2)</f>
        <v>0</v>
      </c>
      <c r="AR93" s="91" t="n">
        <f aca="false">IFERROR(AQ93/AQ$5,0)</f>
        <v>0</v>
      </c>
      <c r="AS93" s="139" t="n">
        <f aca="false">IFERROR((AQ93/AN93)-1,0)</f>
        <v>-1</v>
      </c>
      <c r="AT93" s="157" t="n">
        <v>-480</v>
      </c>
      <c r="AU93" s="91" t="n">
        <f aca="false">IFERROR(AT93/AT$5,0)</f>
        <v>-0.00342857142857143</v>
      </c>
      <c r="AW93" s="157" t="n">
        <f aca="false">SUMIFS('Dados Mov Financeira'!$N:$N,'Dados Mov Financeira'!$O:$O,'DRE 2024'!$B93,'Dados Mov Financeira'!$A:$A,'DRE 2024'!AW$1,'Dados Mov Financeira'!$B:$B,'DRE 2024'!AW$2)</f>
        <v>0</v>
      </c>
      <c r="AX93" s="91" t="n">
        <f aca="false">IFERROR(AW93/AW$5,0)</f>
        <v>0</v>
      </c>
      <c r="AY93" s="139" t="n">
        <f aca="false">IFERROR((AW93/AT93)-1,0)</f>
        <v>-1</v>
      </c>
      <c r="AZ93" s="157" t="n">
        <v>-480</v>
      </c>
      <c r="BA93" s="91" t="n">
        <f aca="false">IFERROR(AZ93/AZ$5,0)</f>
        <v>-0.0032</v>
      </c>
      <c r="BC93" s="157" t="n">
        <f aca="false">SUMIFS('Dados Mov Financeira'!$N:$N,'Dados Mov Financeira'!$O:$O,'DRE 2024'!$B93,'Dados Mov Financeira'!$A:$A,'DRE 2024'!BC$1,'Dados Mov Financeira'!$B:$B,'DRE 2024'!BC$2)</f>
        <v>0</v>
      </c>
      <c r="BD93" s="91" t="n">
        <f aca="false">IFERROR(BC93/BC$5,0)</f>
        <v>0</v>
      </c>
      <c r="BE93" s="139" t="n">
        <f aca="false">IFERROR((BC93/AZ93)-1,0)</f>
        <v>-1</v>
      </c>
      <c r="BF93" s="157" t="n">
        <v>-480</v>
      </c>
      <c r="BG93" s="91" t="n">
        <f aca="false">IFERROR(BF93/BF$5,0)</f>
        <v>-0.0032</v>
      </c>
      <c r="BI93" s="157" t="n">
        <f aca="false">SUMIFS('Dados Mov Financeira'!$N:$N,'Dados Mov Financeira'!$O:$O,'DRE 2024'!$B93,'Dados Mov Financeira'!$A:$A,'DRE 2024'!BI$1,'Dados Mov Financeira'!$B:$B,'DRE 2024'!BI$2)</f>
        <v>0</v>
      </c>
      <c r="BJ93" s="91" t="n">
        <f aca="false">IFERROR(BI93/BI$5,0)</f>
        <v>0</v>
      </c>
      <c r="BK93" s="139" t="n">
        <f aca="false">IFERROR((BI93/BF93)-1,0)</f>
        <v>-1</v>
      </c>
      <c r="BL93" s="157" t="n">
        <v>-480</v>
      </c>
      <c r="BM93" s="91" t="n">
        <f aca="false">IFERROR(BL93/BL$5,0)</f>
        <v>-0.0032</v>
      </c>
      <c r="BO93" s="157" t="n">
        <f aca="false">SUMIFS('Dados Mov Financeira'!$N:$N,'Dados Mov Financeira'!$O:$O,'DRE 2024'!$B93,'Dados Mov Financeira'!$A:$A,'DRE 2024'!BO$1,'Dados Mov Financeira'!$B:$B,'DRE 2024'!BO$2)</f>
        <v>0</v>
      </c>
      <c r="BP93" s="91" t="n">
        <f aca="false">IFERROR(BO93/BO$5,0)</f>
        <v>0</v>
      </c>
      <c r="BQ93" s="139" t="n">
        <f aca="false">IFERROR((BO93/BL93)-1,0)</f>
        <v>-1</v>
      </c>
      <c r="BR93" s="157" t="n">
        <v>-480</v>
      </c>
      <c r="BS93" s="91" t="n">
        <f aca="false">IFERROR(BR93/BR$5,0)</f>
        <v>-0.0032</v>
      </c>
      <c r="BT93" s="171"/>
      <c r="BU93" s="157" t="n">
        <f aca="false">SUMIFS('Dados Mov Financeira'!$N:$N,'Dados Mov Financeira'!$O:$O,'DRE 2024'!$B93,'Dados Mov Financeira'!$A:$A,'DRE 2024'!BU$1,'Dados Mov Financeira'!$B:$B,'DRE 2024'!BU$2)</f>
        <v>0</v>
      </c>
      <c r="BV93" s="91" t="n">
        <f aca="false">IFERROR(BU93/BU$5,0)</f>
        <v>0</v>
      </c>
      <c r="BW93" s="139" t="n">
        <f aca="false">IFERROR((BU93/BR93)-1,0)</f>
        <v>-1</v>
      </c>
      <c r="BX93" s="172" t="n">
        <f aca="false">SUM(D93,J93,P93,V93,AB93,AH93,AN93,AT93,AZ93,BF93,BL93,BR93)</f>
        <v>-5760</v>
      </c>
      <c r="BY93" s="91" t="n">
        <f aca="false">IFERROR(BX93/BX$5,0)</f>
        <v>-0.00395876288659794</v>
      </c>
      <c r="CA93" s="172" t="n">
        <f aca="false">SUM(G93,M93,S93,Y93,AE93,AK93,AQ93,AW93,BC93,BI93,BO93,BU93)</f>
        <v>0</v>
      </c>
      <c r="CB93" s="91" t="n">
        <f aca="false">IFERROR(CA93/CA$5,0)</f>
        <v>0</v>
      </c>
      <c r="CC93" s="139" t="n">
        <f aca="false">IFERROR((CA93/BX93)-1,0)</f>
        <v>-1</v>
      </c>
      <c r="CE93" s="174" t="n">
        <f aca="false">BX93/$CF$1</f>
        <v>-480</v>
      </c>
      <c r="CF93" s="94" t="n">
        <f aca="false">IFERROR(CE93/CE$5,0)</f>
        <v>-0.00395876288659794</v>
      </c>
      <c r="CH93" s="174" t="n">
        <f aca="false">CA93/$CI$1</f>
        <v>0</v>
      </c>
      <c r="CI93" s="94" t="n">
        <f aca="false">IFERROR(CH93/CH$5,0)</f>
        <v>0</v>
      </c>
    </row>
    <row r="94" customFormat="false" ht="14.25" hidden="false" customHeight="false" outlineLevel="1" collapsed="false">
      <c r="B94" s="169" t="s">
        <v>126</v>
      </c>
      <c r="D94" s="157" t="n">
        <v>-200</v>
      </c>
      <c r="E94" s="91" t="n">
        <f aca="false">IFERROR(D94/D$5,0)</f>
        <v>-0.0025</v>
      </c>
      <c r="G94" s="157" t="n">
        <f aca="false">SUMIFS('Dados Mov Financeira'!$N:$N,'Dados Mov Financeira'!$O:$O,'DRE 2024'!$B94,'Dados Mov Financeira'!$A:$A,'DRE 2024'!G$1,'Dados Mov Financeira'!$B:$B,'DRE 2024'!G$2)</f>
        <v>0</v>
      </c>
      <c r="H94" s="91" t="n">
        <f aca="false">IFERROR(G94/G$5,0)</f>
        <v>0</v>
      </c>
      <c r="I94" s="138" t="n">
        <f aca="false">IFERROR((G94/D94)-1,0)</f>
        <v>-1</v>
      </c>
      <c r="J94" s="157" t="n">
        <v>-200</v>
      </c>
      <c r="K94" s="91" t="n">
        <f aca="false">IFERROR(J94/J$5,0)</f>
        <v>-0.00235294117647059</v>
      </c>
      <c r="M94" s="157" t="n">
        <f aca="false">SUMIFS('Dados Mov Financeira'!$N:$N,'Dados Mov Financeira'!$O:$O,'DRE 2024'!$B94,'Dados Mov Financeira'!$A:$A,'DRE 2024'!M$1,'Dados Mov Financeira'!$B:$B,'DRE 2024'!M$2)</f>
        <v>0</v>
      </c>
      <c r="N94" s="91" t="n">
        <f aca="false">IFERROR(M94/M$5,0)</f>
        <v>0</v>
      </c>
      <c r="O94" s="139" t="n">
        <f aca="false">IFERROR((M94/J94)-1,0)</f>
        <v>-1</v>
      </c>
      <c r="P94" s="157" t="n">
        <v>-200</v>
      </c>
      <c r="Q94" s="91" t="n">
        <f aca="false">IFERROR(P94/P$5,0)</f>
        <v>-0.00222222222222222</v>
      </c>
      <c r="S94" s="157" t="n">
        <f aca="false">SUMIFS('Dados Mov Financeira'!$N:$N,'Dados Mov Financeira'!$O:$O,'DRE 2024'!$B94,'Dados Mov Financeira'!$A:$A,'DRE 2024'!S$1,'Dados Mov Financeira'!$B:$B,'DRE 2024'!S$2)</f>
        <v>0</v>
      </c>
      <c r="T94" s="91" t="n">
        <f aca="false">IFERROR(S94/S$5,0)</f>
        <v>0</v>
      </c>
      <c r="U94" s="139" t="n">
        <f aca="false">IFERROR((S94/P94)-1,0)</f>
        <v>-1</v>
      </c>
      <c r="V94" s="157" t="n">
        <v>-200</v>
      </c>
      <c r="W94" s="91" t="n">
        <f aca="false">IFERROR(V94/V$5,0)</f>
        <v>-0.002</v>
      </c>
      <c r="Y94" s="157" t="n">
        <f aca="false">SUMIFS('Dados Mov Financeira'!$N:$N,'Dados Mov Financeira'!$O:$O,'DRE 2024'!$B94,'Dados Mov Financeira'!$A:$A,'DRE 2024'!Y$1,'Dados Mov Financeira'!$B:$B,'DRE 2024'!Y$2)</f>
        <v>0</v>
      </c>
      <c r="Z94" s="91" t="n">
        <f aca="false">IFERROR(Y94/Y$5,0)</f>
        <v>0</v>
      </c>
      <c r="AA94" s="139" t="n">
        <f aca="false">IFERROR((Y94/V94)-1,0)</f>
        <v>-1</v>
      </c>
      <c r="AB94" s="157" t="n">
        <v>-200</v>
      </c>
      <c r="AC94" s="91" t="n">
        <f aca="false">IFERROR(AB94/AB$5,0)</f>
        <v>-0.00181818181818182</v>
      </c>
      <c r="AE94" s="157" t="n">
        <f aca="false">SUMIFS('Dados Mov Financeira'!$N:$N,'Dados Mov Financeira'!$O:$O,'DRE 2024'!$B94,'Dados Mov Financeira'!$A:$A,'DRE 2024'!AE$1,'Dados Mov Financeira'!$B:$B,'DRE 2024'!AE$2)</f>
        <v>0</v>
      </c>
      <c r="AF94" s="91" t="n">
        <f aca="false">IFERROR(AE94/AE$5,0)</f>
        <v>0</v>
      </c>
      <c r="AG94" s="139" t="n">
        <f aca="false">IFERROR((AE94/AB94)-1,0)</f>
        <v>-1</v>
      </c>
      <c r="AH94" s="157" t="n">
        <v>-200</v>
      </c>
      <c r="AI94" s="91" t="n">
        <f aca="false">IFERROR(AH94/AH$5,0)</f>
        <v>-0.00166666666666667</v>
      </c>
      <c r="AK94" s="157" t="n">
        <f aca="false">SUMIFS('Dados Mov Financeira'!$N:$N,'Dados Mov Financeira'!$O:$O,'DRE 2024'!$B94,'Dados Mov Financeira'!$A:$A,'DRE 2024'!AK$1,'Dados Mov Financeira'!$B:$B,'DRE 2024'!AK$2)</f>
        <v>0</v>
      </c>
      <c r="AL94" s="91" t="n">
        <f aca="false">IFERROR(AK94/AK$5,0)</f>
        <v>0</v>
      </c>
      <c r="AM94" s="139" t="n">
        <f aca="false">IFERROR((AK94/AH94)-1,0)</f>
        <v>-1</v>
      </c>
      <c r="AN94" s="157" t="n">
        <v>-200</v>
      </c>
      <c r="AO94" s="91" t="n">
        <f aca="false">IFERROR(AN94/AN$5,0)</f>
        <v>-0.00153846153846154</v>
      </c>
      <c r="AQ94" s="157" t="n">
        <f aca="false">SUMIFS('Dados Mov Financeira'!$N:$N,'Dados Mov Financeira'!$O:$O,'DRE 2024'!$B94,'Dados Mov Financeira'!$A:$A,'DRE 2024'!AQ$1,'Dados Mov Financeira'!$B:$B,'DRE 2024'!AQ$2)</f>
        <v>0</v>
      </c>
      <c r="AR94" s="91" t="n">
        <f aca="false">IFERROR(AQ94/AQ$5,0)</f>
        <v>0</v>
      </c>
      <c r="AS94" s="139" t="n">
        <f aca="false">IFERROR((AQ94/AN94)-1,0)</f>
        <v>-1</v>
      </c>
      <c r="AT94" s="157" t="n">
        <v>-200</v>
      </c>
      <c r="AU94" s="91" t="n">
        <f aca="false">IFERROR(AT94/AT$5,0)</f>
        <v>-0.00142857142857143</v>
      </c>
      <c r="AW94" s="157" t="n">
        <f aca="false">SUMIFS('Dados Mov Financeira'!$N:$N,'Dados Mov Financeira'!$O:$O,'DRE 2024'!$B94,'Dados Mov Financeira'!$A:$A,'DRE 2024'!AW$1,'Dados Mov Financeira'!$B:$B,'DRE 2024'!AW$2)</f>
        <v>0</v>
      </c>
      <c r="AX94" s="91" t="n">
        <f aca="false">IFERROR(AW94/AW$5,0)</f>
        <v>0</v>
      </c>
      <c r="AY94" s="139" t="n">
        <f aca="false">IFERROR((AW94/AT94)-1,0)</f>
        <v>-1</v>
      </c>
      <c r="AZ94" s="157" t="n">
        <v>-200</v>
      </c>
      <c r="BA94" s="91" t="n">
        <f aca="false">IFERROR(AZ94/AZ$5,0)</f>
        <v>-0.00133333333333333</v>
      </c>
      <c r="BC94" s="157" t="n">
        <f aca="false">SUMIFS('Dados Mov Financeira'!$N:$N,'Dados Mov Financeira'!$O:$O,'DRE 2024'!$B94,'Dados Mov Financeira'!$A:$A,'DRE 2024'!BC$1,'Dados Mov Financeira'!$B:$B,'DRE 2024'!BC$2)</f>
        <v>0</v>
      </c>
      <c r="BD94" s="91" t="n">
        <f aca="false">IFERROR(BC94/BC$5,0)</f>
        <v>0</v>
      </c>
      <c r="BE94" s="139" t="n">
        <f aca="false">IFERROR((BC94/AZ94)-1,0)</f>
        <v>-1</v>
      </c>
      <c r="BF94" s="157" t="n">
        <v>-200</v>
      </c>
      <c r="BG94" s="91" t="n">
        <f aca="false">IFERROR(BF94/BF$5,0)</f>
        <v>-0.00133333333333333</v>
      </c>
      <c r="BI94" s="157" t="n">
        <f aca="false">SUMIFS('Dados Mov Financeira'!$N:$N,'Dados Mov Financeira'!$O:$O,'DRE 2024'!$B94,'Dados Mov Financeira'!$A:$A,'DRE 2024'!BI$1,'Dados Mov Financeira'!$B:$B,'DRE 2024'!BI$2)</f>
        <v>0</v>
      </c>
      <c r="BJ94" s="91" t="n">
        <f aca="false">IFERROR(BI94/BI$5,0)</f>
        <v>0</v>
      </c>
      <c r="BK94" s="139" t="n">
        <f aca="false">IFERROR((BI94/BF94)-1,0)</f>
        <v>-1</v>
      </c>
      <c r="BL94" s="157" t="n">
        <v>-200</v>
      </c>
      <c r="BM94" s="91" t="n">
        <f aca="false">IFERROR(BL94/BL$5,0)</f>
        <v>-0.00133333333333333</v>
      </c>
      <c r="BO94" s="157" t="n">
        <f aca="false">SUMIFS('Dados Mov Financeira'!$N:$N,'Dados Mov Financeira'!$O:$O,'DRE 2024'!$B94,'Dados Mov Financeira'!$A:$A,'DRE 2024'!BO$1,'Dados Mov Financeira'!$B:$B,'DRE 2024'!BO$2)</f>
        <v>0</v>
      </c>
      <c r="BP94" s="91" t="n">
        <f aca="false">IFERROR(BO94/BO$5,0)</f>
        <v>0</v>
      </c>
      <c r="BQ94" s="139" t="n">
        <f aca="false">IFERROR((BO94/BL94)-1,0)</f>
        <v>-1</v>
      </c>
      <c r="BR94" s="157" t="n">
        <v>-200</v>
      </c>
      <c r="BS94" s="91" t="n">
        <f aca="false">IFERROR(BR94/BR$5,0)</f>
        <v>-0.00133333333333333</v>
      </c>
      <c r="BT94" s="171"/>
      <c r="BU94" s="157" t="n">
        <f aca="false">SUMIFS('Dados Mov Financeira'!$N:$N,'Dados Mov Financeira'!$O:$O,'DRE 2024'!$B94,'Dados Mov Financeira'!$A:$A,'DRE 2024'!BU$1,'Dados Mov Financeira'!$B:$B,'DRE 2024'!BU$2)</f>
        <v>0</v>
      </c>
      <c r="BV94" s="91" t="n">
        <f aca="false">IFERROR(BU94/BU$5,0)</f>
        <v>0</v>
      </c>
      <c r="BW94" s="139" t="n">
        <f aca="false">IFERROR((BU94/BR94)-1,0)</f>
        <v>-1</v>
      </c>
      <c r="BX94" s="172" t="n">
        <f aca="false">SUM(D94,J94,P94,V94,AB94,AH94,AN94,AT94,AZ94,BF94,BL94,BR94)</f>
        <v>-2400</v>
      </c>
      <c r="BY94" s="91" t="n">
        <f aca="false">IFERROR(BX94/BX$5,0)</f>
        <v>-0.00164948453608247</v>
      </c>
      <c r="CA94" s="172" t="n">
        <f aca="false">SUM(G94,M94,S94,Y94,AE94,AK94,AQ94,AW94,BC94,BI94,BO94,BU94)</f>
        <v>0</v>
      </c>
      <c r="CB94" s="91" t="n">
        <f aca="false">IFERROR(CA94/CA$5,0)</f>
        <v>0</v>
      </c>
      <c r="CC94" s="139" t="n">
        <f aca="false">IFERROR((CA94/BX94)-1,0)</f>
        <v>-1</v>
      </c>
      <c r="CE94" s="174" t="n">
        <f aca="false">BX94/$CF$1</f>
        <v>-200</v>
      </c>
      <c r="CF94" s="94" t="n">
        <f aca="false">IFERROR(CE94/CE$5,0)</f>
        <v>-0.00164948453608247</v>
      </c>
      <c r="CH94" s="174" t="n">
        <f aca="false">CA94/$CI$1</f>
        <v>0</v>
      </c>
      <c r="CI94" s="94" t="n">
        <f aca="false">IFERROR(CH94/CH$5,0)</f>
        <v>0</v>
      </c>
    </row>
    <row r="95" customFormat="false" ht="14.25" hidden="false" customHeight="false" outlineLevel="1" collapsed="false">
      <c r="B95" s="169" t="s">
        <v>127</v>
      </c>
      <c r="D95" s="157" t="n">
        <v>0</v>
      </c>
      <c r="E95" s="91" t="n">
        <f aca="false">IFERROR(D95/D$5,0)</f>
        <v>0</v>
      </c>
      <c r="G95" s="157" t="n">
        <f aca="false">SUMIFS('Dados Mov Financeira'!$N:$N,'Dados Mov Financeira'!$O:$O,'DRE 2024'!$B95,'Dados Mov Financeira'!$A:$A,'DRE 2024'!G$1,'Dados Mov Financeira'!$B:$B,'DRE 2024'!G$2)</f>
        <v>0</v>
      </c>
      <c r="H95" s="91" t="n">
        <f aca="false">IFERROR(G95/G$5,0)</f>
        <v>0</v>
      </c>
      <c r="I95" s="138" t="n">
        <f aca="false">IFERROR((G95/D95)-1,0)</f>
        <v>0</v>
      </c>
      <c r="J95" s="157" t="n">
        <v>0</v>
      </c>
      <c r="K95" s="91" t="n">
        <f aca="false">IFERROR(J95/J$5,0)</f>
        <v>0</v>
      </c>
      <c r="M95" s="157" t="n">
        <f aca="false">SUMIFS('Dados Mov Financeira'!$N:$N,'Dados Mov Financeira'!$O:$O,'DRE 2024'!$B95,'Dados Mov Financeira'!$A:$A,'DRE 2024'!M$1,'Dados Mov Financeira'!$B:$B,'DRE 2024'!M$2)</f>
        <v>0</v>
      </c>
      <c r="N95" s="91" t="n">
        <f aca="false">IFERROR(M95/M$5,0)</f>
        <v>0</v>
      </c>
      <c r="O95" s="139" t="n">
        <f aca="false">IFERROR((M95/J95)-1,0)</f>
        <v>0</v>
      </c>
      <c r="P95" s="157" t="n">
        <v>0</v>
      </c>
      <c r="Q95" s="91" t="n">
        <f aca="false">IFERROR(P95/P$5,0)</f>
        <v>0</v>
      </c>
      <c r="S95" s="157" t="n">
        <f aca="false">SUMIFS('Dados Mov Financeira'!$N:$N,'Dados Mov Financeira'!$O:$O,'DRE 2024'!$B95,'Dados Mov Financeira'!$A:$A,'DRE 2024'!S$1,'Dados Mov Financeira'!$B:$B,'DRE 2024'!S$2)</f>
        <v>0</v>
      </c>
      <c r="T95" s="91" t="n">
        <f aca="false">IFERROR(S95/S$5,0)</f>
        <v>0</v>
      </c>
      <c r="U95" s="139" t="n">
        <f aca="false">IFERROR((S95/P95)-1,0)</f>
        <v>0</v>
      </c>
      <c r="V95" s="157" t="n">
        <v>0</v>
      </c>
      <c r="W95" s="91" t="n">
        <f aca="false">IFERROR(V95/V$5,0)</f>
        <v>0</v>
      </c>
      <c r="Y95" s="157" t="n">
        <f aca="false">SUMIFS('Dados Mov Financeira'!$N:$N,'Dados Mov Financeira'!$O:$O,'DRE 2024'!$B95,'Dados Mov Financeira'!$A:$A,'DRE 2024'!Y$1,'Dados Mov Financeira'!$B:$B,'DRE 2024'!Y$2)</f>
        <v>0</v>
      </c>
      <c r="Z95" s="91" t="n">
        <f aca="false">IFERROR(Y95/Y$5,0)</f>
        <v>0</v>
      </c>
      <c r="AA95" s="139" t="n">
        <f aca="false">IFERROR((Y95/V95)-1,0)</f>
        <v>0</v>
      </c>
      <c r="AB95" s="157" t="n">
        <v>0</v>
      </c>
      <c r="AC95" s="91" t="n">
        <f aca="false">IFERROR(AB95/AB$5,0)</f>
        <v>0</v>
      </c>
      <c r="AE95" s="157" t="n">
        <f aca="false">SUMIFS('Dados Mov Financeira'!$N:$N,'Dados Mov Financeira'!$O:$O,'DRE 2024'!$B95,'Dados Mov Financeira'!$A:$A,'DRE 2024'!AE$1,'Dados Mov Financeira'!$B:$B,'DRE 2024'!AE$2)</f>
        <v>0</v>
      </c>
      <c r="AF95" s="91" t="n">
        <f aca="false">IFERROR(AE95/AE$5,0)</f>
        <v>0</v>
      </c>
      <c r="AG95" s="139" t="n">
        <f aca="false">IFERROR((AE95/AB95)-1,0)</f>
        <v>0</v>
      </c>
      <c r="AH95" s="157" t="n">
        <v>0</v>
      </c>
      <c r="AI95" s="91" t="n">
        <f aca="false">IFERROR(AH95/AH$5,0)</f>
        <v>0</v>
      </c>
      <c r="AK95" s="157" t="n">
        <f aca="false">SUMIFS('Dados Mov Financeira'!$N:$N,'Dados Mov Financeira'!$O:$O,'DRE 2024'!$B95,'Dados Mov Financeira'!$A:$A,'DRE 2024'!AK$1,'Dados Mov Financeira'!$B:$B,'DRE 2024'!AK$2)</f>
        <v>0</v>
      </c>
      <c r="AL95" s="91" t="n">
        <f aca="false">IFERROR(AK95/AK$5,0)</f>
        <v>0</v>
      </c>
      <c r="AM95" s="139" t="n">
        <f aca="false">IFERROR((AK95/AH95)-1,0)</f>
        <v>0</v>
      </c>
      <c r="AN95" s="157" t="n">
        <v>0</v>
      </c>
      <c r="AO95" s="91" t="n">
        <f aca="false">IFERROR(AN95/AN$5,0)</f>
        <v>0</v>
      </c>
      <c r="AQ95" s="157" t="n">
        <f aca="false">SUMIFS('Dados Mov Financeira'!$N:$N,'Dados Mov Financeira'!$O:$O,'DRE 2024'!$B95,'Dados Mov Financeira'!$A:$A,'DRE 2024'!AQ$1,'Dados Mov Financeira'!$B:$B,'DRE 2024'!AQ$2)</f>
        <v>0</v>
      </c>
      <c r="AR95" s="91" t="n">
        <f aca="false">IFERROR(AQ95/AQ$5,0)</f>
        <v>0</v>
      </c>
      <c r="AS95" s="139" t="n">
        <f aca="false">IFERROR((AQ95/AN95)-1,0)</f>
        <v>0</v>
      </c>
      <c r="AT95" s="157" t="n">
        <v>0</v>
      </c>
      <c r="AU95" s="91" t="n">
        <f aca="false">IFERROR(AT95/AT$5,0)</f>
        <v>0</v>
      </c>
      <c r="AW95" s="157" t="n">
        <f aca="false">SUMIFS('Dados Mov Financeira'!$N:$N,'Dados Mov Financeira'!$O:$O,'DRE 2024'!$B95,'Dados Mov Financeira'!$A:$A,'DRE 2024'!AW$1,'Dados Mov Financeira'!$B:$B,'DRE 2024'!AW$2)</f>
        <v>0</v>
      </c>
      <c r="AX95" s="91" t="n">
        <f aca="false">IFERROR(AW95/AW$5,0)</f>
        <v>0</v>
      </c>
      <c r="AY95" s="139" t="n">
        <f aca="false">IFERROR((AW95/AT95)-1,0)</f>
        <v>0</v>
      </c>
      <c r="AZ95" s="157" t="n">
        <v>0</v>
      </c>
      <c r="BA95" s="91" t="n">
        <f aca="false">IFERROR(AZ95/AZ$5,0)</f>
        <v>0</v>
      </c>
      <c r="BC95" s="157" t="n">
        <f aca="false">SUMIFS('Dados Mov Financeira'!$N:$N,'Dados Mov Financeira'!$O:$O,'DRE 2024'!$B95,'Dados Mov Financeira'!$A:$A,'DRE 2024'!BC$1,'Dados Mov Financeira'!$B:$B,'DRE 2024'!BC$2)</f>
        <v>0</v>
      </c>
      <c r="BD95" s="91" t="n">
        <f aca="false">IFERROR(BC95/BC$5,0)</f>
        <v>0</v>
      </c>
      <c r="BE95" s="139" t="n">
        <f aca="false">IFERROR((BC95/AZ95)-1,0)</f>
        <v>0</v>
      </c>
      <c r="BF95" s="157" t="n">
        <v>0</v>
      </c>
      <c r="BG95" s="91" t="n">
        <f aca="false">IFERROR(BF95/BF$5,0)</f>
        <v>0</v>
      </c>
      <c r="BI95" s="157" t="n">
        <f aca="false">SUMIFS('Dados Mov Financeira'!$N:$N,'Dados Mov Financeira'!$O:$O,'DRE 2024'!$B95,'Dados Mov Financeira'!$A:$A,'DRE 2024'!BI$1,'Dados Mov Financeira'!$B:$B,'DRE 2024'!BI$2)</f>
        <v>0</v>
      </c>
      <c r="BJ95" s="91" t="n">
        <f aca="false">IFERROR(BI95/BI$5,0)</f>
        <v>0</v>
      </c>
      <c r="BK95" s="139" t="n">
        <f aca="false">IFERROR((BI95/BF95)-1,0)</f>
        <v>0</v>
      </c>
      <c r="BL95" s="157" t="n">
        <v>0</v>
      </c>
      <c r="BM95" s="91" t="n">
        <f aca="false">IFERROR(BL95/BL$5,0)</f>
        <v>0</v>
      </c>
      <c r="BO95" s="157" t="n">
        <f aca="false">SUMIFS('Dados Mov Financeira'!$N:$N,'Dados Mov Financeira'!$O:$O,'DRE 2024'!$B95,'Dados Mov Financeira'!$A:$A,'DRE 2024'!BO$1,'Dados Mov Financeira'!$B:$B,'DRE 2024'!BO$2)</f>
        <v>0</v>
      </c>
      <c r="BP95" s="91" t="n">
        <f aca="false">IFERROR(BO95/BO$5,0)</f>
        <v>0</v>
      </c>
      <c r="BQ95" s="139" t="n">
        <f aca="false">IFERROR((BO95/BL95)-1,0)</f>
        <v>0</v>
      </c>
      <c r="BR95" s="157" t="n">
        <v>0</v>
      </c>
      <c r="BS95" s="91" t="n">
        <f aca="false">IFERROR(BR95/BR$5,0)</f>
        <v>0</v>
      </c>
      <c r="BT95" s="171"/>
      <c r="BU95" s="157" t="n">
        <f aca="false">SUMIFS('Dados Mov Financeira'!$N:$N,'Dados Mov Financeira'!$O:$O,'DRE 2024'!$B95,'Dados Mov Financeira'!$A:$A,'DRE 2024'!BU$1,'Dados Mov Financeira'!$B:$B,'DRE 2024'!BU$2)</f>
        <v>0</v>
      </c>
      <c r="BV95" s="91" t="n">
        <f aca="false">IFERROR(BU95/BU$5,0)</f>
        <v>0</v>
      </c>
      <c r="BW95" s="139" t="n">
        <f aca="false">IFERROR((BU95/BR95)-1,0)</f>
        <v>0</v>
      </c>
      <c r="BX95" s="172" t="n">
        <f aca="false">SUM(D95,J95,P95,V95,AB95,AH95,AN95,AT95,AZ95,BF95,BL95,BR95)</f>
        <v>0</v>
      </c>
      <c r="BY95" s="91" t="n">
        <f aca="false">IFERROR(BX95/BX$5,0)</f>
        <v>0</v>
      </c>
      <c r="CA95" s="172" t="n">
        <f aca="false">SUM(G95,M95,S95,Y95,AE95,AK95,AQ95,AW95,BC95,BI95,BO95,BU95)</f>
        <v>0</v>
      </c>
      <c r="CB95" s="91" t="n">
        <f aca="false">IFERROR(CA95/CA$5,0)</f>
        <v>0</v>
      </c>
      <c r="CC95" s="139" t="n">
        <f aca="false">IFERROR((CA95/BX95)-1,0)</f>
        <v>0</v>
      </c>
      <c r="CE95" s="174" t="n">
        <f aca="false">BX95/$CF$1</f>
        <v>0</v>
      </c>
      <c r="CF95" s="94" t="n">
        <f aca="false">IFERROR(CE95/CE$5,0)</f>
        <v>0</v>
      </c>
      <c r="CH95" s="174" t="n">
        <f aca="false">CA95/$CI$1</f>
        <v>0</v>
      </c>
      <c r="CI95" s="94" t="n">
        <f aca="false">IFERROR(CH95/CH$5,0)</f>
        <v>0</v>
      </c>
    </row>
    <row r="96" customFormat="false" ht="14.25" hidden="false" customHeight="false" outlineLevel="1" collapsed="false">
      <c r="B96" s="169" t="s">
        <v>128</v>
      </c>
      <c r="D96" s="157" t="n">
        <v>0</v>
      </c>
      <c r="E96" s="91" t="n">
        <f aca="false">IFERROR(D96/D$5,0)</f>
        <v>0</v>
      </c>
      <c r="G96" s="157" t="n">
        <f aca="false">SUMIFS('Dados Mov Financeira'!$N:$N,'Dados Mov Financeira'!$O:$O,'DRE 2024'!$B96,'Dados Mov Financeira'!$A:$A,'DRE 2024'!G$1,'Dados Mov Financeira'!$B:$B,'DRE 2024'!G$2)</f>
        <v>0</v>
      </c>
      <c r="H96" s="91" t="n">
        <f aca="false">IFERROR(G96/G$5,0)</f>
        <v>0</v>
      </c>
      <c r="I96" s="138" t="n">
        <f aca="false">IFERROR((G96/D96)-1,0)</f>
        <v>0</v>
      </c>
      <c r="J96" s="157" t="n">
        <v>0</v>
      </c>
      <c r="K96" s="91" t="n">
        <f aca="false">IFERROR(J96/J$5,0)</f>
        <v>0</v>
      </c>
      <c r="M96" s="157" t="n">
        <f aca="false">SUMIFS('Dados Mov Financeira'!$N:$N,'Dados Mov Financeira'!$O:$O,'DRE 2024'!$B96,'Dados Mov Financeira'!$A:$A,'DRE 2024'!M$1,'Dados Mov Financeira'!$B:$B,'DRE 2024'!M$2)</f>
        <v>0</v>
      </c>
      <c r="N96" s="91" t="n">
        <f aca="false">IFERROR(M96/M$5,0)</f>
        <v>0</v>
      </c>
      <c r="O96" s="139" t="n">
        <f aca="false">IFERROR((M96/J96)-1,0)</f>
        <v>0</v>
      </c>
      <c r="P96" s="157" t="n">
        <v>0</v>
      </c>
      <c r="Q96" s="91" t="n">
        <f aca="false">IFERROR(P96/P$5,0)</f>
        <v>0</v>
      </c>
      <c r="S96" s="157" t="n">
        <f aca="false">SUMIFS('Dados Mov Financeira'!$N:$N,'Dados Mov Financeira'!$O:$O,'DRE 2024'!$B96,'Dados Mov Financeira'!$A:$A,'DRE 2024'!S$1,'Dados Mov Financeira'!$B:$B,'DRE 2024'!S$2)</f>
        <v>0</v>
      </c>
      <c r="T96" s="91" t="n">
        <f aca="false">IFERROR(S96/S$5,0)</f>
        <v>0</v>
      </c>
      <c r="U96" s="139" t="n">
        <f aca="false">IFERROR((S96/P96)-1,0)</f>
        <v>0</v>
      </c>
      <c r="V96" s="157" t="n">
        <v>0</v>
      </c>
      <c r="W96" s="91" t="n">
        <f aca="false">IFERROR(V96/V$5,0)</f>
        <v>0</v>
      </c>
      <c r="Y96" s="157" t="n">
        <f aca="false">SUMIFS('Dados Mov Financeira'!$N:$N,'Dados Mov Financeira'!$O:$O,'DRE 2024'!$B96,'Dados Mov Financeira'!$A:$A,'DRE 2024'!Y$1,'Dados Mov Financeira'!$B:$B,'DRE 2024'!Y$2)</f>
        <v>0</v>
      </c>
      <c r="Z96" s="91" t="n">
        <f aca="false">IFERROR(Y96/Y$5,0)</f>
        <v>0</v>
      </c>
      <c r="AA96" s="139" t="n">
        <f aca="false">IFERROR((Y96/V96)-1,0)</f>
        <v>0</v>
      </c>
      <c r="AB96" s="157" t="n">
        <v>0</v>
      </c>
      <c r="AC96" s="91" t="n">
        <f aca="false">IFERROR(AB96/AB$5,0)</f>
        <v>0</v>
      </c>
      <c r="AE96" s="157" t="n">
        <f aca="false">SUMIFS('Dados Mov Financeira'!$N:$N,'Dados Mov Financeira'!$O:$O,'DRE 2024'!$B96,'Dados Mov Financeira'!$A:$A,'DRE 2024'!AE$1,'Dados Mov Financeira'!$B:$B,'DRE 2024'!AE$2)</f>
        <v>0</v>
      </c>
      <c r="AF96" s="91" t="n">
        <f aca="false">IFERROR(AE96/AE$5,0)</f>
        <v>0</v>
      </c>
      <c r="AG96" s="139" t="n">
        <f aca="false">IFERROR((AE96/AB96)-1,0)</f>
        <v>0</v>
      </c>
      <c r="AH96" s="157" t="n">
        <v>0</v>
      </c>
      <c r="AI96" s="91" t="n">
        <f aca="false">IFERROR(AH96/AH$5,0)</f>
        <v>0</v>
      </c>
      <c r="AK96" s="157" t="n">
        <f aca="false">SUMIFS('Dados Mov Financeira'!$N:$N,'Dados Mov Financeira'!$O:$O,'DRE 2024'!$B96,'Dados Mov Financeira'!$A:$A,'DRE 2024'!AK$1,'Dados Mov Financeira'!$B:$B,'DRE 2024'!AK$2)</f>
        <v>0</v>
      </c>
      <c r="AL96" s="91" t="n">
        <f aca="false">IFERROR(AK96/AK$5,0)</f>
        <v>0</v>
      </c>
      <c r="AM96" s="139" t="n">
        <f aca="false">IFERROR((AK96/AH96)-1,0)</f>
        <v>0</v>
      </c>
      <c r="AN96" s="157" t="n">
        <v>0</v>
      </c>
      <c r="AO96" s="91" t="n">
        <f aca="false">IFERROR(AN96/AN$5,0)</f>
        <v>0</v>
      </c>
      <c r="AQ96" s="157" t="n">
        <f aca="false">SUMIFS('Dados Mov Financeira'!$N:$N,'Dados Mov Financeira'!$O:$O,'DRE 2024'!$B96,'Dados Mov Financeira'!$A:$A,'DRE 2024'!AQ$1,'Dados Mov Financeira'!$B:$B,'DRE 2024'!AQ$2)</f>
        <v>0</v>
      </c>
      <c r="AR96" s="91" t="n">
        <f aca="false">IFERROR(AQ96/AQ$5,0)</f>
        <v>0</v>
      </c>
      <c r="AS96" s="139" t="n">
        <f aca="false">IFERROR((AQ96/AN96)-1,0)</f>
        <v>0</v>
      </c>
      <c r="AT96" s="157" t="n">
        <v>0</v>
      </c>
      <c r="AU96" s="91" t="n">
        <f aca="false">IFERROR(AT96/AT$5,0)</f>
        <v>0</v>
      </c>
      <c r="AW96" s="157" t="n">
        <f aca="false">SUMIFS('Dados Mov Financeira'!$N:$N,'Dados Mov Financeira'!$O:$O,'DRE 2024'!$B96,'Dados Mov Financeira'!$A:$A,'DRE 2024'!AW$1,'Dados Mov Financeira'!$B:$B,'DRE 2024'!AW$2)</f>
        <v>0</v>
      </c>
      <c r="AX96" s="91" t="n">
        <f aca="false">IFERROR(AW96/AW$5,0)</f>
        <v>0</v>
      </c>
      <c r="AY96" s="139" t="n">
        <f aca="false">IFERROR((AW96/AT96)-1,0)</f>
        <v>0</v>
      </c>
      <c r="AZ96" s="157" t="n">
        <v>0</v>
      </c>
      <c r="BA96" s="91" t="n">
        <f aca="false">IFERROR(AZ96/AZ$5,0)</f>
        <v>0</v>
      </c>
      <c r="BC96" s="157" t="n">
        <f aca="false">SUMIFS('Dados Mov Financeira'!$N:$N,'Dados Mov Financeira'!$O:$O,'DRE 2024'!$B96,'Dados Mov Financeira'!$A:$A,'DRE 2024'!BC$1,'Dados Mov Financeira'!$B:$B,'DRE 2024'!BC$2)</f>
        <v>0</v>
      </c>
      <c r="BD96" s="91" t="n">
        <f aca="false">IFERROR(BC96/BC$5,0)</f>
        <v>0</v>
      </c>
      <c r="BE96" s="139" t="n">
        <f aca="false">IFERROR((BC96/AZ96)-1,0)</f>
        <v>0</v>
      </c>
      <c r="BF96" s="157" t="n">
        <v>0</v>
      </c>
      <c r="BG96" s="91" t="n">
        <f aca="false">IFERROR(BF96/BF$5,0)</f>
        <v>0</v>
      </c>
      <c r="BI96" s="157" t="n">
        <f aca="false">SUMIFS('Dados Mov Financeira'!$N:$N,'Dados Mov Financeira'!$O:$O,'DRE 2024'!$B96,'Dados Mov Financeira'!$A:$A,'DRE 2024'!BI$1,'Dados Mov Financeira'!$B:$B,'DRE 2024'!BI$2)</f>
        <v>0</v>
      </c>
      <c r="BJ96" s="91" t="n">
        <f aca="false">IFERROR(BI96/BI$5,0)</f>
        <v>0</v>
      </c>
      <c r="BK96" s="139" t="n">
        <f aca="false">IFERROR((BI96/BF96)-1,0)</f>
        <v>0</v>
      </c>
      <c r="BL96" s="157" t="n">
        <v>0</v>
      </c>
      <c r="BM96" s="91" t="n">
        <f aca="false">IFERROR(BL96/BL$5,0)</f>
        <v>0</v>
      </c>
      <c r="BO96" s="157" t="n">
        <f aca="false">SUMIFS('Dados Mov Financeira'!$N:$N,'Dados Mov Financeira'!$O:$O,'DRE 2024'!$B96,'Dados Mov Financeira'!$A:$A,'DRE 2024'!BO$1,'Dados Mov Financeira'!$B:$B,'DRE 2024'!BO$2)</f>
        <v>0</v>
      </c>
      <c r="BP96" s="91" t="n">
        <f aca="false">IFERROR(BO96/BO$5,0)</f>
        <v>0</v>
      </c>
      <c r="BQ96" s="139" t="n">
        <f aca="false">IFERROR((BO96/BL96)-1,0)</f>
        <v>0</v>
      </c>
      <c r="BR96" s="157" t="n">
        <v>0</v>
      </c>
      <c r="BS96" s="91" t="n">
        <f aca="false">IFERROR(BR96/BR$5,0)</f>
        <v>0</v>
      </c>
      <c r="BT96" s="171"/>
      <c r="BU96" s="157" t="n">
        <f aca="false">SUMIFS('Dados Mov Financeira'!$N:$N,'Dados Mov Financeira'!$O:$O,'DRE 2024'!$B96,'Dados Mov Financeira'!$A:$A,'DRE 2024'!BU$1,'Dados Mov Financeira'!$B:$B,'DRE 2024'!BU$2)</f>
        <v>0</v>
      </c>
      <c r="BV96" s="91" t="n">
        <f aca="false">IFERROR(BU96/BU$5,0)</f>
        <v>0</v>
      </c>
      <c r="BW96" s="139" t="n">
        <f aca="false">IFERROR((BU96/BR96)-1,0)</f>
        <v>0</v>
      </c>
      <c r="BX96" s="172" t="n">
        <f aca="false">SUM(D96,J96,P96,V96,AB96,AH96,AN96,AT96,AZ96,BF96,BL96,BR96)</f>
        <v>0</v>
      </c>
      <c r="BY96" s="91" t="n">
        <f aca="false">IFERROR(BX96/BX$5,0)</f>
        <v>0</v>
      </c>
      <c r="CA96" s="172" t="n">
        <f aca="false">SUM(G96,M96,S96,Y96,AE96,AK96,AQ96,AW96,BC96,BI96,BO96,BU96)</f>
        <v>0</v>
      </c>
      <c r="CB96" s="91" t="n">
        <f aca="false">IFERROR(CA96/CA$5,0)</f>
        <v>0</v>
      </c>
      <c r="CC96" s="139" t="n">
        <f aca="false">IFERROR((CA96/BX96)-1,0)</f>
        <v>0</v>
      </c>
      <c r="CE96" s="174" t="n">
        <f aca="false">BX96/$CF$1</f>
        <v>0</v>
      </c>
      <c r="CF96" s="94" t="n">
        <f aca="false">IFERROR(CE96/CE$5,0)</f>
        <v>0</v>
      </c>
      <c r="CH96" s="174" t="n">
        <f aca="false">CA96/$CI$1</f>
        <v>0</v>
      </c>
      <c r="CI96" s="94" t="n">
        <f aca="false">IFERROR(CH96/CH$5,0)</f>
        <v>0</v>
      </c>
    </row>
    <row r="97" s="150" customFormat="true" ht="14.25" hidden="false" customHeight="false" outlineLevel="1" collapsed="false">
      <c r="B97" s="190" t="s">
        <v>132</v>
      </c>
      <c r="D97" s="157" t="n">
        <f aca="false">SUM(D98:D102)</f>
        <v>-2000</v>
      </c>
      <c r="E97" s="88" t="n">
        <f aca="false">IFERROR(D97/D$5,0)</f>
        <v>-0.025</v>
      </c>
      <c r="G97" s="157" t="n">
        <f aca="false">SUM(G98:G102)</f>
        <v>0</v>
      </c>
      <c r="H97" s="88" t="n">
        <f aca="false">IFERROR(G97/G$5,0)</f>
        <v>0</v>
      </c>
      <c r="I97" s="138" t="n">
        <f aca="false">IFERROR((G97/D97)-1,0)</f>
        <v>-1</v>
      </c>
      <c r="J97" s="157" t="n">
        <f aca="false">SUM(J98:J102)</f>
        <v>-2000</v>
      </c>
      <c r="K97" s="88" t="n">
        <f aca="false">IFERROR(J97/J$5,0)</f>
        <v>-0.0235294117647059</v>
      </c>
      <c r="M97" s="157" t="n">
        <f aca="false">SUM(M98:M102)</f>
        <v>0</v>
      </c>
      <c r="N97" s="88" t="n">
        <f aca="false">IFERROR(M97/M$5,0)</f>
        <v>0</v>
      </c>
      <c r="O97" s="139" t="n">
        <f aca="false">IFERROR((M97/J97)-1,0)</f>
        <v>-1</v>
      </c>
      <c r="P97" s="157" t="n">
        <f aca="false">SUM(P98:P102)</f>
        <v>-2000</v>
      </c>
      <c r="Q97" s="88" t="n">
        <f aca="false">IFERROR(P97/P$5,0)</f>
        <v>-0.0222222222222222</v>
      </c>
      <c r="S97" s="157" t="n">
        <f aca="false">SUM(S98:S102)</f>
        <v>0</v>
      </c>
      <c r="T97" s="88" t="n">
        <f aca="false">IFERROR(S97/S$5,0)</f>
        <v>0</v>
      </c>
      <c r="U97" s="139"/>
      <c r="V97" s="157" t="n">
        <f aca="false">SUM(V98:V102)</f>
        <v>-2000</v>
      </c>
      <c r="W97" s="88" t="n">
        <f aca="false">IFERROR(V97/V$5,0)</f>
        <v>-0.02</v>
      </c>
      <c r="Y97" s="157" t="n">
        <f aca="false">SUM(Y98:Y102)</f>
        <v>0</v>
      </c>
      <c r="Z97" s="88" t="n">
        <f aca="false">IFERROR(Y97/Y$5,0)</f>
        <v>0</v>
      </c>
      <c r="AA97" s="139"/>
      <c r="AB97" s="157" t="n">
        <f aca="false">SUM(AB98:AB102)</f>
        <v>-2000</v>
      </c>
      <c r="AC97" s="88" t="n">
        <f aca="false">IFERROR(AB97/AB$5,0)</f>
        <v>-0.0181818181818182</v>
      </c>
      <c r="AE97" s="157" t="n">
        <f aca="false">SUM(AE98:AE102)</f>
        <v>0</v>
      </c>
      <c r="AF97" s="88" t="n">
        <f aca="false">IFERROR(AE97/AE$5,0)</f>
        <v>0</v>
      </c>
      <c r="AG97" s="139"/>
      <c r="AH97" s="157" t="n">
        <f aca="false">SUM(AH98:AH102)</f>
        <v>-2000</v>
      </c>
      <c r="AI97" s="88" t="n">
        <f aca="false">IFERROR(AH97/AH$5,0)</f>
        <v>-0.0166666666666667</v>
      </c>
      <c r="AK97" s="157" t="n">
        <f aca="false">SUM(AK98:AK102)</f>
        <v>0</v>
      </c>
      <c r="AL97" s="88" t="n">
        <f aca="false">IFERROR(AK97/AK$5,0)</f>
        <v>0</v>
      </c>
      <c r="AM97" s="139"/>
      <c r="AN97" s="157" t="n">
        <f aca="false">SUM(AN98:AN102)</f>
        <v>-2000</v>
      </c>
      <c r="AO97" s="88" t="n">
        <f aca="false">IFERROR(AN97/AN$5,0)</f>
        <v>-0.0153846153846154</v>
      </c>
      <c r="AQ97" s="157" t="n">
        <f aca="false">SUM(AQ98:AQ102)</f>
        <v>0</v>
      </c>
      <c r="AR97" s="88" t="n">
        <f aca="false">IFERROR(AQ97/AQ$5,0)</f>
        <v>0</v>
      </c>
      <c r="AS97" s="139"/>
      <c r="AT97" s="157" t="n">
        <f aca="false">SUM(AT98:AT102)</f>
        <v>-2000</v>
      </c>
      <c r="AU97" s="88" t="n">
        <f aca="false">IFERROR(AT97/AT$5,0)</f>
        <v>-0.0142857142857143</v>
      </c>
      <c r="AW97" s="157" t="n">
        <f aca="false">SUM(AW98:AW102)</f>
        <v>0</v>
      </c>
      <c r="AX97" s="88" t="n">
        <f aca="false">IFERROR(AW97/AW$5,0)</f>
        <v>0</v>
      </c>
      <c r="AY97" s="139"/>
      <c r="AZ97" s="157" t="n">
        <f aca="false">SUM(AZ98:AZ102)</f>
        <v>-2000</v>
      </c>
      <c r="BA97" s="88" t="n">
        <f aca="false">IFERROR(AZ97/AZ$5,0)</f>
        <v>-0.0133333333333333</v>
      </c>
      <c r="BC97" s="157" t="n">
        <f aca="false">SUM(BC98:BC102)</f>
        <v>0</v>
      </c>
      <c r="BD97" s="88" t="n">
        <f aca="false">IFERROR(BC97/BC$5,0)</f>
        <v>0</v>
      </c>
      <c r="BE97" s="139"/>
      <c r="BF97" s="157" t="n">
        <f aca="false">SUM(BF98:BF102)</f>
        <v>-2000</v>
      </c>
      <c r="BG97" s="88" t="n">
        <f aca="false">IFERROR(BF97/BF$5,0)</f>
        <v>-0.0133333333333333</v>
      </c>
      <c r="BI97" s="157" t="n">
        <f aca="false">SUM(BI98:BI102)</f>
        <v>0</v>
      </c>
      <c r="BJ97" s="88" t="n">
        <f aca="false">IFERROR(BI97/BI$5,0)</f>
        <v>0</v>
      </c>
      <c r="BK97" s="139"/>
      <c r="BL97" s="157" t="n">
        <f aca="false">SUM(BL98:BL102)</f>
        <v>-2000</v>
      </c>
      <c r="BM97" s="88" t="n">
        <f aca="false">IFERROR(BL97/BL$5,0)</f>
        <v>-0.0133333333333333</v>
      </c>
      <c r="BO97" s="157" t="n">
        <f aca="false">SUM(BO98:BO102)</f>
        <v>0</v>
      </c>
      <c r="BP97" s="88" t="n">
        <f aca="false">IFERROR(BO97/BO$5,0)</f>
        <v>0</v>
      </c>
      <c r="BQ97" s="139"/>
      <c r="BR97" s="157" t="n">
        <f aca="false">SUM(BR98:BR102)</f>
        <v>-2000</v>
      </c>
      <c r="BS97" s="88" t="n">
        <f aca="false">IFERROR(BR97/BR$5,0)</f>
        <v>-0.0133333333333333</v>
      </c>
      <c r="BT97" s="158"/>
      <c r="BU97" s="157" t="n">
        <f aca="false">SUM(BU98:BU102)</f>
        <v>0</v>
      </c>
      <c r="BV97" s="88" t="n">
        <f aca="false">IFERROR(BU97/BU$5,0)</f>
        <v>0</v>
      </c>
      <c r="BW97" s="139"/>
      <c r="BX97" s="157" t="n">
        <v>0</v>
      </c>
      <c r="BY97" s="88" t="n">
        <f aca="false">IFERROR(BX97/BX$5,0)</f>
        <v>0</v>
      </c>
      <c r="CA97" s="157" t="n">
        <f aca="false">SUM(G97,M97,S97,Y97,AE97,AK97,AQ97,AW97,BC97,BI97,BO97,BU97)</f>
        <v>0</v>
      </c>
      <c r="CB97" s="88" t="n">
        <f aca="false">IFERROR(CA97/CA$5,0)</f>
        <v>0</v>
      </c>
      <c r="CC97" s="139"/>
      <c r="CE97" s="159" t="n">
        <f aca="false">BX97/$CF$1</f>
        <v>0</v>
      </c>
      <c r="CF97" s="76" t="n">
        <f aca="false">IFERROR(CE97/CE$5,0)</f>
        <v>0</v>
      </c>
      <c r="CH97" s="159" t="n">
        <f aca="false">CA97/$CI$1</f>
        <v>0</v>
      </c>
      <c r="CI97" s="76" t="n">
        <f aca="false">IFERROR(CH97/CH$5,0)</f>
        <v>0</v>
      </c>
    </row>
    <row r="98" customFormat="false" ht="14.25" hidden="false" customHeight="false" outlineLevel="1" collapsed="false">
      <c r="B98" s="193" t="s">
        <v>133</v>
      </c>
      <c r="D98" s="157" t="n">
        <v>0</v>
      </c>
      <c r="E98" s="91" t="n">
        <f aca="false">IFERROR(D98/D$5,0)</f>
        <v>0</v>
      </c>
      <c r="G98" s="157" t="n">
        <f aca="false">SUMIFS('Dados Mov Financeira'!$N:$N,'Dados Mov Financeira'!$O:$O,'DRE 2024'!$B98,'Dados Mov Financeira'!$A:$A,'DRE 2024'!G$1,'Dados Mov Financeira'!$B:$B,'DRE 2024'!G$2)</f>
        <v>0</v>
      </c>
      <c r="H98" s="91" t="n">
        <f aca="false">IFERROR(G98/G$5,0)</f>
        <v>0</v>
      </c>
      <c r="I98" s="138" t="n">
        <f aca="false">IFERROR((G98/D98)-1,0)</f>
        <v>0</v>
      </c>
      <c r="J98" s="157" t="n">
        <v>0</v>
      </c>
      <c r="K98" s="91" t="n">
        <f aca="false">IFERROR(J98/J$5,0)</f>
        <v>0</v>
      </c>
      <c r="M98" s="157" t="n">
        <f aca="false">SUMIFS('Dados Mov Financeira'!$N:$N,'Dados Mov Financeira'!$O:$O,'DRE 2024'!$B98,'Dados Mov Financeira'!$A:$A,'DRE 2024'!M$1,'Dados Mov Financeira'!$B:$B,'DRE 2024'!M$2)</f>
        <v>0</v>
      </c>
      <c r="N98" s="91" t="n">
        <f aca="false">IFERROR(M98/M$5,0)</f>
        <v>0</v>
      </c>
      <c r="O98" s="139" t="n">
        <f aca="false">IFERROR((M98/J98)-1,0)</f>
        <v>0</v>
      </c>
      <c r="P98" s="157" t="n">
        <v>0</v>
      </c>
      <c r="Q98" s="91" t="n">
        <f aca="false">IFERROR(P98/P$5,0)</f>
        <v>0</v>
      </c>
      <c r="S98" s="157" t="n">
        <f aca="false">SUMIFS('Dados Mov Financeira'!$N:$N,'Dados Mov Financeira'!$O:$O,'DRE 2024'!$B98,'Dados Mov Financeira'!$A:$A,'DRE 2024'!S$1,'Dados Mov Financeira'!$B:$B,'DRE 2024'!S$2)</f>
        <v>0</v>
      </c>
      <c r="T98" s="91" t="n">
        <f aca="false">IFERROR(S98/S$5,0)</f>
        <v>0</v>
      </c>
      <c r="U98" s="139"/>
      <c r="V98" s="157" t="n">
        <v>0</v>
      </c>
      <c r="W98" s="91" t="n">
        <f aca="false">IFERROR(V98/V$5,0)</f>
        <v>0</v>
      </c>
      <c r="Y98" s="157" t="n">
        <f aca="false">SUMIFS('Dados Mov Financeira'!$N:$N,'Dados Mov Financeira'!$O:$O,'DRE 2024'!$B98,'Dados Mov Financeira'!$A:$A,'DRE 2024'!Y$1,'Dados Mov Financeira'!$B:$B,'DRE 2024'!Y$2)</f>
        <v>0</v>
      </c>
      <c r="Z98" s="91" t="n">
        <f aca="false">IFERROR(Y98/Y$5,0)</f>
        <v>0</v>
      </c>
      <c r="AA98" s="139"/>
      <c r="AB98" s="157" t="n">
        <v>0</v>
      </c>
      <c r="AC98" s="91" t="n">
        <f aca="false">IFERROR(AB98/AB$5,0)</f>
        <v>0</v>
      </c>
      <c r="AE98" s="157" t="n">
        <f aca="false">SUMIFS('Dados Mov Financeira'!$N:$N,'Dados Mov Financeira'!$O:$O,'DRE 2024'!$B98,'Dados Mov Financeira'!$A:$A,'DRE 2024'!AE$1,'Dados Mov Financeira'!$B:$B,'DRE 2024'!AE$2)</f>
        <v>0</v>
      </c>
      <c r="AF98" s="91" t="n">
        <f aca="false">IFERROR(AE98/AE$5,0)</f>
        <v>0</v>
      </c>
      <c r="AG98" s="139"/>
      <c r="AH98" s="157" t="n">
        <v>0</v>
      </c>
      <c r="AI98" s="91" t="n">
        <f aca="false">IFERROR(AH98/AH$5,0)</f>
        <v>0</v>
      </c>
      <c r="AK98" s="157" t="n">
        <f aca="false">SUMIFS('Dados Mov Financeira'!$N:$N,'Dados Mov Financeira'!$O:$O,'DRE 2024'!$B98,'Dados Mov Financeira'!$A:$A,'DRE 2024'!AK$1,'Dados Mov Financeira'!$B:$B,'DRE 2024'!AK$2)</f>
        <v>0</v>
      </c>
      <c r="AL98" s="91" t="n">
        <f aca="false">IFERROR(AK98/AK$5,0)</f>
        <v>0</v>
      </c>
      <c r="AM98" s="139"/>
      <c r="AN98" s="157" t="n">
        <v>0</v>
      </c>
      <c r="AO98" s="91" t="n">
        <f aca="false">IFERROR(AN98/AN$5,0)</f>
        <v>0</v>
      </c>
      <c r="AQ98" s="157" t="n">
        <f aca="false">SUMIFS('Dados Mov Financeira'!$N:$N,'Dados Mov Financeira'!$O:$O,'DRE 2024'!$B98,'Dados Mov Financeira'!$A:$A,'DRE 2024'!AQ$1,'Dados Mov Financeira'!$B:$B,'DRE 2024'!AQ$2)</f>
        <v>0</v>
      </c>
      <c r="AR98" s="91" t="n">
        <f aca="false">IFERROR(AQ98/AQ$5,0)</f>
        <v>0</v>
      </c>
      <c r="AS98" s="139"/>
      <c r="AT98" s="157" t="n">
        <v>0</v>
      </c>
      <c r="AU98" s="91" t="n">
        <f aca="false">IFERROR(AT98/AT$5,0)</f>
        <v>0</v>
      </c>
      <c r="AW98" s="157" t="n">
        <f aca="false">SUMIFS('Dados Mov Financeira'!$N:$N,'Dados Mov Financeira'!$O:$O,'DRE 2024'!$B98,'Dados Mov Financeira'!$A:$A,'DRE 2024'!AW$1,'Dados Mov Financeira'!$B:$B,'DRE 2024'!AW$2)</f>
        <v>0</v>
      </c>
      <c r="AX98" s="91" t="n">
        <f aca="false">IFERROR(AW98/AW$5,0)</f>
        <v>0</v>
      </c>
      <c r="AY98" s="139"/>
      <c r="AZ98" s="157" t="n">
        <v>0</v>
      </c>
      <c r="BA98" s="91" t="n">
        <f aca="false">IFERROR(AZ98/AZ$5,0)</f>
        <v>0</v>
      </c>
      <c r="BC98" s="157" t="n">
        <f aca="false">SUMIFS('Dados Mov Financeira'!$N:$N,'Dados Mov Financeira'!$O:$O,'DRE 2024'!$B98,'Dados Mov Financeira'!$A:$A,'DRE 2024'!BC$1,'Dados Mov Financeira'!$B:$B,'DRE 2024'!BC$2)</f>
        <v>0</v>
      </c>
      <c r="BD98" s="91" t="n">
        <f aca="false">IFERROR(BC98/BC$5,0)</f>
        <v>0</v>
      </c>
      <c r="BE98" s="139"/>
      <c r="BF98" s="157" t="n">
        <v>0</v>
      </c>
      <c r="BG98" s="91" t="n">
        <f aca="false">IFERROR(BF98/BF$5,0)</f>
        <v>0</v>
      </c>
      <c r="BI98" s="157" t="n">
        <f aca="false">SUMIFS('Dados Mov Financeira'!$N:$N,'Dados Mov Financeira'!$O:$O,'DRE 2024'!$B98,'Dados Mov Financeira'!$A:$A,'DRE 2024'!BI$1,'Dados Mov Financeira'!$B:$B,'DRE 2024'!BI$2)</f>
        <v>0</v>
      </c>
      <c r="BJ98" s="91" t="n">
        <f aca="false">IFERROR(BI98/BI$5,0)</f>
        <v>0</v>
      </c>
      <c r="BK98" s="139"/>
      <c r="BL98" s="157" t="n">
        <v>0</v>
      </c>
      <c r="BM98" s="91" t="n">
        <f aca="false">IFERROR(BL98/BL$5,0)</f>
        <v>0</v>
      </c>
      <c r="BO98" s="157" t="n">
        <f aca="false">SUMIFS('Dados Mov Financeira'!$N:$N,'Dados Mov Financeira'!$O:$O,'DRE 2024'!$B98,'Dados Mov Financeira'!$A:$A,'DRE 2024'!BO$1,'Dados Mov Financeira'!$B:$B,'DRE 2024'!BO$2)</f>
        <v>0</v>
      </c>
      <c r="BP98" s="91" t="n">
        <f aca="false">IFERROR(BO98/BO$5,0)</f>
        <v>0</v>
      </c>
      <c r="BQ98" s="139"/>
      <c r="BR98" s="157" t="n">
        <v>0</v>
      </c>
      <c r="BS98" s="91" t="n">
        <f aca="false">IFERROR(BR98/BR$5,0)</f>
        <v>0</v>
      </c>
      <c r="BT98" s="171"/>
      <c r="BU98" s="157" t="n">
        <f aca="false">SUMIFS('Dados Mov Financeira'!$N:$N,'Dados Mov Financeira'!$O:$O,'DRE 2024'!$B98,'Dados Mov Financeira'!$A:$A,'DRE 2024'!BU$1,'Dados Mov Financeira'!$B:$B,'DRE 2024'!BU$2)</f>
        <v>0</v>
      </c>
      <c r="BV98" s="91" t="n">
        <f aca="false">IFERROR(BU98/BU$5,0)</f>
        <v>0</v>
      </c>
      <c r="BW98" s="139"/>
      <c r="BX98" s="172" t="n">
        <v>0</v>
      </c>
      <c r="BY98" s="91" t="n">
        <f aca="false">IFERROR(BX98/BX$5,0)</f>
        <v>0</v>
      </c>
      <c r="CA98" s="172" t="n">
        <f aca="false">SUM(G98,M98,S98,Y98,AE98,AK98,AQ98,AW98,BC98,BI98,BO98,BU98)</f>
        <v>0</v>
      </c>
      <c r="CB98" s="91" t="n">
        <f aca="false">IFERROR(CA98/CA$5,0)</f>
        <v>0</v>
      </c>
      <c r="CC98" s="139"/>
      <c r="CE98" s="174" t="n">
        <f aca="false">BX98/$CF$1</f>
        <v>0</v>
      </c>
      <c r="CF98" s="94" t="n">
        <f aca="false">IFERROR(CE98/CE$5,0)</f>
        <v>0</v>
      </c>
      <c r="CH98" s="174" t="n">
        <f aca="false">CA98/$CI$1</f>
        <v>0</v>
      </c>
      <c r="CI98" s="94" t="n">
        <f aca="false">IFERROR(CH98/CH$5,0)</f>
        <v>0</v>
      </c>
    </row>
    <row r="99" customFormat="false" ht="14.25" hidden="false" customHeight="false" outlineLevel="1" collapsed="false">
      <c r="B99" s="193" t="s">
        <v>135</v>
      </c>
      <c r="D99" s="157" t="n">
        <v>0</v>
      </c>
      <c r="E99" s="91" t="n">
        <f aca="false">IFERROR(D99/D$5,0)</f>
        <v>0</v>
      </c>
      <c r="G99" s="157" t="n">
        <f aca="false">SUMIFS('Dados Mov Financeira'!$N:$N,'Dados Mov Financeira'!$O:$O,'DRE 2024'!$B99,'Dados Mov Financeira'!$A:$A,'DRE 2024'!G$1,'Dados Mov Financeira'!$B:$B,'DRE 2024'!G$2)</f>
        <v>0</v>
      </c>
      <c r="H99" s="91" t="n">
        <f aca="false">IFERROR(G99/G$5,0)</f>
        <v>0</v>
      </c>
      <c r="I99" s="138" t="n">
        <f aca="false">IFERROR((G99/D99)-1,0)</f>
        <v>0</v>
      </c>
      <c r="J99" s="157" t="n">
        <v>0</v>
      </c>
      <c r="K99" s="91" t="n">
        <f aca="false">IFERROR(J99/J$5,0)</f>
        <v>0</v>
      </c>
      <c r="M99" s="157" t="n">
        <f aca="false">SUMIFS('Dados Mov Financeira'!$N:$N,'Dados Mov Financeira'!$O:$O,'DRE 2024'!$B99,'Dados Mov Financeira'!$A:$A,'DRE 2024'!M$1,'Dados Mov Financeira'!$B:$B,'DRE 2024'!M$2)</f>
        <v>0</v>
      </c>
      <c r="N99" s="91" t="n">
        <f aca="false">IFERROR(M99/M$5,0)</f>
        <v>0</v>
      </c>
      <c r="O99" s="139" t="n">
        <f aca="false">IFERROR((M99/J99)-1,0)</f>
        <v>0</v>
      </c>
      <c r="P99" s="157" t="n">
        <v>0</v>
      </c>
      <c r="Q99" s="91" t="n">
        <f aca="false">IFERROR(P99/P$5,0)</f>
        <v>0</v>
      </c>
      <c r="S99" s="157" t="n">
        <f aca="false">SUMIFS('Dados Mov Financeira'!$N:$N,'Dados Mov Financeira'!$O:$O,'DRE 2024'!$B99,'Dados Mov Financeira'!$A:$A,'DRE 2024'!S$1,'Dados Mov Financeira'!$B:$B,'DRE 2024'!S$2)</f>
        <v>0</v>
      </c>
      <c r="T99" s="91" t="n">
        <f aca="false">IFERROR(S99/S$5,0)</f>
        <v>0</v>
      </c>
      <c r="U99" s="139"/>
      <c r="V99" s="157" t="n">
        <v>0</v>
      </c>
      <c r="W99" s="91" t="n">
        <f aca="false">IFERROR(V99/V$5,0)</f>
        <v>0</v>
      </c>
      <c r="Y99" s="157" t="n">
        <f aca="false">SUMIFS('Dados Mov Financeira'!$N:$N,'Dados Mov Financeira'!$O:$O,'DRE 2024'!$B99,'Dados Mov Financeira'!$A:$A,'DRE 2024'!Y$1,'Dados Mov Financeira'!$B:$B,'DRE 2024'!Y$2)</f>
        <v>0</v>
      </c>
      <c r="Z99" s="91" t="n">
        <f aca="false">IFERROR(Y99/Y$5,0)</f>
        <v>0</v>
      </c>
      <c r="AA99" s="139"/>
      <c r="AB99" s="157" t="n">
        <v>0</v>
      </c>
      <c r="AC99" s="91" t="n">
        <f aca="false">IFERROR(AB99/AB$5,0)</f>
        <v>0</v>
      </c>
      <c r="AE99" s="157" t="n">
        <f aca="false">SUMIFS('Dados Mov Financeira'!$N:$N,'Dados Mov Financeira'!$O:$O,'DRE 2024'!$B99,'Dados Mov Financeira'!$A:$A,'DRE 2024'!AE$1,'Dados Mov Financeira'!$B:$B,'DRE 2024'!AE$2)</f>
        <v>0</v>
      </c>
      <c r="AF99" s="91" t="n">
        <f aca="false">IFERROR(AE99/AE$5,0)</f>
        <v>0</v>
      </c>
      <c r="AG99" s="139"/>
      <c r="AH99" s="157" t="n">
        <v>0</v>
      </c>
      <c r="AI99" s="91" t="n">
        <f aca="false">IFERROR(AH99/AH$5,0)</f>
        <v>0</v>
      </c>
      <c r="AK99" s="157" t="n">
        <f aca="false">SUMIFS('Dados Mov Financeira'!$N:$N,'Dados Mov Financeira'!$O:$O,'DRE 2024'!$B99,'Dados Mov Financeira'!$A:$A,'DRE 2024'!AK$1,'Dados Mov Financeira'!$B:$B,'DRE 2024'!AK$2)</f>
        <v>0</v>
      </c>
      <c r="AL99" s="91" t="n">
        <f aca="false">IFERROR(AK99/AK$5,0)</f>
        <v>0</v>
      </c>
      <c r="AM99" s="139"/>
      <c r="AN99" s="157" t="n">
        <v>0</v>
      </c>
      <c r="AO99" s="91" t="n">
        <f aca="false">IFERROR(AN99/AN$5,0)</f>
        <v>0</v>
      </c>
      <c r="AQ99" s="157" t="n">
        <f aca="false">SUMIFS('Dados Mov Financeira'!$N:$N,'Dados Mov Financeira'!$O:$O,'DRE 2024'!$B99,'Dados Mov Financeira'!$A:$A,'DRE 2024'!AQ$1,'Dados Mov Financeira'!$B:$B,'DRE 2024'!AQ$2)</f>
        <v>0</v>
      </c>
      <c r="AR99" s="91" t="n">
        <f aca="false">IFERROR(AQ99/AQ$5,0)</f>
        <v>0</v>
      </c>
      <c r="AS99" s="139"/>
      <c r="AT99" s="157" t="n">
        <v>0</v>
      </c>
      <c r="AU99" s="91" t="n">
        <f aca="false">IFERROR(AT99/AT$5,0)</f>
        <v>0</v>
      </c>
      <c r="AW99" s="157" t="n">
        <f aca="false">SUMIFS('Dados Mov Financeira'!$N:$N,'Dados Mov Financeira'!$O:$O,'DRE 2024'!$B99,'Dados Mov Financeira'!$A:$A,'DRE 2024'!AW$1,'Dados Mov Financeira'!$B:$B,'DRE 2024'!AW$2)</f>
        <v>0</v>
      </c>
      <c r="AX99" s="91" t="n">
        <f aca="false">IFERROR(AW99/AW$5,0)</f>
        <v>0</v>
      </c>
      <c r="AY99" s="139"/>
      <c r="AZ99" s="157" t="n">
        <v>0</v>
      </c>
      <c r="BA99" s="91" t="n">
        <f aca="false">IFERROR(AZ99/AZ$5,0)</f>
        <v>0</v>
      </c>
      <c r="BC99" s="157" t="n">
        <f aca="false">SUMIFS('Dados Mov Financeira'!$N:$N,'Dados Mov Financeira'!$O:$O,'DRE 2024'!$B99,'Dados Mov Financeira'!$A:$A,'DRE 2024'!BC$1,'Dados Mov Financeira'!$B:$B,'DRE 2024'!BC$2)</f>
        <v>0</v>
      </c>
      <c r="BD99" s="91" t="n">
        <f aca="false">IFERROR(BC99/BC$5,0)</f>
        <v>0</v>
      </c>
      <c r="BE99" s="139"/>
      <c r="BF99" s="157" t="n">
        <v>0</v>
      </c>
      <c r="BG99" s="91" t="n">
        <f aca="false">IFERROR(BF99/BF$5,0)</f>
        <v>0</v>
      </c>
      <c r="BI99" s="157" t="n">
        <f aca="false">SUMIFS('Dados Mov Financeira'!$N:$N,'Dados Mov Financeira'!$O:$O,'DRE 2024'!$B99,'Dados Mov Financeira'!$A:$A,'DRE 2024'!BI$1,'Dados Mov Financeira'!$B:$B,'DRE 2024'!BI$2)</f>
        <v>0</v>
      </c>
      <c r="BJ99" s="91" t="n">
        <f aca="false">IFERROR(BI99/BI$5,0)</f>
        <v>0</v>
      </c>
      <c r="BK99" s="139"/>
      <c r="BL99" s="157" t="n">
        <v>0</v>
      </c>
      <c r="BM99" s="91" t="n">
        <f aca="false">IFERROR(BL99/BL$5,0)</f>
        <v>0</v>
      </c>
      <c r="BO99" s="157" t="n">
        <f aca="false">SUMIFS('Dados Mov Financeira'!$N:$N,'Dados Mov Financeira'!$O:$O,'DRE 2024'!$B99,'Dados Mov Financeira'!$A:$A,'DRE 2024'!BO$1,'Dados Mov Financeira'!$B:$B,'DRE 2024'!BO$2)</f>
        <v>0</v>
      </c>
      <c r="BP99" s="91" t="n">
        <f aca="false">IFERROR(BO99/BO$5,0)</f>
        <v>0</v>
      </c>
      <c r="BQ99" s="139"/>
      <c r="BR99" s="157" t="n">
        <v>0</v>
      </c>
      <c r="BS99" s="91" t="n">
        <f aca="false">IFERROR(BR99/BR$5,0)</f>
        <v>0</v>
      </c>
      <c r="BT99" s="171"/>
      <c r="BU99" s="157" t="n">
        <f aca="false">SUMIFS('Dados Mov Financeira'!$N:$N,'Dados Mov Financeira'!$O:$O,'DRE 2024'!$B99,'Dados Mov Financeira'!$A:$A,'DRE 2024'!BU$1,'Dados Mov Financeira'!$B:$B,'DRE 2024'!BU$2)</f>
        <v>0</v>
      </c>
      <c r="BV99" s="91" t="n">
        <f aca="false">IFERROR(BU99/BU$5,0)</f>
        <v>0</v>
      </c>
      <c r="BW99" s="139"/>
      <c r="BX99" s="172" t="n">
        <v>0</v>
      </c>
      <c r="BY99" s="91" t="n">
        <f aca="false">IFERROR(BX99/BX$5,0)</f>
        <v>0</v>
      </c>
      <c r="CA99" s="172" t="n">
        <f aca="false">SUM(G99,M99,S99,Y99,AE99,AK99,AQ99,AW99,BC99,BI99,BO99,BU99)</f>
        <v>0</v>
      </c>
      <c r="CB99" s="91" t="n">
        <f aca="false">IFERROR(CA99/CA$5,0)</f>
        <v>0</v>
      </c>
      <c r="CC99" s="139"/>
      <c r="CE99" s="174" t="n">
        <f aca="false">BX99/$CF$1</f>
        <v>0</v>
      </c>
      <c r="CF99" s="94" t="n">
        <f aca="false">IFERROR(CE99/CE$5,0)</f>
        <v>0</v>
      </c>
      <c r="CH99" s="174" t="n">
        <f aca="false">CA99/$CI$1</f>
        <v>0</v>
      </c>
      <c r="CI99" s="94" t="n">
        <f aca="false">IFERROR(CH99/CH$5,0)</f>
        <v>0</v>
      </c>
    </row>
    <row r="100" customFormat="false" ht="14.25" hidden="false" customHeight="false" outlineLevel="1" collapsed="false">
      <c r="B100" s="169" t="s">
        <v>136</v>
      </c>
      <c r="D100" s="157" t="n">
        <v>0</v>
      </c>
      <c r="E100" s="91" t="n">
        <f aca="false">IFERROR(D100/D$5,0)</f>
        <v>0</v>
      </c>
      <c r="G100" s="157" t="n">
        <f aca="false">SUMIFS('Dados Mov Financeira'!$N:$N,'Dados Mov Financeira'!$O:$O,'DRE 2024'!$B100,'Dados Mov Financeira'!$A:$A,'DRE 2024'!G$1,'Dados Mov Financeira'!$B:$B,'DRE 2024'!G$2)</f>
        <v>0</v>
      </c>
      <c r="H100" s="91" t="n">
        <f aca="false">IFERROR(G100/G$5,0)</f>
        <v>0</v>
      </c>
      <c r="I100" s="138" t="n">
        <f aca="false">IFERROR((G100/D100)-1,0)</f>
        <v>0</v>
      </c>
      <c r="J100" s="157" t="n">
        <v>0</v>
      </c>
      <c r="K100" s="91" t="n">
        <f aca="false">IFERROR(J100/J$5,0)</f>
        <v>0</v>
      </c>
      <c r="M100" s="157" t="n">
        <f aca="false">SUMIFS('Dados Mov Financeira'!$N:$N,'Dados Mov Financeira'!$O:$O,'DRE 2024'!$B100,'Dados Mov Financeira'!$A:$A,'DRE 2024'!M$1,'Dados Mov Financeira'!$B:$B,'DRE 2024'!M$2)</f>
        <v>0</v>
      </c>
      <c r="N100" s="91" t="n">
        <f aca="false">IFERROR(M100/M$5,0)</f>
        <v>0</v>
      </c>
      <c r="O100" s="139" t="n">
        <f aca="false">IFERROR((M100/J100)-1,0)</f>
        <v>0</v>
      </c>
      <c r="P100" s="157" t="n">
        <v>0</v>
      </c>
      <c r="Q100" s="91" t="n">
        <f aca="false">IFERROR(P100/P$5,0)</f>
        <v>0</v>
      </c>
      <c r="S100" s="157" t="n">
        <f aca="false">SUMIFS('Dados Mov Financeira'!$N:$N,'Dados Mov Financeira'!$O:$O,'DRE 2024'!$B100,'Dados Mov Financeira'!$A:$A,'DRE 2024'!S$1,'Dados Mov Financeira'!$B:$B,'DRE 2024'!S$2)</f>
        <v>0</v>
      </c>
      <c r="T100" s="91" t="n">
        <f aca="false">IFERROR(S100/S$5,0)</f>
        <v>0</v>
      </c>
      <c r="U100" s="139"/>
      <c r="V100" s="157" t="n">
        <v>0</v>
      </c>
      <c r="W100" s="91" t="n">
        <f aca="false">IFERROR(V100/V$5,0)</f>
        <v>0</v>
      </c>
      <c r="Y100" s="157" t="n">
        <f aca="false">SUMIFS('Dados Mov Financeira'!$N:$N,'Dados Mov Financeira'!$O:$O,'DRE 2024'!$B100,'Dados Mov Financeira'!$A:$A,'DRE 2024'!Y$1,'Dados Mov Financeira'!$B:$B,'DRE 2024'!Y$2)</f>
        <v>0</v>
      </c>
      <c r="Z100" s="91" t="n">
        <f aca="false">IFERROR(Y100/Y$5,0)</f>
        <v>0</v>
      </c>
      <c r="AA100" s="139"/>
      <c r="AB100" s="157" t="n">
        <v>0</v>
      </c>
      <c r="AC100" s="91" t="n">
        <f aca="false">IFERROR(AB100/AB$5,0)</f>
        <v>0</v>
      </c>
      <c r="AE100" s="157" t="n">
        <f aca="false">SUMIFS('Dados Mov Financeira'!$N:$N,'Dados Mov Financeira'!$O:$O,'DRE 2024'!$B100,'Dados Mov Financeira'!$A:$A,'DRE 2024'!AE$1,'Dados Mov Financeira'!$B:$B,'DRE 2024'!AE$2)</f>
        <v>0</v>
      </c>
      <c r="AF100" s="91" t="n">
        <f aca="false">IFERROR(AE100/AE$5,0)</f>
        <v>0</v>
      </c>
      <c r="AG100" s="139"/>
      <c r="AH100" s="157" t="n">
        <v>0</v>
      </c>
      <c r="AI100" s="91" t="n">
        <f aca="false">IFERROR(AH100/AH$5,0)</f>
        <v>0</v>
      </c>
      <c r="AK100" s="157" t="n">
        <f aca="false">SUMIFS('Dados Mov Financeira'!$N:$N,'Dados Mov Financeira'!$O:$O,'DRE 2024'!$B100,'Dados Mov Financeira'!$A:$A,'DRE 2024'!AK$1,'Dados Mov Financeira'!$B:$B,'DRE 2024'!AK$2)</f>
        <v>0</v>
      </c>
      <c r="AL100" s="91" t="n">
        <f aca="false">IFERROR(AK100/AK$5,0)</f>
        <v>0</v>
      </c>
      <c r="AM100" s="139"/>
      <c r="AN100" s="157" t="n">
        <v>0</v>
      </c>
      <c r="AO100" s="91" t="n">
        <f aca="false">IFERROR(AN100/AN$5,0)</f>
        <v>0</v>
      </c>
      <c r="AQ100" s="157" t="n">
        <f aca="false">SUMIFS('Dados Mov Financeira'!$N:$N,'Dados Mov Financeira'!$O:$O,'DRE 2024'!$B100,'Dados Mov Financeira'!$A:$A,'DRE 2024'!AQ$1,'Dados Mov Financeira'!$B:$B,'DRE 2024'!AQ$2)</f>
        <v>0</v>
      </c>
      <c r="AR100" s="91" t="n">
        <f aca="false">IFERROR(AQ100/AQ$5,0)</f>
        <v>0</v>
      </c>
      <c r="AS100" s="139"/>
      <c r="AT100" s="157" t="n">
        <v>0</v>
      </c>
      <c r="AU100" s="91" t="n">
        <f aca="false">IFERROR(AT100/AT$5,0)</f>
        <v>0</v>
      </c>
      <c r="AW100" s="157" t="n">
        <f aca="false">SUMIFS('Dados Mov Financeira'!$N:$N,'Dados Mov Financeira'!$O:$O,'DRE 2024'!$B100,'Dados Mov Financeira'!$A:$A,'DRE 2024'!AW$1,'Dados Mov Financeira'!$B:$B,'DRE 2024'!AW$2)</f>
        <v>0</v>
      </c>
      <c r="AX100" s="91" t="n">
        <f aca="false">IFERROR(AW100/AW$5,0)</f>
        <v>0</v>
      </c>
      <c r="AY100" s="139"/>
      <c r="AZ100" s="157" t="n">
        <v>0</v>
      </c>
      <c r="BA100" s="91" t="n">
        <f aca="false">IFERROR(AZ100/AZ$5,0)</f>
        <v>0</v>
      </c>
      <c r="BC100" s="157" t="n">
        <f aca="false">SUMIFS('Dados Mov Financeira'!$N:$N,'Dados Mov Financeira'!$O:$O,'DRE 2024'!$B100,'Dados Mov Financeira'!$A:$A,'DRE 2024'!BC$1,'Dados Mov Financeira'!$B:$B,'DRE 2024'!BC$2)</f>
        <v>0</v>
      </c>
      <c r="BD100" s="91" t="n">
        <f aca="false">IFERROR(BC100/BC$5,0)</f>
        <v>0</v>
      </c>
      <c r="BE100" s="139"/>
      <c r="BF100" s="157" t="n">
        <v>0</v>
      </c>
      <c r="BG100" s="91" t="n">
        <f aca="false">IFERROR(BF100/BF$5,0)</f>
        <v>0</v>
      </c>
      <c r="BI100" s="157" t="n">
        <f aca="false">SUMIFS('Dados Mov Financeira'!$N:$N,'Dados Mov Financeira'!$O:$O,'DRE 2024'!$B100,'Dados Mov Financeira'!$A:$A,'DRE 2024'!BI$1,'Dados Mov Financeira'!$B:$B,'DRE 2024'!BI$2)</f>
        <v>0</v>
      </c>
      <c r="BJ100" s="91" t="n">
        <f aca="false">IFERROR(BI100/BI$5,0)</f>
        <v>0</v>
      </c>
      <c r="BK100" s="139"/>
      <c r="BL100" s="157" t="n">
        <v>0</v>
      </c>
      <c r="BM100" s="91" t="n">
        <f aca="false">IFERROR(BL100/BL$5,0)</f>
        <v>0</v>
      </c>
      <c r="BO100" s="157" t="n">
        <f aca="false">SUMIFS('Dados Mov Financeira'!$N:$N,'Dados Mov Financeira'!$O:$O,'DRE 2024'!$B100,'Dados Mov Financeira'!$A:$A,'DRE 2024'!BO$1,'Dados Mov Financeira'!$B:$B,'DRE 2024'!BO$2)</f>
        <v>0</v>
      </c>
      <c r="BP100" s="91" t="n">
        <f aca="false">IFERROR(BO100/BO$5,0)</f>
        <v>0</v>
      </c>
      <c r="BQ100" s="139"/>
      <c r="BR100" s="157" t="n">
        <v>0</v>
      </c>
      <c r="BS100" s="91" t="n">
        <f aca="false">IFERROR(BR100/BR$5,0)</f>
        <v>0</v>
      </c>
      <c r="BT100" s="171"/>
      <c r="BU100" s="157" t="n">
        <f aca="false">SUMIFS('Dados Mov Financeira'!$N:$N,'Dados Mov Financeira'!$O:$O,'DRE 2024'!$B100,'Dados Mov Financeira'!$A:$A,'DRE 2024'!BU$1,'Dados Mov Financeira'!$B:$B,'DRE 2024'!BU$2)</f>
        <v>0</v>
      </c>
      <c r="BV100" s="91" t="n">
        <f aca="false">IFERROR(BU100/BU$5,0)</f>
        <v>0</v>
      </c>
      <c r="BW100" s="139"/>
      <c r="BX100" s="172" t="n">
        <v>0</v>
      </c>
      <c r="BY100" s="91" t="n">
        <f aca="false">IFERROR(BX100/BX$5,0)</f>
        <v>0</v>
      </c>
      <c r="CA100" s="172" t="n">
        <f aca="false">SUM(G100,M100,S100,Y100,AE100,AK100,AQ100,AW100,BC100,BI100,BO100,BU100)</f>
        <v>0</v>
      </c>
      <c r="CB100" s="91" t="n">
        <f aca="false">IFERROR(CA100/CA$5,0)</f>
        <v>0</v>
      </c>
      <c r="CC100" s="139"/>
      <c r="CE100" s="174" t="n">
        <f aca="false">BX100/$CF$1</f>
        <v>0</v>
      </c>
      <c r="CF100" s="94" t="n">
        <f aca="false">IFERROR(CE100/CE$5,0)</f>
        <v>0</v>
      </c>
      <c r="CH100" s="174" t="n">
        <f aca="false">CA100/$CI$1</f>
        <v>0</v>
      </c>
      <c r="CI100" s="94" t="n">
        <f aca="false">IFERROR(CH100/CH$5,0)</f>
        <v>0</v>
      </c>
    </row>
    <row r="101" customFormat="false" ht="14.25" hidden="false" customHeight="false" outlineLevel="1" collapsed="false">
      <c r="B101" s="169" t="s">
        <v>137</v>
      </c>
      <c r="D101" s="157" t="n">
        <v>0</v>
      </c>
      <c r="E101" s="91" t="n">
        <f aca="false">IFERROR(D101/D$5,0)</f>
        <v>0</v>
      </c>
      <c r="G101" s="157" t="n">
        <f aca="false">SUMIFS('Dados Mov Financeira'!$N:$N,'Dados Mov Financeira'!$O:$O,'DRE 2024'!$B101,'Dados Mov Financeira'!$A:$A,'DRE 2024'!G$1,'Dados Mov Financeira'!$B:$B,'DRE 2024'!G$2)</f>
        <v>0</v>
      </c>
      <c r="H101" s="91" t="n">
        <f aca="false">IFERROR(G101/G$5,0)</f>
        <v>0</v>
      </c>
      <c r="I101" s="138" t="n">
        <f aca="false">IFERROR((G101/D101)-1,0)</f>
        <v>0</v>
      </c>
      <c r="J101" s="157" t="n">
        <v>0</v>
      </c>
      <c r="K101" s="91" t="n">
        <f aca="false">IFERROR(J101/J$5,0)</f>
        <v>0</v>
      </c>
      <c r="M101" s="157" t="n">
        <f aca="false">SUMIFS('Dados Mov Financeira'!$N:$N,'Dados Mov Financeira'!$O:$O,'DRE 2024'!$B101,'Dados Mov Financeira'!$A:$A,'DRE 2024'!M$1,'Dados Mov Financeira'!$B:$B,'DRE 2024'!M$2)</f>
        <v>0</v>
      </c>
      <c r="N101" s="91" t="n">
        <f aca="false">IFERROR(M101/M$5,0)</f>
        <v>0</v>
      </c>
      <c r="O101" s="139" t="n">
        <f aca="false">IFERROR((M101/J101)-1,0)</f>
        <v>0</v>
      </c>
      <c r="P101" s="157" t="n">
        <v>0</v>
      </c>
      <c r="Q101" s="91" t="n">
        <f aca="false">IFERROR(P101/P$5,0)</f>
        <v>0</v>
      </c>
      <c r="S101" s="157" t="n">
        <f aca="false">SUMIFS('Dados Mov Financeira'!$N:$N,'Dados Mov Financeira'!$O:$O,'DRE 2024'!$B101,'Dados Mov Financeira'!$A:$A,'DRE 2024'!S$1,'Dados Mov Financeira'!$B:$B,'DRE 2024'!S$2)</f>
        <v>0</v>
      </c>
      <c r="T101" s="91" t="n">
        <f aca="false">IFERROR(S101/S$5,0)</f>
        <v>0</v>
      </c>
      <c r="U101" s="139"/>
      <c r="V101" s="157" t="n">
        <v>0</v>
      </c>
      <c r="W101" s="91" t="n">
        <f aca="false">IFERROR(V101/V$5,0)</f>
        <v>0</v>
      </c>
      <c r="Y101" s="157" t="n">
        <f aca="false">SUMIFS('Dados Mov Financeira'!$N:$N,'Dados Mov Financeira'!$O:$O,'DRE 2024'!$B101,'Dados Mov Financeira'!$A:$A,'DRE 2024'!Y$1,'Dados Mov Financeira'!$B:$B,'DRE 2024'!Y$2)</f>
        <v>0</v>
      </c>
      <c r="Z101" s="91" t="n">
        <f aca="false">IFERROR(Y101/Y$5,0)</f>
        <v>0</v>
      </c>
      <c r="AA101" s="139"/>
      <c r="AB101" s="157" t="n">
        <v>0</v>
      </c>
      <c r="AC101" s="91" t="n">
        <f aca="false">IFERROR(AB101/AB$5,0)</f>
        <v>0</v>
      </c>
      <c r="AE101" s="157" t="n">
        <f aca="false">SUMIFS('Dados Mov Financeira'!$N:$N,'Dados Mov Financeira'!$O:$O,'DRE 2024'!$B101,'Dados Mov Financeira'!$A:$A,'DRE 2024'!AE$1,'Dados Mov Financeira'!$B:$B,'DRE 2024'!AE$2)</f>
        <v>0</v>
      </c>
      <c r="AF101" s="91" t="n">
        <f aca="false">IFERROR(AE101/AE$5,0)</f>
        <v>0</v>
      </c>
      <c r="AG101" s="139"/>
      <c r="AH101" s="157" t="n">
        <v>0</v>
      </c>
      <c r="AI101" s="91" t="n">
        <f aca="false">IFERROR(AH101/AH$5,0)</f>
        <v>0</v>
      </c>
      <c r="AK101" s="157" t="n">
        <f aca="false">SUMIFS('Dados Mov Financeira'!$N:$N,'Dados Mov Financeira'!$O:$O,'DRE 2024'!$B101,'Dados Mov Financeira'!$A:$A,'DRE 2024'!AK$1,'Dados Mov Financeira'!$B:$B,'DRE 2024'!AK$2)</f>
        <v>0</v>
      </c>
      <c r="AL101" s="91" t="n">
        <f aca="false">IFERROR(AK101/AK$5,0)</f>
        <v>0</v>
      </c>
      <c r="AM101" s="139"/>
      <c r="AN101" s="157" t="n">
        <v>0</v>
      </c>
      <c r="AO101" s="91" t="n">
        <f aca="false">IFERROR(AN101/AN$5,0)</f>
        <v>0</v>
      </c>
      <c r="AQ101" s="157" t="n">
        <f aca="false">SUMIFS('Dados Mov Financeira'!$N:$N,'Dados Mov Financeira'!$O:$O,'DRE 2024'!$B101,'Dados Mov Financeira'!$A:$A,'DRE 2024'!AQ$1,'Dados Mov Financeira'!$B:$B,'DRE 2024'!AQ$2)</f>
        <v>0</v>
      </c>
      <c r="AR101" s="91" t="n">
        <f aca="false">IFERROR(AQ101/AQ$5,0)</f>
        <v>0</v>
      </c>
      <c r="AS101" s="139"/>
      <c r="AT101" s="157" t="n">
        <v>0</v>
      </c>
      <c r="AU101" s="91" t="n">
        <f aca="false">IFERROR(AT101/AT$5,0)</f>
        <v>0</v>
      </c>
      <c r="AW101" s="157" t="n">
        <f aca="false">SUMIFS('Dados Mov Financeira'!$N:$N,'Dados Mov Financeira'!$O:$O,'DRE 2024'!$B101,'Dados Mov Financeira'!$A:$A,'DRE 2024'!AW$1,'Dados Mov Financeira'!$B:$B,'DRE 2024'!AW$2)</f>
        <v>0</v>
      </c>
      <c r="AX101" s="91" t="n">
        <f aca="false">IFERROR(AW101/AW$5,0)</f>
        <v>0</v>
      </c>
      <c r="AY101" s="139"/>
      <c r="AZ101" s="157" t="n">
        <v>0</v>
      </c>
      <c r="BA101" s="91" t="n">
        <f aca="false">IFERROR(AZ101/AZ$5,0)</f>
        <v>0</v>
      </c>
      <c r="BC101" s="157" t="n">
        <f aca="false">SUMIFS('Dados Mov Financeira'!$N:$N,'Dados Mov Financeira'!$O:$O,'DRE 2024'!$B101,'Dados Mov Financeira'!$A:$A,'DRE 2024'!BC$1,'Dados Mov Financeira'!$B:$B,'DRE 2024'!BC$2)</f>
        <v>0</v>
      </c>
      <c r="BD101" s="91" t="n">
        <f aca="false">IFERROR(BC101/BC$5,0)</f>
        <v>0</v>
      </c>
      <c r="BE101" s="139"/>
      <c r="BF101" s="157" t="n">
        <v>0</v>
      </c>
      <c r="BG101" s="91" t="n">
        <f aca="false">IFERROR(BF101/BF$5,0)</f>
        <v>0</v>
      </c>
      <c r="BI101" s="157" t="n">
        <f aca="false">SUMIFS('Dados Mov Financeira'!$N:$N,'Dados Mov Financeira'!$O:$O,'DRE 2024'!$B101,'Dados Mov Financeira'!$A:$A,'DRE 2024'!BI$1,'Dados Mov Financeira'!$B:$B,'DRE 2024'!BI$2)</f>
        <v>0</v>
      </c>
      <c r="BJ101" s="91" t="n">
        <f aca="false">IFERROR(BI101/BI$5,0)</f>
        <v>0</v>
      </c>
      <c r="BK101" s="139"/>
      <c r="BL101" s="157" t="n">
        <v>0</v>
      </c>
      <c r="BM101" s="91" t="n">
        <f aca="false">IFERROR(BL101/BL$5,0)</f>
        <v>0</v>
      </c>
      <c r="BO101" s="157" t="n">
        <f aca="false">SUMIFS('Dados Mov Financeira'!$N:$N,'Dados Mov Financeira'!$O:$O,'DRE 2024'!$B101,'Dados Mov Financeira'!$A:$A,'DRE 2024'!BO$1,'Dados Mov Financeira'!$B:$B,'DRE 2024'!BO$2)</f>
        <v>0</v>
      </c>
      <c r="BP101" s="91" t="n">
        <f aca="false">IFERROR(BO101/BO$5,0)</f>
        <v>0</v>
      </c>
      <c r="BQ101" s="139"/>
      <c r="BR101" s="157" t="n">
        <v>0</v>
      </c>
      <c r="BS101" s="91" t="n">
        <f aca="false">IFERROR(BR101/BR$5,0)</f>
        <v>0</v>
      </c>
      <c r="BT101" s="171"/>
      <c r="BU101" s="157" t="n">
        <f aca="false">SUMIFS('Dados Mov Financeira'!$N:$N,'Dados Mov Financeira'!$O:$O,'DRE 2024'!$B101,'Dados Mov Financeira'!$A:$A,'DRE 2024'!BU$1,'Dados Mov Financeira'!$B:$B,'DRE 2024'!BU$2)</f>
        <v>0</v>
      </c>
      <c r="BV101" s="91" t="n">
        <f aca="false">IFERROR(BU101/BU$5,0)</f>
        <v>0</v>
      </c>
      <c r="BW101" s="139"/>
      <c r="BX101" s="172" t="n">
        <v>0</v>
      </c>
      <c r="BY101" s="91" t="n">
        <f aca="false">IFERROR(BX101/BX$5,0)</f>
        <v>0</v>
      </c>
      <c r="CA101" s="172" t="n">
        <f aca="false">SUM(G101,M101,S101,Y101,AE101,AK101,AQ101,AW101,BC101,BI101,BO101,BU101)</f>
        <v>0</v>
      </c>
      <c r="CB101" s="91" t="n">
        <f aca="false">IFERROR(CA101/CA$5,0)</f>
        <v>0</v>
      </c>
      <c r="CC101" s="139"/>
      <c r="CE101" s="174" t="n">
        <f aca="false">BX101/$CF$1</f>
        <v>0</v>
      </c>
      <c r="CF101" s="94" t="n">
        <f aca="false">IFERROR(CE101/CE$5,0)</f>
        <v>0</v>
      </c>
      <c r="CH101" s="174" t="n">
        <f aca="false">CA101/$CI$1</f>
        <v>0</v>
      </c>
      <c r="CI101" s="94" t="n">
        <f aca="false">IFERROR(CH101/CH$5,0)</f>
        <v>0</v>
      </c>
    </row>
    <row r="102" s="178" customFormat="true" ht="14.25" hidden="false" customHeight="false" outlineLevel="1" collapsed="false">
      <c r="B102" s="179" t="s">
        <v>139</v>
      </c>
      <c r="D102" s="181" t="n">
        <v>-2000</v>
      </c>
      <c r="E102" s="182" t="n">
        <f aca="false">IFERROR(D102/D$5,0)</f>
        <v>-0.025</v>
      </c>
      <c r="G102" s="181" t="n">
        <f aca="false">SUMIFS('Dados Mov Financeira'!$N:$N,'Dados Mov Financeira'!$O:$O,'DRE 2024'!$B102,'Dados Mov Financeira'!$A:$A,'DRE 2024'!G$1,'Dados Mov Financeira'!$B:$B,'DRE 2024'!G$2)</f>
        <v>0</v>
      </c>
      <c r="H102" s="182" t="n">
        <f aca="false">IFERROR(G102/G$5,0)</f>
        <v>0</v>
      </c>
      <c r="I102" s="138" t="n">
        <f aca="false">IFERROR((G102/D102)-1,0)</f>
        <v>-1</v>
      </c>
      <c r="J102" s="181" t="n">
        <v>-2000</v>
      </c>
      <c r="K102" s="182" t="n">
        <f aca="false">IFERROR(J102/J$5,0)</f>
        <v>-0.0235294117647059</v>
      </c>
      <c r="L102" s="126"/>
      <c r="M102" s="181" t="n">
        <f aca="false">SUMIFS('Dados Mov Financeira'!$N:$N,'Dados Mov Financeira'!$O:$O,'DRE 2024'!$B102,'Dados Mov Financeira'!$A:$A,'DRE 2024'!M$1,'Dados Mov Financeira'!$B:$B,'DRE 2024'!M$2)</f>
        <v>0</v>
      </c>
      <c r="N102" s="182" t="n">
        <f aca="false">IFERROR(M102/M$5,0)</f>
        <v>0</v>
      </c>
      <c r="O102" s="139" t="n">
        <f aca="false">IFERROR((M102/J102)-1,0)</f>
        <v>-1</v>
      </c>
      <c r="P102" s="181" t="n">
        <v>-2000</v>
      </c>
      <c r="Q102" s="182" t="n">
        <f aca="false">IFERROR(P102/P$5,0)</f>
        <v>-0.0222222222222222</v>
      </c>
      <c r="S102" s="181" t="n">
        <f aca="false">SUMIFS('Dados Mov Financeira'!$N:$N,'Dados Mov Financeira'!$O:$O,'DRE 2024'!$B102,'Dados Mov Financeira'!$A:$A,'DRE 2024'!S$1,'Dados Mov Financeira'!$B:$B,'DRE 2024'!S$2)</f>
        <v>0</v>
      </c>
      <c r="T102" s="182" t="n">
        <f aca="false">IFERROR(S102/S$5,0)</f>
        <v>0</v>
      </c>
      <c r="U102" s="183"/>
      <c r="V102" s="181" t="n">
        <v>-2000</v>
      </c>
      <c r="W102" s="182" t="n">
        <f aca="false">IFERROR(V102/V$5,0)</f>
        <v>-0.02</v>
      </c>
      <c r="Y102" s="181" t="n">
        <f aca="false">SUMIFS('Dados Mov Financeira'!$N:$N,'Dados Mov Financeira'!$O:$O,'DRE 2024'!$B102,'Dados Mov Financeira'!$A:$A,'DRE 2024'!Y$1,'Dados Mov Financeira'!$B:$B,'DRE 2024'!Y$2)</f>
        <v>0</v>
      </c>
      <c r="Z102" s="182" t="n">
        <f aca="false">IFERROR(Y102/Y$5,0)</f>
        <v>0</v>
      </c>
      <c r="AA102" s="183"/>
      <c r="AB102" s="181" t="n">
        <v>-2000</v>
      </c>
      <c r="AC102" s="182" t="n">
        <f aca="false">IFERROR(AB102/AB$5,0)</f>
        <v>-0.0181818181818182</v>
      </c>
      <c r="AE102" s="181" t="n">
        <f aca="false">SUMIFS('Dados Mov Financeira'!$N:$N,'Dados Mov Financeira'!$O:$O,'DRE 2024'!$B102,'Dados Mov Financeira'!$A:$A,'DRE 2024'!AE$1,'Dados Mov Financeira'!$B:$B,'DRE 2024'!AE$2)</f>
        <v>0</v>
      </c>
      <c r="AF102" s="182" t="n">
        <f aca="false">IFERROR(AE102/AE$5,0)</f>
        <v>0</v>
      </c>
      <c r="AG102" s="183"/>
      <c r="AH102" s="181" t="n">
        <v>-2000</v>
      </c>
      <c r="AI102" s="182" t="n">
        <f aca="false">IFERROR(AH102/AH$5,0)</f>
        <v>-0.0166666666666667</v>
      </c>
      <c r="AK102" s="181" t="n">
        <f aca="false">SUMIFS('Dados Mov Financeira'!$N:$N,'Dados Mov Financeira'!$O:$O,'DRE 2024'!$B102,'Dados Mov Financeira'!$A:$A,'DRE 2024'!AK$1,'Dados Mov Financeira'!$B:$B,'DRE 2024'!AK$2)</f>
        <v>0</v>
      </c>
      <c r="AL102" s="182" t="n">
        <f aca="false">IFERROR(AK102/AK$5,0)</f>
        <v>0</v>
      </c>
      <c r="AM102" s="183"/>
      <c r="AN102" s="181" t="n">
        <v>-2000</v>
      </c>
      <c r="AO102" s="182" t="n">
        <f aca="false">IFERROR(AN102/AN$5,0)</f>
        <v>-0.0153846153846154</v>
      </c>
      <c r="AQ102" s="181" t="n">
        <f aca="false">SUMIFS('Dados Mov Financeira'!$N:$N,'Dados Mov Financeira'!$O:$O,'DRE 2024'!$B102,'Dados Mov Financeira'!$A:$A,'DRE 2024'!AQ$1,'Dados Mov Financeira'!$B:$B,'DRE 2024'!AQ$2)</f>
        <v>0</v>
      </c>
      <c r="AR102" s="182" t="n">
        <f aca="false">IFERROR(AQ102/AQ$5,0)</f>
        <v>0</v>
      </c>
      <c r="AS102" s="183"/>
      <c r="AT102" s="181" t="n">
        <v>-2000</v>
      </c>
      <c r="AU102" s="182" t="n">
        <f aca="false">IFERROR(AT102/AT$5,0)</f>
        <v>-0.0142857142857143</v>
      </c>
      <c r="AW102" s="181" t="n">
        <f aca="false">SUMIFS('Dados Mov Financeira'!$N:$N,'Dados Mov Financeira'!$O:$O,'DRE 2024'!$B102,'Dados Mov Financeira'!$A:$A,'DRE 2024'!AW$1,'Dados Mov Financeira'!$B:$B,'DRE 2024'!AW$2)</f>
        <v>0</v>
      </c>
      <c r="AX102" s="182" t="n">
        <f aca="false">IFERROR(AW102/AW$5,0)</f>
        <v>0</v>
      </c>
      <c r="AY102" s="183"/>
      <c r="AZ102" s="181" t="n">
        <v>-2000</v>
      </c>
      <c r="BA102" s="182" t="n">
        <f aca="false">IFERROR(AZ102/AZ$5,0)</f>
        <v>-0.0133333333333333</v>
      </c>
      <c r="BC102" s="181" t="n">
        <f aca="false">SUMIFS('Dados Mov Financeira'!$N:$N,'Dados Mov Financeira'!$O:$O,'DRE 2024'!$B102,'Dados Mov Financeira'!$A:$A,'DRE 2024'!BC$1,'Dados Mov Financeira'!$B:$B,'DRE 2024'!BC$2)</f>
        <v>0</v>
      </c>
      <c r="BD102" s="182" t="n">
        <f aca="false">IFERROR(BC102/BC$5,0)</f>
        <v>0</v>
      </c>
      <c r="BE102" s="183"/>
      <c r="BF102" s="181" t="n">
        <v>-2000</v>
      </c>
      <c r="BG102" s="182" t="n">
        <f aca="false">IFERROR(BF102/BF$5,0)</f>
        <v>-0.0133333333333333</v>
      </c>
      <c r="BI102" s="181" t="n">
        <f aca="false">SUMIFS('Dados Mov Financeira'!$N:$N,'Dados Mov Financeira'!$O:$O,'DRE 2024'!$B102,'Dados Mov Financeira'!$A:$A,'DRE 2024'!BI$1,'Dados Mov Financeira'!$B:$B,'DRE 2024'!BI$2)</f>
        <v>0</v>
      </c>
      <c r="BJ102" s="182" t="n">
        <f aca="false">IFERROR(BI102/BI$5,0)</f>
        <v>0</v>
      </c>
      <c r="BK102" s="183"/>
      <c r="BL102" s="181" t="n">
        <v>-2000</v>
      </c>
      <c r="BM102" s="182" t="n">
        <f aca="false">IFERROR(BL102/BL$5,0)</f>
        <v>-0.0133333333333333</v>
      </c>
      <c r="BO102" s="181" t="n">
        <f aca="false">SUMIFS('Dados Mov Financeira'!$N:$N,'Dados Mov Financeira'!$O:$O,'DRE 2024'!$B102,'Dados Mov Financeira'!$A:$A,'DRE 2024'!BO$1,'Dados Mov Financeira'!$B:$B,'DRE 2024'!BO$2)</f>
        <v>0</v>
      </c>
      <c r="BP102" s="182" t="n">
        <f aca="false">IFERROR(BO102/BO$5,0)</f>
        <v>0</v>
      </c>
      <c r="BQ102" s="183"/>
      <c r="BR102" s="181" t="n">
        <v>-2000</v>
      </c>
      <c r="BS102" s="182" t="n">
        <f aca="false">IFERROR(BR102/BR$5,0)</f>
        <v>-0.0133333333333333</v>
      </c>
      <c r="BT102" s="184"/>
      <c r="BU102" s="181" t="n">
        <f aca="false">SUMIFS('Dados Mov Financeira'!$N:$N,'Dados Mov Financeira'!$O:$O,'DRE 2024'!$B102,'Dados Mov Financeira'!$A:$A,'DRE 2024'!BU$1,'Dados Mov Financeira'!$B:$B,'DRE 2024'!BU$2)</f>
        <v>0</v>
      </c>
      <c r="BV102" s="182" t="n">
        <f aca="false">IFERROR(BU102/BU$5,0)</f>
        <v>0</v>
      </c>
      <c r="BW102" s="183"/>
      <c r="BX102" s="185" t="n">
        <v>0</v>
      </c>
      <c r="BY102" s="182" t="n">
        <f aca="false">IFERROR(BX102/BX$5,0)</f>
        <v>0</v>
      </c>
      <c r="CA102" s="185" t="n">
        <f aca="false">SUM(G102,M102,S102,Y102,AE102,AK102,AQ102,AW102,BC102,BI102,BO102,BU102)</f>
        <v>0</v>
      </c>
      <c r="CB102" s="182" t="n">
        <f aca="false">IFERROR(CA102/CA$5,0)</f>
        <v>0</v>
      </c>
      <c r="CC102" s="183"/>
      <c r="CE102" s="186" t="n">
        <f aca="false">BX102/$CF$1</f>
        <v>0</v>
      </c>
      <c r="CF102" s="182" t="n">
        <f aca="false">IFERROR(CE102/CE$5,0)</f>
        <v>0</v>
      </c>
      <c r="CH102" s="186" t="n">
        <f aca="false">CA102/$CI$1</f>
        <v>0</v>
      </c>
      <c r="CI102" s="182" t="n">
        <f aca="false">IFERROR(CH102/CH$5,0)</f>
        <v>0</v>
      </c>
    </row>
    <row r="103" s="128" customFormat="true" ht="6.75" hidden="false" customHeight="true" outlineLevel="0" collapsed="false">
      <c r="B103" s="135"/>
      <c r="C103" s="145"/>
      <c r="D103" s="161"/>
      <c r="E103" s="60"/>
      <c r="F103" s="145"/>
      <c r="G103" s="161"/>
      <c r="H103" s="60"/>
      <c r="I103" s="60"/>
      <c r="J103" s="161"/>
      <c r="K103" s="60"/>
      <c r="L103" s="145"/>
      <c r="M103" s="161"/>
      <c r="N103" s="60"/>
      <c r="O103" s="149"/>
      <c r="P103" s="161"/>
      <c r="Q103" s="60"/>
      <c r="R103" s="145"/>
      <c r="S103" s="161"/>
      <c r="T103" s="60"/>
      <c r="U103" s="149"/>
      <c r="V103" s="161"/>
      <c r="W103" s="60"/>
      <c r="X103" s="145"/>
      <c r="Y103" s="161"/>
      <c r="Z103" s="60"/>
      <c r="AA103" s="149"/>
      <c r="AB103" s="161"/>
      <c r="AC103" s="60"/>
      <c r="AD103" s="145"/>
      <c r="AE103" s="161"/>
      <c r="AF103" s="60"/>
      <c r="AG103" s="149"/>
      <c r="AH103" s="161"/>
      <c r="AI103" s="60"/>
      <c r="AJ103" s="145"/>
      <c r="AK103" s="161"/>
      <c r="AL103" s="60"/>
      <c r="AM103" s="149"/>
      <c r="AN103" s="161"/>
      <c r="AO103" s="60"/>
      <c r="AP103" s="145"/>
      <c r="AQ103" s="161"/>
      <c r="AR103" s="60"/>
      <c r="AS103" s="149"/>
      <c r="AT103" s="161"/>
      <c r="AU103" s="60"/>
      <c r="AV103" s="145"/>
      <c r="AW103" s="161"/>
      <c r="AX103" s="60"/>
      <c r="AY103" s="149"/>
      <c r="AZ103" s="161"/>
      <c r="BA103" s="60"/>
      <c r="BB103" s="145"/>
      <c r="BC103" s="161"/>
      <c r="BD103" s="60"/>
      <c r="BE103" s="149"/>
      <c r="BF103" s="161"/>
      <c r="BG103" s="60"/>
      <c r="BH103" s="145"/>
      <c r="BI103" s="161"/>
      <c r="BJ103" s="60"/>
      <c r="BK103" s="149"/>
      <c r="BL103" s="161"/>
      <c r="BM103" s="60"/>
      <c r="BN103" s="145"/>
      <c r="BO103" s="161"/>
      <c r="BP103" s="60"/>
      <c r="BQ103" s="149"/>
      <c r="BR103" s="161"/>
      <c r="BS103" s="60"/>
      <c r="BT103" s="149"/>
      <c r="BU103" s="161"/>
      <c r="BV103" s="60"/>
      <c r="BW103" s="149"/>
      <c r="BX103" s="161"/>
      <c r="BY103" s="60"/>
      <c r="BZ103" s="145"/>
      <c r="CA103" s="161"/>
      <c r="CB103" s="60"/>
      <c r="CC103" s="149"/>
      <c r="CD103" s="145"/>
      <c r="CE103" s="162"/>
      <c r="CF103" s="60"/>
      <c r="CG103" s="145"/>
      <c r="CH103" s="162"/>
      <c r="CI103" s="60"/>
    </row>
    <row r="104" s="150" customFormat="true" ht="14.25" hidden="false" customHeight="false" outlineLevel="0" collapsed="false">
      <c r="A104" s="126"/>
      <c r="B104" s="188" t="s">
        <v>130</v>
      </c>
      <c r="D104" s="189" t="n">
        <f aca="false">D42+D44</f>
        <v>13280.058</v>
      </c>
      <c r="E104" s="104" t="n">
        <f aca="false">IFERROR(D104/D$5,0)</f>
        <v>0.166000725</v>
      </c>
      <c r="G104" s="189" t="n">
        <f aca="false">G42+G44</f>
        <v>0</v>
      </c>
      <c r="H104" s="104" t="n">
        <f aca="false">IFERROR(G104/G$5,0)</f>
        <v>0</v>
      </c>
      <c r="I104" s="194" t="n">
        <f aca="false">IFERROR(G104/D104,0)</f>
        <v>0</v>
      </c>
      <c r="J104" s="189" t="n">
        <f aca="false">J42+J44</f>
        <v>10465.058</v>
      </c>
      <c r="K104" s="104" t="n">
        <f aca="false">IFERROR(J104/J$5,0)</f>
        <v>0.123118329411765</v>
      </c>
      <c r="M104" s="189" t="n">
        <f aca="false">M42+M44</f>
        <v>0</v>
      </c>
      <c r="N104" s="104" t="n">
        <f aca="false">IFERROR(M104/M$5,0)</f>
        <v>0</v>
      </c>
      <c r="O104" s="139" t="n">
        <f aca="false">IFERROR(M104/J104,0)</f>
        <v>0</v>
      </c>
      <c r="P104" s="189" t="n">
        <f aca="false">P42+P44</f>
        <v>12815.058</v>
      </c>
      <c r="Q104" s="104" t="n">
        <f aca="false">IFERROR(P104/P$5,0)</f>
        <v>0.142389533333333</v>
      </c>
      <c r="S104" s="189" t="n">
        <f aca="false">S42+S44</f>
        <v>0</v>
      </c>
      <c r="T104" s="104" t="n">
        <f aca="false">IFERROR(S104/S$5,0)</f>
        <v>0</v>
      </c>
      <c r="U104" s="139" t="n">
        <f aca="false">IFERROR(S104/P104,0)</f>
        <v>0</v>
      </c>
      <c r="V104" s="189" t="n">
        <f aca="false">V42+V44</f>
        <v>17485.058</v>
      </c>
      <c r="W104" s="104" t="n">
        <f aca="false">IFERROR(V104/V$5,0)</f>
        <v>0.17485058</v>
      </c>
      <c r="Y104" s="189" t="n">
        <f aca="false">Y42+Y44</f>
        <v>0</v>
      </c>
      <c r="Z104" s="104" t="n">
        <f aca="false">IFERROR(Y104/Y$5,0)</f>
        <v>0</v>
      </c>
      <c r="AA104" s="139" t="n">
        <f aca="false">IFERROR(Y104/V104,0)</f>
        <v>0</v>
      </c>
      <c r="AB104" s="189" t="n">
        <f aca="false">AB42+AB44</f>
        <v>23255.058</v>
      </c>
      <c r="AC104" s="104" t="n">
        <f aca="false">IFERROR(AB104/AB$5,0)</f>
        <v>0.211409618181818</v>
      </c>
      <c r="AE104" s="189" t="n">
        <f aca="false">AE42+AE44</f>
        <v>0</v>
      </c>
      <c r="AF104" s="104" t="n">
        <f aca="false">IFERROR(AE104/AE$5,0)</f>
        <v>0</v>
      </c>
      <c r="AG104" s="139" t="n">
        <f aca="false">IFERROR(AE104/AB104,0)</f>
        <v>0</v>
      </c>
      <c r="AH104" s="189" t="n">
        <f aca="false">AH42+AH44</f>
        <v>29345.058</v>
      </c>
      <c r="AI104" s="104" t="n">
        <f aca="false">IFERROR(AH104/AH$5,0)</f>
        <v>0.24454215</v>
      </c>
      <c r="AK104" s="189" t="n">
        <f aca="false">AK42+AK44</f>
        <v>0</v>
      </c>
      <c r="AL104" s="104" t="n">
        <f aca="false">IFERROR(AK104/AK$5,0)</f>
        <v>0</v>
      </c>
      <c r="AM104" s="139" t="n">
        <f aca="false">IFERROR(AK104/AH104,0)</f>
        <v>0</v>
      </c>
      <c r="AN104" s="189" t="n">
        <f aca="false">AN42+AN44</f>
        <v>34225.058</v>
      </c>
      <c r="AO104" s="104" t="n">
        <f aca="false">IFERROR(AN104/AN$5,0)</f>
        <v>0.263269676923077</v>
      </c>
      <c r="AQ104" s="189" t="n">
        <f aca="false">AQ42+AQ44</f>
        <v>0</v>
      </c>
      <c r="AR104" s="104" t="n">
        <f aca="false">IFERROR(AQ104/AQ$5,0)</f>
        <v>0</v>
      </c>
      <c r="AS104" s="139" t="n">
        <f aca="false">IFERROR(AQ104/AN104,0)</f>
        <v>0</v>
      </c>
      <c r="AT104" s="189" t="n">
        <f aca="false">AT42+AT44</f>
        <v>38505.058</v>
      </c>
      <c r="AU104" s="104" t="n">
        <f aca="false">IFERROR(AT104/AT$5,0)</f>
        <v>0.275036128571429</v>
      </c>
      <c r="AW104" s="189" t="n">
        <f aca="false">AW42+AW44</f>
        <v>0</v>
      </c>
      <c r="AX104" s="104" t="n">
        <f aca="false">IFERROR(AW104/AW$5,0)</f>
        <v>0</v>
      </c>
      <c r="AY104" s="139" t="n">
        <f aca="false">IFERROR(AW104/AT104,0)</f>
        <v>0</v>
      </c>
      <c r="AZ104" s="189" t="n">
        <f aca="false">AZ42+AZ44</f>
        <v>45635.058</v>
      </c>
      <c r="BA104" s="104" t="n">
        <f aca="false">IFERROR(AZ104/AZ$5,0)</f>
        <v>0.30423372</v>
      </c>
      <c r="BC104" s="189" t="n">
        <f aca="false">BC42+BC44</f>
        <v>0</v>
      </c>
      <c r="BD104" s="104" t="n">
        <f aca="false">IFERROR(BC104/BC$5,0)</f>
        <v>0</v>
      </c>
      <c r="BE104" s="139" t="n">
        <f aca="false">IFERROR(BC104/AZ104,0)</f>
        <v>0</v>
      </c>
      <c r="BF104" s="189" t="n">
        <f aca="false">BF42+BF44</f>
        <v>46085.058</v>
      </c>
      <c r="BG104" s="104" t="n">
        <f aca="false">IFERROR(BF104/BF$5,0)</f>
        <v>0.30723372</v>
      </c>
      <c r="BI104" s="189" t="n">
        <f aca="false">BI42+BI44</f>
        <v>0</v>
      </c>
      <c r="BJ104" s="104" t="n">
        <f aca="false">IFERROR(BI104/BI$5,0)</f>
        <v>0</v>
      </c>
      <c r="BK104" s="139" t="n">
        <f aca="false">IFERROR(BI104/BF104,0)</f>
        <v>0</v>
      </c>
      <c r="BL104" s="189" t="n">
        <f aca="false">BL42+BL44</f>
        <v>42785.058</v>
      </c>
      <c r="BM104" s="104" t="n">
        <f aca="false">IFERROR(BL104/BL$5,0)</f>
        <v>0.28523372</v>
      </c>
      <c r="BO104" s="189" t="n">
        <f aca="false">BO42+BO44</f>
        <v>0</v>
      </c>
      <c r="BP104" s="104" t="n">
        <f aca="false">IFERROR(BO104/BO$5,0)</f>
        <v>0</v>
      </c>
      <c r="BQ104" s="139" t="n">
        <f aca="false">IFERROR(BO104/BL104,0)</f>
        <v>0</v>
      </c>
      <c r="BR104" s="189" t="n">
        <f aca="false">BR42+BR44</f>
        <v>42785.058</v>
      </c>
      <c r="BS104" s="104" t="n">
        <f aca="false">IFERROR(BR104/BR$5,0)</f>
        <v>0.28523372</v>
      </c>
      <c r="BT104" s="140"/>
      <c r="BU104" s="189" t="n">
        <f aca="false">BU42+BU44</f>
        <v>-6500</v>
      </c>
      <c r="BV104" s="104" t="n">
        <f aca="false">IFERROR(BU104/BU$5,0)</f>
        <v>0</v>
      </c>
      <c r="BW104" s="139" t="n">
        <f aca="false">IFERROR(BU104/BR104,0)</f>
        <v>-0.151922196763178</v>
      </c>
      <c r="BX104" s="189" t="n">
        <f aca="false">BX42+BX44</f>
        <v>360665.696</v>
      </c>
      <c r="BY104" s="104" t="n">
        <f aca="false">IFERROR(BX104/BX$5,0)</f>
        <v>0.247880203436426</v>
      </c>
      <c r="CA104" s="189" t="n">
        <f aca="false">CA42+CA44</f>
        <v>-6500</v>
      </c>
      <c r="CB104" s="104" t="n">
        <f aca="false">IFERROR(CA104/CA$5,0)</f>
        <v>0</v>
      </c>
      <c r="CC104" s="139" t="n">
        <f aca="false">IFERROR(CA104/BX104,0)</f>
        <v>-0.0180222296494757</v>
      </c>
      <c r="CE104" s="189" t="n">
        <f aca="false">CE42+CE44</f>
        <v>30055.4746666667</v>
      </c>
      <c r="CF104" s="104" t="n">
        <f aca="false">IFERROR(CE104/CE$5,0)</f>
        <v>0.247880203436426</v>
      </c>
      <c r="CH104" s="189" t="n">
        <f aca="false">CH42+CH44</f>
        <v>-541.666666666667</v>
      </c>
      <c r="CI104" s="104" t="n">
        <f aca="false">IFERROR(CH104/CH$5,0)</f>
        <v>0</v>
      </c>
    </row>
    <row r="105" s="128" customFormat="true" ht="4.5" hidden="false" customHeight="true" outlineLevel="0" collapsed="false">
      <c r="B105" s="135"/>
      <c r="C105" s="145"/>
      <c r="D105" s="161"/>
      <c r="E105" s="60"/>
      <c r="F105" s="145"/>
      <c r="G105" s="161"/>
      <c r="H105" s="60"/>
      <c r="I105" s="60"/>
      <c r="J105" s="161"/>
      <c r="K105" s="60"/>
      <c r="L105" s="145"/>
      <c r="M105" s="161"/>
      <c r="N105" s="60"/>
      <c r="O105" s="149"/>
      <c r="P105" s="161"/>
      <c r="Q105" s="60"/>
      <c r="R105" s="145"/>
      <c r="S105" s="161"/>
      <c r="T105" s="60"/>
      <c r="U105" s="149"/>
      <c r="V105" s="161"/>
      <c r="W105" s="60"/>
      <c r="X105" s="145"/>
      <c r="Y105" s="161"/>
      <c r="Z105" s="60"/>
      <c r="AA105" s="149"/>
      <c r="AB105" s="161"/>
      <c r="AC105" s="60"/>
      <c r="AD105" s="145"/>
      <c r="AE105" s="161"/>
      <c r="AF105" s="60"/>
      <c r="AG105" s="149"/>
      <c r="AH105" s="161"/>
      <c r="AI105" s="60"/>
      <c r="AJ105" s="145"/>
      <c r="AK105" s="161"/>
      <c r="AL105" s="60"/>
      <c r="AM105" s="149"/>
      <c r="AN105" s="161"/>
      <c r="AO105" s="60"/>
      <c r="AP105" s="145"/>
      <c r="AQ105" s="161"/>
      <c r="AR105" s="60"/>
      <c r="AS105" s="149"/>
      <c r="AT105" s="161"/>
      <c r="AU105" s="60"/>
      <c r="AV105" s="145"/>
      <c r="AW105" s="161"/>
      <c r="AX105" s="60"/>
      <c r="AY105" s="149"/>
      <c r="AZ105" s="161"/>
      <c r="BA105" s="60"/>
      <c r="BB105" s="145"/>
      <c r="BC105" s="161"/>
      <c r="BD105" s="60"/>
      <c r="BE105" s="149"/>
      <c r="BF105" s="161"/>
      <c r="BG105" s="60"/>
      <c r="BH105" s="145"/>
      <c r="BI105" s="161"/>
      <c r="BJ105" s="60"/>
      <c r="BK105" s="149"/>
      <c r="BL105" s="161"/>
      <c r="BM105" s="60"/>
      <c r="BN105" s="145"/>
      <c r="BO105" s="161"/>
      <c r="BP105" s="60"/>
      <c r="BQ105" s="149"/>
      <c r="BR105" s="161"/>
      <c r="BS105" s="60"/>
      <c r="BT105" s="149"/>
      <c r="BU105" s="161"/>
      <c r="BV105" s="60"/>
      <c r="BW105" s="149"/>
      <c r="BX105" s="161"/>
      <c r="BY105" s="60"/>
      <c r="BZ105" s="145"/>
      <c r="CA105" s="161"/>
      <c r="CB105" s="60"/>
      <c r="CC105" s="149"/>
      <c r="CD105" s="145"/>
      <c r="CE105" s="162"/>
      <c r="CF105" s="60"/>
      <c r="CG105" s="145"/>
      <c r="CH105" s="162"/>
      <c r="CI105" s="60"/>
    </row>
    <row r="106" s="150" customFormat="true" ht="14.25" hidden="true" customHeight="false" outlineLevel="0" collapsed="false">
      <c r="A106" s="126"/>
      <c r="B106" s="163" t="s">
        <v>131</v>
      </c>
      <c r="D106" s="164" t="n">
        <f aca="false">D107+D110</f>
        <v>0</v>
      </c>
      <c r="E106" s="81" t="n">
        <f aca="false">IFERROR(D106/D$5,0)</f>
        <v>0</v>
      </c>
      <c r="G106" s="164" t="n">
        <f aca="false">G107+G110</f>
        <v>0</v>
      </c>
      <c r="H106" s="81" t="n">
        <f aca="false">IFERROR(G106/G$5,0)</f>
        <v>0</v>
      </c>
      <c r="I106" s="138" t="n">
        <f aca="false">IFERROR((G106/D106)-1,0)</f>
        <v>0</v>
      </c>
      <c r="J106" s="164" t="n">
        <f aca="false">J107+J110</f>
        <v>0</v>
      </c>
      <c r="K106" s="81" t="n">
        <f aca="false">IFERROR(J106/J$5,0)</f>
        <v>0</v>
      </c>
      <c r="M106" s="164" t="n">
        <f aca="false">M107+M110</f>
        <v>0</v>
      </c>
      <c r="N106" s="81" t="n">
        <f aca="false">IFERROR(M106/M$5,0)</f>
        <v>0</v>
      </c>
      <c r="O106" s="139" t="n">
        <f aca="false">IFERROR((M106/J106)-1,0)</f>
        <v>0</v>
      </c>
      <c r="P106" s="164" t="n">
        <f aca="false">P107+P110</f>
        <v>0</v>
      </c>
      <c r="Q106" s="81" t="n">
        <f aca="false">IFERROR(P106/P$5,0)</f>
        <v>0</v>
      </c>
      <c r="S106" s="164" t="n">
        <f aca="false">S107+S110</f>
        <v>0</v>
      </c>
      <c r="T106" s="81" t="n">
        <f aca="false">IFERROR(S106/S$5,0)</f>
        <v>0</v>
      </c>
      <c r="U106" s="139" t="n">
        <f aca="false">IFERROR((S106/P106)-1,0)</f>
        <v>0</v>
      </c>
      <c r="V106" s="164" t="n">
        <f aca="false">V107+V110</f>
        <v>0</v>
      </c>
      <c r="W106" s="81" t="n">
        <f aca="false">IFERROR(V106/V$5,0)</f>
        <v>0</v>
      </c>
      <c r="Y106" s="164" t="n">
        <f aca="false">Y107+Y110</f>
        <v>0</v>
      </c>
      <c r="Z106" s="81" t="n">
        <f aca="false">IFERROR(Y106/Y$5,0)</f>
        <v>0</v>
      </c>
      <c r="AA106" s="139" t="n">
        <f aca="false">IFERROR((Y106/V106)-1,0)</f>
        <v>0</v>
      </c>
      <c r="AB106" s="164" t="n">
        <f aca="false">AB107+AB110</f>
        <v>0</v>
      </c>
      <c r="AC106" s="81" t="n">
        <f aca="false">IFERROR(AB106/AB$5,0)</f>
        <v>0</v>
      </c>
      <c r="AE106" s="164" t="n">
        <f aca="false">AE107+AE110</f>
        <v>0</v>
      </c>
      <c r="AF106" s="81" t="n">
        <f aca="false">IFERROR(AE106/AE$5,0)</f>
        <v>0</v>
      </c>
      <c r="AG106" s="139" t="n">
        <f aca="false">IFERROR((AE106/AB106)-1,0)</f>
        <v>0</v>
      </c>
      <c r="AH106" s="164" t="n">
        <f aca="false">AH107+AH110</f>
        <v>0</v>
      </c>
      <c r="AI106" s="81" t="n">
        <f aca="false">IFERROR(AH106/AH$5,0)</f>
        <v>0</v>
      </c>
      <c r="AK106" s="164" t="n">
        <f aca="false">AK107+AK110</f>
        <v>0</v>
      </c>
      <c r="AL106" s="81" t="n">
        <f aca="false">IFERROR(AK106/AK$5,0)</f>
        <v>0</v>
      </c>
      <c r="AM106" s="139" t="n">
        <f aca="false">IFERROR((AK106/AH106)-1,0)</f>
        <v>0</v>
      </c>
      <c r="AN106" s="164" t="n">
        <f aca="false">AN107+AN110</f>
        <v>0</v>
      </c>
      <c r="AO106" s="81" t="n">
        <f aca="false">IFERROR(AN106/AN$5,0)</f>
        <v>0</v>
      </c>
      <c r="AQ106" s="164" t="n">
        <f aca="false">AQ107+AQ110</f>
        <v>0</v>
      </c>
      <c r="AR106" s="81" t="n">
        <f aca="false">IFERROR(AQ106/AQ$5,0)</f>
        <v>0</v>
      </c>
      <c r="AS106" s="139" t="n">
        <f aca="false">IFERROR((AQ106/AN106)-1,0)</f>
        <v>0</v>
      </c>
      <c r="AT106" s="164" t="n">
        <f aca="false">AT107+AT110</f>
        <v>0</v>
      </c>
      <c r="AU106" s="81" t="n">
        <f aca="false">IFERROR(AT106/AT$5,0)</f>
        <v>0</v>
      </c>
      <c r="AW106" s="164" t="n">
        <f aca="false">AW107+AW110</f>
        <v>0</v>
      </c>
      <c r="AX106" s="81" t="n">
        <f aca="false">IFERROR(AW106/AW$5,0)</f>
        <v>0</v>
      </c>
      <c r="AY106" s="139" t="n">
        <f aca="false">IFERROR((AW106/AT106)-1,0)</f>
        <v>0</v>
      </c>
      <c r="AZ106" s="164" t="n">
        <f aca="false">AZ107+AZ110</f>
        <v>0</v>
      </c>
      <c r="BA106" s="81" t="n">
        <f aca="false">IFERROR(AZ106/AZ$5,0)</f>
        <v>0</v>
      </c>
      <c r="BC106" s="164" t="n">
        <f aca="false">BC107+BC110</f>
        <v>0</v>
      </c>
      <c r="BD106" s="81" t="n">
        <f aca="false">IFERROR(BC106/BC$5,0)</f>
        <v>0</v>
      </c>
      <c r="BE106" s="139" t="n">
        <f aca="false">IFERROR((BC106/AZ106)-1,0)</f>
        <v>0</v>
      </c>
      <c r="BF106" s="164" t="n">
        <f aca="false">BF107+BF110</f>
        <v>0</v>
      </c>
      <c r="BG106" s="81" t="n">
        <f aca="false">IFERROR(BF106/BF$5,0)</f>
        <v>0</v>
      </c>
      <c r="BI106" s="164" t="n">
        <f aca="false">BI107+BI110</f>
        <v>0</v>
      </c>
      <c r="BJ106" s="81" t="n">
        <f aca="false">IFERROR(BI106/BI$5,0)</f>
        <v>0</v>
      </c>
      <c r="BK106" s="139" t="n">
        <f aca="false">IFERROR((BI106/BF106)-1,0)</f>
        <v>0</v>
      </c>
      <c r="BL106" s="164" t="n">
        <f aca="false">BL107+BL110</f>
        <v>0</v>
      </c>
      <c r="BM106" s="81" t="n">
        <f aca="false">IFERROR(BL106/BL$5,0)</f>
        <v>0</v>
      </c>
      <c r="BO106" s="164" t="n">
        <f aca="false">BO107+BO110</f>
        <v>0</v>
      </c>
      <c r="BP106" s="81" t="n">
        <f aca="false">IFERROR(BO106/BO$5,0)</f>
        <v>0</v>
      </c>
      <c r="BQ106" s="139" t="n">
        <f aca="false">IFERROR((BO106/BL106)-1,0)</f>
        <v>0</v>
      </c>
      <c r="BR106" s="164" t="n">
        <f aca="false">BR107+BR110</f>
        <v>0</v>
      </c>
      <c r="BS106" s="81" t="n">
        <f aca="false">IFERROR(BR106/BR$5,0)</f>
        <v>0</v>
      </c>
      <c r="BT106" s="140"/>
      <c r="BU106" s="164" t="n">
        <f aca="false">BU107+BU110</f>
        <v>0</v>
      </c>
      <c r="BV106" s="81" t="n">
        <f aca="false">IFERROR(BU106/BU$5,0)</f>
        <v>0</v>
      </c>
      <c r="BW106" s="139" t="n">
        <f aca="false">IFERROR((BU106/BR106)-1,0)</f>
        <v>0</v>
      </c>
      <c r="BX106" s="164" t="n">
        <f aca="false">BX107+BX110</f>
        <v>0</v>
      </c>
      <c r="BY106" s="81" t="n">
        <f aca="false">IFERROR(BX106/BX$5,0)</f>
        <v>0</v>
      </c>
      <c r="CA106" s="164" t="n">
        <f aca="false">CA107+CA110</f>
        <v>0</v>
      </c>
      <c r="CB106" s="81" t="n">
        <f aca="false">IFERROR(CA106/CA$5,0)</f>
        <v>0</v>
      </c>
      <c r="CC106" s="139" t="n">
        <f aca="false">IFERROR((CA106/BX106)-1,0)</f>
        <v>0</v>
      </c>
      <c r="CE106" s="164" t="n">
        <f aca="false">CE107+CE110</f>
        <v>0</v>
      </c>
      <c r="CF106" s="81" t="n">
        <f aca="false">IFERROR(CE106/CE$5,0)</f>
        <v>0</v>
      </c>
      <c r="CH106" s="164" t="n">
        <f aca="false">CH107+CH110</f>
        <v>0</v>
      </c>
      <c r="CI106" s="81" t="n">
        <f aca="false">IFERROR(CH106/CH$5,0)</f>
        <v>0</v>
      </c>
    </row>
    <row r="107" s="150" customFormat="true" ht="14.25" hidden="true" customHeight="false" outlineLevel="0" collapsed="false">
      <c r="B107" s="190" t="s">
        <v>132</v>
      </c>
      <c r="D107" s="173" t="n">
        <f aca="false">SUM(D108:D109)</f>
        <v>0</v>
      </c>
      <c r="E107" s="95" t="n">
        <f aca="false">IFERROR(D107/D$5,0)</f>
        <v>0</v>
      </c>
      <c r="G107" s="173" t="n">
        <f aca="false">SUM(G108:G109)</f>
        <v>0</v>
      </c>
      <c r="H107" s="95" t="n">
        <f aca="false">IFERROR(G107/G$5,0)</f>
        <v>0</v>
      </c>
      <c r="I107" s="138" t="n">
        <f aca="false">IFERROR((G107/D107)-1,0)</f>
        <v>0</v>
      </c>
      <c r="J107" s="173" t="n">
        <f aca="false">SUM(J108:J109)</f>
        <v>0</v>
      </c>
      <c r="K107" s="95" t="n">
        <f aca="false">IFERROR(J107/J$5,0)</f>
        <v>0</v>
      </c>
      <c r="M107" s="173" t="n">
        <f aca="false">SUM(M108:M109)</f>
        <v>0</v>
      </c>
      <c r="N107" s="95" t="n">
        <f aca="false">IFERROR(M107/M$5,0)</f>
        <v>0</v>
      </c>
      <c r="O107" s="139" t="n">
        <f aca="false">IFERROR((M107/J107)-1,0)</f>
        <v>0</v>
      </c>
      <c r="P107" s="173" t="n">
        <f aca="false">SUM(P108:P109)</f>
        <v>0</v>
      </c>
      <c r="Q107" s="95" t="n">
        <f aca="false">IFERROR(P107/P$5,0)</f>
        <v>0</v>
      </c>
      <c r="S107" s="173" t="n">
        <f aca="false">SUM(S108:S109)</f>
        <v>0</v>
      </c>
      <c r="T107" s="95" t="n">
        <f aca="false">IFERROR(S107/S$5,0)</f>
        <v>0</v>
      </c>
      <c r="U107" s="139" t="n">
        <f aca="false">IFERROR((S107/P107)-1,0)</f>
        <v>0</v>
      </c>
      <c r="V107" s="173" t="n">
        <f aca="false">SUM(V108:V109)</f>
        <v>0</v>
      </c>
      <c r="W107" s="95" t="n">
        <f aca="false">IFERROR(V107/V$5,0)</f>
        <v>0</v>
      </c>
      <c r="Y107" s="173" t="n">
        <f aca="false">SUM(Y108:Y109)</f>
        <v>0</v>
      </c>
      <c r="Z107" s="95" t="n">
        <f aca="false">IFERROR(Y107/Y$5,0)</f>
        <v>0</v>
      </c>
      <c r="AA107" s="139" t="n">
        <f aca="false">IFERROR((Y107/V107)-1,0)</f>
        <v>0</v>
      </c>
      <c r="AB107" s="173" t="n">
        <f aca="false">SUM(AB108:AB109)</f>
        <v>0</v>
      </c>
      <c r="AC107" s="95" t="n">
        <f aca="false">IFERROR(AB107/AB$5,0)</f>
        <v>0</v>
      </c>
      <c r="AE107" s="173" t="n">
        <f aca="false">SUM(AE108:AE109)</f>
        <v>0</v>
      </c>
      <c r="AF107" s="95" t="n">
        <f aca="false">IFERROR(AE107/AE$5,0)</f>
        <v>0</v>
      </c>
      <c r="AG107" s="139" t="n">
        <f aca="false">IFERROR((AE107/AB107)-1,0)</f>
        <v>0</v>
      </c>
      <c r="AH107" s="173" t="n">
        <f aca="false">SUM(AH108:AH109)</f>
        <v>0</v>
      </c>
      <c r="AI107" s="95" t="n">
        <f aca="false">IFERROR(AH107/AH$5,0)</f>
        <v>0</v>
      </c>
      <c r="AK107" s="173" t="n">
        <f aca="false">SUM(AK108:AK109)</f>
        <v>0</v>
      </c>
      <c r="AL107" s="95" t="n">
        <f aca="false">IFERROR(AK107/AK$5,0)</f>
        <v>0</v>
      </c>
      <c r="AM107" s="139" t="n">
        <f aca="false">IFERROR((AK107/AH107)-1,0)</f>
        <v>0</v>
      </c>
      <c r="AN107" s="173" t="n">
        <f aca="false">SUM(AN108:AN109)</f>
        <v>0</v>
      </c>
      <c r="AO107" s="95" t="n">
        <f aca="false">IFERROR(AN107/AN$5,0)</f>
        <v>0</v>
      </c>
      <c r="AQ107" s="173" t="n">
        <f aca="false">SUM(AQ108:AQ109)</f>
        <v>0</v>
      </c>
      <c r="AR107" s="95" t="n">
        <f aca="false">IFERROR(AQ107/AQ$5,0)</f>
        <v>0</v>
      </c>
      <c r="AS107" s="139" t="n">
        <f aca="false">IFERROR((AQ107/AN107)-1,0)</f>
        <v>0</v>
      </c>
      <c r="AT107" s="173" t="n">
        <f aca="false">SUM(AT108:AT109)</f>
        <v>0</v>
      </c>
      <c r="AU107" s="95" t="n">
        <f aca="false">IFERROR(AT107/AT$5,0)</f>
        <v>0</v>
      </c>
      <c r="AW107" s="173" t="n">
        <f aca="false">SUM(AW108:AW109)</f>
        <v>0</v>
      </c>
      <c r="AX107" s="95" t="n">
        <f aca="false">IFERROR(AW107/AW$5,0)</f>
        <v>0</v>
      </c>
      <c r="AY107" s="139" t="n">
        <f aca="false">IFERROR((AW107/AT107)-1,0)</f>
        <v>0</v>
      </c>
      <c r="AZ107" s="173" t="n">
        <f aca="false">SUM(AZ108:AZ109)</f>
        <v>0</v>
      </c>
      <c r="BA107" s="95" t="n">
        <f aca="false">IFERROR(AZ107/AZ$5,0)</f>
        <v>0</v>
      </c>
      <c r="BC107" s="173" t="n">
        <f aca="false">SUM(BC108:BC109)</f>
        <v>0</v>
      </c>
      <c r="BD107" s="95" t="n">
        <f aca="false">IFERROR(BC107/BC$5,0)</f>
        <v>0</v>
      </c>
      <c r="BE107" s="139" t="n">
        <f aca="false">IFERROR((BC107/AZ107)-1,0)</f>
        <v>0</v>
      </c>
      <c r="BF107" s="173" t="n">
        <f aca="false">SUM(BF108:BF109)</f>
        <v>0</v>
      </c>
      <c r="BG107" s="95" t="n">
        <f aca="false">IFERROR(BF107/BF$5,0)</f>
        <v>0</v>
      </c>
      <c r="BI107" s="173" t="n">
        <f aca="false">SUM(BI108:BI109)</f>
        <v>0</v>
      </c>
      <c r="BJ107" s="95" t="n">
        <f aca="false">IFERROR(BI107/BI$5,0)</f>
        <v>0</v>
      </c>
      <c r="BK107" s="139" t="n">
        <f aca="false">IFERROR((BI107/BF107)-1,0)</f>
        <v>0</v>
      </c>
      <c r="BL107" s="173" t="n">
        <f aca="false">SUM(BL108:BL109)</f>
        <v>0</v>
      </c>
      <c r="BM107" s="95" t="n">
        <f aca="false">IFERROR(BL107/BL$5,0)</f>
        <v>0</v>
      </c>
      <c r="BO107" s="173" t="n">
        <f aca="false">SUM(BO108:BO109)</f>
        <v>0</v>
      </c>
      <c r="BP107" s="95" t="n">
        <f aca="false">IFERROR(BO107/BO$5,0)</f>
        <v>0</v>
      </c>
      <c r="BQ107" s="139" t="n">
        <f aca="false">IFERROR((BO107/BL107)-1,0)</f>
        <v>0</v>
      </c>
      <c r="BR107" s="173" t="n">
        <f aca="false">SUM(BR108:BR109)</f>
        <v>0</v>
      </c>
      <c r="BS107" s="95" t="n">
        <f aca="false">IFERROR(BR107/BR$5,0)</f>
        <v>0</v>
      </c>
      <c r="BT107" s="158"/>
      <c r="BU107" s="173" t="n">
        <f aca="false">SUM(BU108:BU109)</f>
        <v>0</v>
      </c>
      <c r="BV107" s="95" t="n">
        <f aca="false">IFERROR(BU107/BU$5,0)</f>
        <v>0</v>
      </c>
      <c r="BW107" s="139" t="n">
        <f aca="false">IFERROR((BU107/BR107)-1,0)</f>
        <v>0</v>
      </c>
      <c r="BX107" s="173" t="n">
        <f aca="false">SUM(BX108:BX109)</f>
        <v>0</v>
      </c>
      <c r="BY107" s="95" t="n">
        <f aca="false">IFERROR(BX107/BX$5,0)</f>
        <v>0</v>
      </c>
      <c r="CA107" s="173" t="n">
        <f aca="false">SUM(CA108:CA109)</f>
        <v>0</v>
      </c>
      <c r="CB107" s="95" t="n">
        <f aca="false">IFERROR(CA107/CA$5,0)</f>
        <v>0</v>
      </c>
      <c r="CC107" s="139" t="n">
        <f aca="false">IFERROR((CA107/BX107)-1,0)</f>
        <v>0</v>
      </c>
      <c r="CE107" s="173" t="n">
        <f aca="false">SUM(CE108:CE109)</f>
        <v>0</v>
      </c>
      <c r="CF107" s="76" t="n">
        <f aca="false">IFERROR(CE107/CE$5,0)</f>
        <v>0</v>
      </c>
      <c r="CH107" s="173" t="n">
        <f aca="false">SUM(CH108:CH109)</f>
        <v>0</v>
      </c>
      <c r="CI107" s="76" t="n">
        <f aca="false">IFERROR(CH107/CH$5,0)</f>
        <v>0</v>
      </c>
    </row>
    <row r="108" customFormat="false" ht="14.25" hidden="false" customHeight="false" outlineLevel="1" collapsed="false">
      <c r="B108" s="193" t="s">
        <v>134</v>
      </c>
      <c r="D108" s="157" t="n">
        <v>0</v>
      </c>
      <c r="E108" s="91" t="n">
        <f aca="false">IFERROR(D108/D$5,0)</f>
        <v>0</v>
      </c>
      <c r="G108" s="157" t="n">
        <f aca="false">SUMIFS('Dados Mov Financeira'!$N:$N,'Dados Mov Financeira'!$O:$O,'DRE 2024'!$B108,'Dados Mov Financeira'!$A:$A,'DRE 2024'!G$1,'Dados Mov Financeira'!$B:$B,'DRE 2024'!G$2)</f>
        <v>0</v>
      </c>
      <c r="H108" s="91" t="n">
        <f aca="false">IFERROR(G108/G$5,0)</f>
        <v>0</v>
      </c>
      <c r="I108" s="138" t="n">
        <f aca="false">IFERROR((G108/D108)-1,0)</f>
        <v>0</v>
      </c>
      <c r="J108" s="157" t="n">
        <f aca="false">$D108</f>
        <v>0</v>
      </c>
      <c r="K108" s="91" t="n">
        <f aca="false">IFERROR(J108/J$5,0)</f>
        <v>0</v>
      </c>
      <c r="M108" s="157" t="n">
        <f aca="false">SUMIFS('Dados Mov Financeira'!$N:$N,'Dados Mov Financeira'!$O:$O,'DRE 2024'!$B108,'Dados Mov Financeira'!$A:$A,'DRE 2024'!M$1,'Dados Mov Financeira'!$B:$B,'DRE 2024'!M$2)</f>
        <v>0</v>
      </c>
      <c r="N108" s="91" t="n">
        <f aca="false">IFERROR(M108/M$5,0)</f>
        <v>0</v>
      </c>
      <c r="O108" s="139" t="n">
        <f aca="false">IFERROR((M108/J108)-1,0)</f>
        <v>0</v>
      </c>
      <c r="P108" s="157" t="n">
        <f aca="false">$D108</f>
        <v>0</v>
      </c>
      <c r="Q108" s="91" t="n">
        <f aca="false">IFERROR(P108/P$5,0)</f>
        <v>0</v>
      </c>
      <c r="S108" s="157" t="n">
        <f aca="false">SUMIFS('Dados Mov Financeira'!$N:$N,'Dados Mov Financeira'!$O:$O,'DRE 2024'!$B108,'Dados Mov Financeira'!$A:$A,'DRE 2024'!S$1,'Dados Mov Financeira'!$B:$B,'DRE 2024'!S$2)</f>
        <v>0</v>
      </c>
      <c r="T108" s="91" t="n">
        <f aca="false">IFERROR(S108/S$5,0)</f>
        <v>0</v>
      </c>
      <c r="U108" s="139" t="n">
        <f aca="false">IFERROR((S108/P108)-1,0)</f>
        <v>0</v>
      </c>
      <c r="V108" s="157" t="n">
        <f aca="false">$D108</f>
        <v>0</v>
      </c>
      <c r="W108" s="91" t="n">
        <f aca="false">IFERROR(V108/V$5,0)</f>
        <v>0</v>
      </c>
      <c r="Y108" s="157" t="n">
        <f aca="false">SUMIFS('Dados Mov Financeira'!$N:$N,'Dados Mov Financeira'!$O:$O,'DRE 2024'!$B108,'Dados Mov Financeira'!$A:$A,'DRE 2024'!Y$1,'Dados Mov Financeira'!$B:$B,'DRE 2024'!Y$2)</f>
        <v>0</v>
      </c>
      <c r="Z108" s="91" t="n">
        <f aca="false">IFERROR(Y108/Y$5,0)</f>
        <v>0</v>
      </c>
      <c r="AA108" s="139" t="n">
        <f aca="false">IFERROR((Y108/V108)-1,0)</f>
        <v>0</v>
      </c>
      <c r="AB108" s="157" t="n">
        <f aca="false">$D108</f>
        <v>0</v>
      </c>
      <c r="AC108" s="91" t="n">
        <f aca="false">IFERROR(AB108/AB$5,0)</f>
        <v>0</v>
      </c>
      <c r="AE108" s="157" t="n">
        <f aca="false">SUMIFS('Dados Mov Financeira'!$N:$N,'Dados Mov Financeira'!$O:$O,'DRE 2024'!$B108,'Dados Mov Financeira'!$A:$A,'DRE 2024'!AE$1,'Dados Mov Financeira'!$B:$B,'DRE 2024'!AE$2)</f>
        <v>0</v>
      </c>
      <c r="AF108" s="91" t="n">
        <f aca="false">IFERROR(AE108/AE$5,0)</f>
        <v>0</v>
      </c>
      <c r="AG108" s="139" t="n">
        <f aca="false">IFERROR((AE108/AB108)-1,0)</f>
        <v>0</v>
      </c>
      <c r="AH108" s="157" t="n">
        <f aca="false">$D108</f>
        <v>0</v>
      </c>
      <c r="AI108" s="91" t="n">
        <f aca="false">IFERROR(AH108/AH$5,0)</f>
        <v>0</v>
      </c>
      <c r="AK108" s="157" t="n">
        <f aca="false">SUMIFS('Dados Mov Financeira'!$N:$N,'Dados Mov Financeira'!$O:$O,'DRE 2024'!$B108,'Dados Mov Financeira'!$A:$A,'DRE 2024'!AK$1,'Dados Mov Financeira'!$B:$B,'DRE 2024'!AK$2)</f>
        <v>0</v>
      </c>
      <c r="AL108" s="91" t="n">
        <f aca="false">IFERROR(AK108/AK$5,0)</f>
        <v>0</v>
      </c>
      <c r="AM108" s="139" t="n">
        <f aca="false">IFERROR((AK108/AH108)-1,0)</f>
        <v>0</v>
      </c>
      <c r="AN108" s="157" t="n">
        <f aca="false">$D108</f>
        <v>0</v>
      </c>
      <c r="AO108" s="91" t="n">
        <f aca="false">IFERROR(AN108/AN$5,0)</f>
        <v>0</v>
      </c>
      <c r="AQ108" s="157" t="n">
        <f aca="false">SUMIFS('Dados Mov Financeira'!$N:$N,'Dados Mov Financeira'!$O:$O,'DRE 2024'!$B108,'Dados Mov Financeira'!$A:$A,'DRE 2024'!AQ$1,'Dados Mov Financeira'!$B:$B,'DRE 2024'!AQ$2)</f>
        <v>0</v>
      </c>
      <c r="AR108" s="91" t="n">
        <f aca="false">IFERROR(AQ108/AQ$5,0)</f>
        <v>0</v>
      </c>
      <c r="AS108" s="139" t="n">
        <f aca="false">IFERROR((AQ108/AN108)-1,0)</f>
        <v>0</v>
      </c>
      <c r="AT108" s="157" t="n">
        <f aca="false">$D108</f>
        <v>0</v>
      </c>
      <c r="AU108" s="91" t="n">
        <f aca="false">IFERROR(AT108/AT$5,0)</f>
        <v>0</v>
      </c>
      <c r="AW108" s="157" t="n">
        <f aca="false">SUMIFS('Dados Mov Financeira'!$N:$N,'Dados Mov Financeira'!$O:$O,'DRE 2024'!$B108,'Dados Mov Financeira'!$A:$A,'DRE 2024'!AW$1,'Dados Mov Financeira'!$B:$B,'DRE 2024'!AW$2)</f>
        <v>0</v>
      </c>
      <c r="AX108" s="91" t="n">
        <f aca="false">IFERROR(AW108/AW$5,0)</f>
        <v>0</v>
      </c>
      <c r="AY108" s="139" t="n">
        <f aca="false">IFERROR((AW108/AT108)-1,0)</f>
        <v>0</v>
      </c>
      <c r="AZ108" s="157" t="n">
        <f aca="false">$D108</f>
        <v>0</v>
      </c>
      <c r="BA108" s="91" t="n">
        <f aca="false">IFERROR(AZ108/AZ$5,0)</f>
        <v>0</v>
      </c>
      <c r="BC108" s="157" t="n">
        <f aca="false">SUMIFS('Dados Mov Financeira'!$N:$N,'Dados Mov Financeira'!$O:$O,'DRE 2024'!$B108,'Dados Mov Financeira'!$A:$A,'DRE 2024'!BC$1,'Dados Mov Financeira'!$B:$B,'DRE 2024'!BC$2)</f>
        <v>0</v>
      </c>
      <c r="BD108" s="91" t="n">
        <f aca="false">IFERROR(BC108/BC$5,0)</f>
        <v>0</v>
      </c>
      <c r="BE108" s="139" t="n">
        <f aca="false">IFERROR((BC108/AZ108)-1,0)</f>
        <v>0</v>
      </c>
      <c r="BF108" s="157" t="n">
        <f aca="false">$D108</f>
        <v>0</v>
      </c>
      <c r="BG108" s="91" t="n">
        <f aca="false">IFERROR(BF108/BF$5,0)</f>
        <v>0</v>
      </c>
      <c r="BI108" s="157" t="n">
        <f aca="false">SUMIFS('Dados Mov Financeira'!$N:$N,'Dados Mov Financeira'!$O:$O,'DRE 2024'!$B108,'Dados Mov Financeira'!$A:$A,'DRE 2024'!BI$1,'Dados Mov Financeira'!$B:$B,'DRE 2024'!BI$2)</f>
        <v>0</v>
      </c>
      <c r="BJ108" s="91" t="n">
        <f aca="false">IFERROR(BI108/BI$5,0)</f>
        <v>0</v>
      </c>
      <c r="BK108" s="139" t="n">
        <f aca="false">IFERROR((BI108/BF108)-1,0)</f>
        <v>0</v>
      </c>
      <c r="BL108" s="157" t="n">
        <f aca="false">$D108</f>
        <v>0</v>
      </c>
      <c r="BM108" s="91" t="n">
        <f aca="false">IFERROR(BL108/BL$5,0)</f>
        <v>0</v>
      </c>
      <c r="BO108" s="157" t="n">
        <f aca="false">SUMIFS('Dados Mov Financeira'!$N:$N,'Dados Mov Financeira'!$O:$O,'DRE 2024'!$B108,'Dados Mov Financeira'!$A:$A,'DRE 2024'!BO$1,'Dados Mov Financeira'!$B:$B,'DRE 2024'!BO$2)</f>
        <v>0</v>
      </c>
      <c r="BP108" s="91" t="n">
        <f aca="false">IFERROR(BO108/BO$5,0)</f>
        <v>0</v>
      </c>
      <c r="BQ108" s="139" t="n">
        <f aca="false">IFERROR((BO108/BL108)-1,0)</f>
        <v>0</v>
      </c>
      <c r="BR108" s="157" t="n">
        <f aca="false">$D108</f>
        <v>0</v>
      </c>
      <c r="BS108" s="91" t="n">
        <f aca="false">IFERROR(BR108/BR$5,0)</f>
        <v>0</v>
      </c>
      <c r="BT108" s="171"/>
      <c r="BU108" s="157" t="n">
        <f aca="false">SUMIFS('Dados Mov Financeira'!$N:$N,'Dados Mov Financeira'!$O:$O,'DRE 2024'!$B108,'Dados Mov Financeira'!$A:$A,'DRE 2024'!BU$1,'Dados Mov Financeira'!$B:$B,'DRE 2024'!BU$2)</f>
        <v>0</v>
      </c>
      <c r="BV108" s="91" t="n">
        <f aca="false">IFERROR(BU108/BU$5,0)</f>
        <v>0</v>
      </c>
      <c r="BW108" s="139" t="n">
        <f aca="false">IFERROR((BU108/BR108)-1,0)</f>
        <v>0</v>
      </c>
      <c r="BX108" s="172" t="n">
        <f aca="false">SUM(D108,J108,P108,V108,AB108,AH108,AN108,AT108,AZ108,BF108,BL108,BR108)</f>
        <v>0</v>
      </c>
      <c r="BY108" s="108" t="n">
        <f aca="false">IFERROR(BX108/BX$5,0)</f>
        <v>0</v>
      </c>
      <c r="CA108" s="172" t="n">
        <f aca="false">SUM(G108,M108,S108,Y108,AE108,AK108,AQ108,AW108,BC108,BI108,BO108,BU108)</f>
        <v>0</v>
      </c>
      <c r="CB108" s="108" t="n">
        <f aca="false">IFERROR(CA108/CA$5,0)</f>
        <v>0</v>
      </c>
      <c r="CC108" s="139" t="n">
        <f aca="false">IFERROR((CA108/BX108)-1,0)</f>
        <v>0</v>
      </c>
      <c r="CE108" s="174" t="n">
        <f aca="false">BX108/$CF$1</f>
        <v>0</v>
      </c>
      <c r="CF108" s="94" t="n">
        <f aca="false">IFERROR(CE108/CE$5,0)</f>
        <v>0</v>
      </c>
      <c r="CH108" s="174" t="n">
        <f aca="false">CA108/$CI$1</f>
        <v>0</v>
      </c>
      <c r="CI108" s="94" t="n">
        <f aca="false">IFERROR(CH108/CH$5,0)</f>
        <v>0</v>
      </c>
    </row>
    <row r="109" customFormat="false" ht="14.25" hidden="false" customHeight="false" outlineLevel="1" collapsed="false">
      <c r="B109" s="169" t="s">
        <v>138</v>
      </c>
      <c r="D109" s="157" t="n">
        <v>0</v>
      </c>
      <c r="E109" s="91" t="n">
        <f aca="false">IFERROR(D109/D$5,0)</f>
        <v>0</v>
      </c>
      <c r="G109" s="157" t="n">
        <f aca="false">SUMIFS('Dados Mov Financeira'!$N:$N,'Dados Mov Financeira'!$O:$O,'DRE 2024'!$B109,'Dados Mov Financeira'!$A:$A,'DRE 2024'!G$1,'Dados Mov Financeira'!$B:$B,'DRE 2024'!G$2)</f>
        <v>0</v>
      </c>
      <c r="H109" s="91" t="n">
        <f aca="false">IFERROR(G109/G$5,0)</f>
        <v>0</v>
      </c>
      <c r="I109" s="138" t="n">
        <f aca="false">IFERROR((G109/D109)-1,0)</f>
        <v>0</v>
      </c>
      <c r="J109" s="157" t="n">
        <f aca="false">$D109</f>
        <v>0</v>
      </c>
      <c r="K109" s="91" t="n">
        <f aca="false">IFERROR(J109/J$5,0)</f>
        <v>0</v>
      </c>
      <c r="M109" s="157" t="n">
        <f aca="false">SUMIFS('Dados Mov Financeira'!$N:$N,'Dados Mov Financeira'!$O:$O,'DRE 2024'!$B109,'Dados Mov Financeira'!$A:$A,'DRE 2024'!M$1,'Dados Mov Financeira'!$B:$B,'DRE 2024'!M$2)</f>
        <v>0</v>
      </c>
      <c r="N109" s="91" t="n">
        <f aca="false">IFERROR(M109/M$5,0)</f>
        <v>0</v>
      </c>
      <c r="O109" s="139" t="n">
        <f aca="false">IFERROR((M109/J109)-1,0)</f>
        <v>0</v>
      </c>
      <c r="P109" s="157" t="n">
        <f aca="false">$D109</f>
        <v>0</v>
      </c>
      <c r="Q109" s="91" t="n">
        <f aca="false">IFERROR(P109/P$5,0)</f>
        <v>0</v>
      </c>
      <c r="S109" s="157" t="n">
        <f aca="false">SUMIFS('Dados Mov Financeira'!$N:$N,'Dados Mov Financeira'!$O:$O,'DRE 2024'!$B109,'Dados Mov Financeira'!$A:$A,'DRE 2024'!S$1,'Dados Mov Financeira'!$B:$B,'DRE 2024'!S$2)</f>
        <v>0</v>
      </c>
      <c r="T109" s="91" t="n">
        <f aca="false">IFERROR(S109/S$5,0)</f>
        <v>0</v>
      </c>
      <c r="U109" s="139" t="n">
        <f aca="false">IFERROR((S109/P109)-1,0)</f>
        <v>0</v>
      </c>
      <c r="V109" s="157" t="n">
        <f aca="false">$D109</f>
        <v>0</v>
      </c>
      <c r="W109" s="91" t="n">
        <f aca="false">IFERROR(V109/V$5,0)</f>
        <v>0</v>
      </c>
      <c r="Y109" s="157" t="n">
        <f aca="false">SUMIFS('Dados Mov Financeira'!$N:$N,'Dados Mov Financeira'!$O:$O,'DRE 2024'!$B109,'Dados Mov Financeira'!$A:$A,'DRE 2024'!Y$1,'Dados Mov Financeira'!$B:$B,'DRE 2024'!Y$2)</f>
        <v>0</v>
      </c>
      <c r="Z109" s="91" t="n">
        <f aca="false">IFERROR(Y109/Y$5,0)</f>
        <v>0</v>
      </c>
      <c r="AA109" s="139" t="n">
        <f aca="false">IFERROR((Y109/V109)-1,0)</f>
        <v>0</v>
      </c>
      <c r="AB109" s="157" t="n">
        <f aca="false">$D109</f>
        <v>0</v>
      </c>
      <c r="AC109" s="91" t="n">
        <f aca="false">IFERROR(AB109/AB$5,0)</f>
        <v>0</v>
      </c>
      <c r="AE109" s="157" t="n">
        <f aca="false">SUMIFS('Dados Mov Financeira'!$N:$N,'Dados Mov Financeira'!$O:$O,'DRE 2024'!$B109,'Dados Mov Financeira'!$A:$A,'DRE 2024'!AE$1,'Dados Mov Financeira'!$B:$B,'DRE 2024'!AE$2)</f>
        <v>0</v>
      </c>
      <c r="AF109" s="91" t="n">
        <f aca="false">IFERROR(AE109/AE$5,0)</f>
        <v>0</v>
      </c>
      <c r="AG109" s="139" t="n">
        <f aca="false">IFERROR((AE109/AB109)-1,0)</f>
        <v>0</v>
      </c>
      <c r="AH109" s="157" t="n">
        <f aca="false">$D109</f>
        <v>0</v>
      </c>
      <c r="AI109" s="91" t="n">
        <f aca="false">IFERROR(AH109/AH$5,0)</f>
        <v>0</v>
      </c>
      <c r="AK109" s="157" t="n">
        <f aca="false">SUMIFS('Dados Mov Financeira'!$N:$N,'Dados Mov Financeira'!$O:$O,'DRE 2024'!$B109,'Dados Mov Financeira'!$A:$A,'DRE 2024'!AK$1,'Dados Mov Financeira'!$B:$B,'DRE 2024'!AK$2)</f>
        <v>0</v>
      </c>
      <c r="AL109" s="91" t="n">
        <f aca="false">IFERROR(AK109/AK$5,0)</f>
        <v>0</v>
      </c>
      <c r="AM109" s="139" t="n">
        <f aca="false">IFERROR((AK109/AH109)-1,0)</f>
        <v>0</v>
      </c>
      <c r="AN109" s="157" t="n">
        <f aca="false">$D109</f>
        <v>0</v>
      </c>
      <c r="AO109" s="91" t="n">
        <f aca="false">IFERROR(AN109/AN$5,0)</f>
        <v>0</v>
      </c>
      <c r="AQ109" s="157" t="n">
        <f aca="false">SUMIFS('Dados Mov Financeira'!$N:$N,'Dados Mov Financeira'!$O:$O,'DRE 2024'!$B109,'Dados Mov Financeira'!$A:$A,'DRE 2024'!AQ$1,'Dados Mov Financeira'!$B:$B,'DRE 2024'!AQ$2)</f>
        <v>0</v>
      </c>
      <c r="AR109" s="91" t="n">
        <f aca="false">IFERROR(AQ109/AQ$5,0)</f>
        <v>0</v>
      </c>
      <c r="AS109" s="139" t="n">
        <f aca="false">IFERROR((AQ109/AN109)-1,0)</f>
        <v>0</v>
      </c>
      <c r="AT109" s="157" t="n">
        <f aca="false">$D109</f>
        <v>0</v>
      </c>
      <c r="AU109" s="91" t="n">
        <f aca="false">IFERROR(AT109/AT$5,0)</f>
        <v>0</v>
      </c>
      <c r="AW109" s="157" t="n">
        <f aca="false">SUMIFS('Dados Mov Financeira'!$N:$N,'Dados Mov Financeira'!$O:$O,'DRE 2024'!$B109,'Dados Mov Financeira'!$A:$A,'DRE 2024'!AW$1,'Dados Mov Financeira'!$B:$B,'DRE 2024'!AW$2)</f>
        <v>0</v>
      </c>
      <c r="AX109" s="91" t="n">
        <f aca="false">IFERROR(AW109/AW$5,0)</f>
        <v>0</v>
      </c>
      <c r="AY109" s="139" t="n">
        <f aca="false">IFERROR((AW109/AT109)-1,0)</f>
        <v>0</v>
      </c>
      <c r="AZ109" s="157" t="n">
        <f aca="false">$D109</f>
        <v>0</v>
      </c>
      <c r="BA109" s="91" t="n">
        <f aca="false">IFERROR(AZ109/AZ$5,0)</f>
        <v>0</v>
      </c>
      <c r="BC109" s="157" t="n">
        <f aca="false">SUMIFS('Dados Mov Financeira'!$N:$N,'Dados Mov Financeira'!$O:$O,'DRE 2024'!$B109,'Dados Mov Financeira'!$A:$A,'DRE 2024'!BC$1,'Dados Mov Financeira'!$B:$B,'DRE 2024'!BC$2)</f>
        <v>0</v>
      </c>
      <c r="BD109" s="91" t="n">
        <f aca="false">IFERROR(BC109/BC$5,0)</f>
        <v>0</v>
      </c>
      <c r="BE109" s="139" t="n">
        <f aca="false">IFERROR((BC109/AZ109)-1,0)</f>
        <v>0</v>
      </c>
      <c r="BF109" s="157" t="n">
        <f aca="false">$D109</f>
        <v>0</v>
      </c>
      <c r="BG109" s="91" t="n">
        <f aca="false">IFERROR(BF109/BF$5,0)</f>
        <v>0</v>
      </c>
      <c r="BI109" s="157" t="n">
        <f aca="false">SUMIFS('Dados Mov Financeira'!$N:$N,'Dados Mov Financeira'!$O:$O,'DRE 2024'!$B109,'Dados Mov Financeira'!$A:$A,'DRE 2024'!BI$1,'Dados Mov Financeira'!$B:$B,'DRE 2024'!BI$2)</f>
        <v>0</v>
      </c>
      <c r="BJ109" s="91" t="n">
        <f aca="false">IFERROR(BI109/BI$5,0)</f>
        <v>0</v>
      </c>
      <c r="BK109" s="139" t="n">
        <f aca="false">IFERROR((BI109/BF109)-1,0)</f>
        <v>0</v>
      </c>
      <c r="BL109" s="157" t="n">
        <f aca="false">$D109</f>
        <v>0</v>
      </c>
      <c r="BM109" s="91" t="n">
        <f aca="false">IFERROR(BL109/BL$5,0)</f>
        <v>0</v>
      </c>
      <c r="BO109" s="157" t="n">
        <f aca="false">SUMIFS('Dados Mov Financeira'!$N:$N,'Dados Mov Financeira'!$O:$O,'DRE 2024'!$B109,'Dados Mov Financeira'!$A:$A,'DRE 2024'!BO$1,'Dados Mov Financeira'!$B:$B,'DRE 2024'!BO$2)</f>
        <v>0</v>
      </c>
      <c r="BP109" s="91" t="n">
        <f aca="false">IFERROR(BO109/BO$5,0)</f>
        <v>0</v>
      </c>
      <c r="BQ109" s="139" t="n">
        <f aca="false">IFERROR((BO109/BL109)-1,0)</f>
        <v>0</v>
      </c>
      <c r="BR109" s="157" t="n">
        <f aca="false">$D109</f>
        <v>0</v>
      </c>
      <c r="BS109" s="91" t="n">
        <f aca="false">IFERROR(BR109/BR$5,0)</f>
        <v>0</v>
      </c>
      <c r="BT109" s="171"/>
      <c r="BU109" s="157" t="n">
        <f aca="false">SUMIFS('Dados Mov Financeira'!$N:$N,'Dados Mov Financeira'!$O:$O,'DRE 2024'!$B109,'Dados Mov Financeira'!$A:$A,'DRE 2024'!BU$1,'Dados Mov Financeira'!$B:$B,'DRE 2024'!BU$2)</f>
        <v>0</v>
      </c>
      <c r="BV109" s="91" t="n">
        <f aca="false">IFERROR(BU109/BU$5,0)</f>
        <v>0</v>
      </c>
      <c r="BW109" s="139" t="n">
        <f aca="false">IFERROR((BU109/BR109)-1,0)</f>
        <v>0</v>
      </c>
      <c r="BX109" s="172" t="n">
        <f aca="false">SUM(D109,J109,P109,V109,AB109,AH109,AN109,AT109,AZ109,BF109,BL109,BR109)</f>
        <v>0</v>
      </c>
      <c r="BY109" s="108" t="n">
        <f aca="false">IFERROR(BX109/BX$5,0)</f>
        <v>0</v>
      </c>
      <c r="CA109" s="172" t="n">
        <f aca="false">SUM(G109,M109,S109,Y109,AE109,AK109,AQ109,AW109,BC109,BI109,BO109,BU109)</f>
        <v>0</v>
      </c>
      <c r="CB109" s="108" t="n">
        <f aca="false">IFERROR(CA109/CA$5,0)</f>
        <v>0</v>
      </c>
      <c r="CC109" s="139" t="n">
        <f aca="false">IFERROR((CA109/BX109)-1,0)</f>
        <v>0</v>
      </c>
      <c r="CE109" s="174" t="n">
        <f aca="false">BX109/$CF$1</f>
        <v>0</v>
      </c>
      <c r="CF109" s="94" t="n">
        <f aca="false">IFERROR(CE109/CE$5,0)</f>
        <v>0</v>
      </c>
      <c r="CH109" s="174" t="n">
        <f aca="false">CA109/$CI$1</f>
        <v>0</v>
      </c>
      <c r="CI109" s="94" t="n">
        <f aca="false">IFERROR(CH109/CH$5,0)</f>
        <v>0</v>
      </c>
    </row>
    <row r="110" s="150" customFormat="true" ht="14.25" hidden="true" customHeight="false" outlineLevel="0" collapsed="false">
      <c r="B110" s="190" t="s">
        <v>140</v>
      </c>
      <c r="D110" s="157" t="n">
        <f aca="false">SUM(D111:D113)</f>
        <v>0</v>
      </c>
      <c r="E110" s="95" t="n">
        <f aca="false">IFERROR(D110/D$5,0)</f>
        <v>0</v>
      </c>
      <c r="G110" s="157" t="n">
        <f aca="false">SUM(G111:G113)</f>
        <v>0</v>
      </c>
      <c r="H110" s="95" t="n">
        <f aca="false">IFERROR(G110/G$5,0)</f>
        <v>0</v>
      </c>
      <c r="I110" s="138" t="n">
        <f aca="false">IFERROR((G110/D110)-1,0)</f>
        <v>0</v>
      </c>
      <c r="J110" s="157" t="n">
        <f aca="false">SUM(J111:J113)</f>
        <v>0</v>
      </c>
      <c r="K110" s="95" t="n">
        <f aca="false">IFERROR(J110/J$5,0)</f>
        <v>0</v>
      </c>
      <c r="M110" s="157" t="n">
        <f aca="false">SUM(M111:M113)</f>
        <v>0</v>
      </c>
      <c r="N110" s="95" t="n">
        <f aca="false">IFERROR(M110/M$5,0)</f>
        <v>0</v>
      </c>
      <c r="O110" s="139" t="n">
        <f aca="false">IFERROR((M110/J110)-1,0)</f>
        <v>0</v>
      </c>
      <c r="P110" s="157" t="n">
        <f aca="false">SUM(P111:P113)</f>
        <v>0</v>
      </c>
      <c r="Q110" s="95" t="n">
        <f aca="false">IFERROR(P110/P$5,0)</f>
        <v>0</v>
      </c>
      <c r="S110" s="157" t="n">
        <f aca="false">SUM(S111:S113)</f>
        <v>0</v>
      </c>
      <c r="T110" s="95" t="n">
        <f aca="false">IFERROR(S110/S$5,0)</f>
        <v>0</v>
      </c>
      <c r="U110" s="139" t="n">
        <f aca="false">IFERROR((S110/P110)-1,0)</f>
        <v>0</v>
      </c>
      <c r="V110" s="157" t="n">
        <f aca="false">SUM(V111:V113)</f>
        <v>0</v>
      </c>
      <c r="W110" s="95" t="n">
        <f aca="false">IFERROR(V110/V$5,0)</f>
        <v>0</v>
      </c>
      <c r="Y110" s="157" t="n">
        <f aca="false">SUM(Y111:Y113)</f>
        <v>0</v>
      </c>
      <c r="Z110" s="95" t="n">
        <f aca="false">IFERROR(Y110/Y$5,0)</f>
        <v>0</v>
      </c>
      <c r="AA110" s="139" t="n">
        <f aca="false">IFERROR((Y110/V110)-1,0)</f>
        <v>0</v>
      </c>
      <c r="AB110" s="157" t="n">
        <f aca="false">SUM(AB111:AB113)</f>
        <v>0</v>
      </c>
      <c r="AC110" s="95" t="n">
        <f aca="false">IFERROR(AB110/AB$5,0)</f>
        <v>0</v>
      </c>
      <c r="AE110" s="157" t="n">
        <f aca="false">SUM(AE111:AE113)</f>
        <v>0</v>
      </c>
      <c r="AF110" s="95" t="n">
        <f aca="false">IFERROR(AE110/AE$5,0)</f>
        <v>0</v>
      </c>
      <c r="AG110" s="139" t="n">
        <f aca="false">IFERROR((AE110/AB110)-1,0)</f>
        <v>0</v>
      </c>
      <c r="AH110" s="157" t="n">
        <f aca="false">SUM(AH111:AH113)</f>
        <v>0</v>
      </c>
      <c r="AI110" s="95" t="n">
        <f aca="false">IFERROR(AH110/AH$5,0)</f>
        <v>0</v>
      </c>
      <c r="AK110" s="157" t="n">
        <f aca="false">SUM(AK111:AK113)</f>
        <v>0</v>
      </c>
      <c r="AL110" s="95" t="n">
        <f aca="false">IFERROR(AK110/AK$5,0)</f>
        <v>0</v>
      </c>
      <c r="AM110" s="139" t="n">
        <f aca="false">IFERROR((AK110/AH110)-1,0)</f>
        <v>0</v>
      </c>
      <c r="AN110" s="157" t="n">
        <f aca="false">SUM(AN111:AN113)</f>
        <v>0</v>
      </c>
      <c r="AO110" s="95" t="n">
        <f aca="false">IFERROR(AN110/AN$5,0)</f>
        <v>0</v>
      </c>
      <c r="AQ110" s="157" t="n">
        <f aca="false">SUM(AQ111:AQ113)</f>
        <v>0</v>
      </c>
      <c r="AR110" s="95" t="n">
        <f aca="false">IFERROR(AQ110/AQ$5,0)</f>
        <v>0</v>
      </c>
      <c r="AS110" s="139" t="n">
        <f aca="false">IFERROR((AQ110/AN110)-1,0)</f>
        <v>0</v>
      </c>
      <c r="AT110" s="157" t="n">
        <f aca="false">SUM(AT111:AT113)</f>
        <v>0</v>
      </c>
      <c r="AU110" s="95" t="n">
        <f aca="false">IFERROR(AT110/AT$5,0)</f>
        <v>0</v>
      </c>
      <c r="AW110" s="157" t="n">
        <f aca="false">SUM(AW111:AW113)</f>
        <v>0</v>
      </c>
      <c r="AX110" s="95" t="n">
        <f aca="false">IFERROR(AW110/AW$5,0)</f>
        <v>0</v>
      </c>
      <c r="AY110" s="139" t="n">
        <f aca="false">IFERROR((AW110/AT110)-1,0)</f>
        <v>0</v>
      </c>
      <c r="AZ110" s="157" t="n">
        <f aca="false">SUM(AZ111:AZ113)</f>
        <v>0</v>
      </c>
      <c r="BA110" s="95" t="n">
        <f aca="false">IFERROR(AZ110/AZ$5,0)</f>
        <v>0</v>
      </c>
      <c r="BC110" s="157" t="n">
        <f aca="false">SUM(BC111:BC113)</f>
        <v>0</v>
      </c>
      <c r="BD110" s="95" t="n">
        <f aca="false">IFERROR(BC110/BC$5,0)</f>
        <v>0</v>
      </c>
      <c r="BE110" s="139" t="n">
        <f aca="false">IFERROR((BC110/AZ110)-1,0)</f>
        <v>0</v>
      </c>
      <c r="BF110" s="157" t="n">
        <f aca="false">SUM(BF111:BF113)</f>
        <v>0</v>
      </c>
      <c r="BG110" s="95" t="n">
        <f aca="false">IFERROR(BF110/BF$5,0)</f>
        <v>0</v>
      </c>
      <c r="BI110" s="157" t="n">
        <f aca="false">SUM(BI111:BI113)</f>
        <v>0</v>
      </c>
      <c r="BJ110" s="95" t="n">
        <f aca="false">IFERROR(BI110/BI$5,0)</f>
        <v>0</v>
      </c>
      <c r="BK110" s="139" t="n">
        <f aca="false">IFERROR((BI110/BF110)-1,0)</f>
        <v>0</v>
      </c>
      <c r="BL110" s="157" t="n">
        <f aca="false">SUM(BL111:BL113)</f>
        <v>0</v>
      </c>
      <c r="BM110" s="95" t="n">
        <f aca="false">IFERROR(BL110/BL$5,0)</f>
        <v>0</v>
      </c>
      <c r="BO110" s="157" t="n">
        <f aca="false">SUM(BO111:BO113)</f>
        <v>0</v>
      </c>
      <c r="BP110" s="95" t="n">
        <f aca="false">IFERROR(BO110/BO$5,0)</f>
        <v>0</v>
      </c>
      <c r="BQ110" s="139" t="n">
        <f aca="false">IFERROR((BO110/BL110)-1,0)</f>
        <v>0</v>
      </c>
      <c r="BR110" s="157" t="n">
        <f aca="false">SUM(BR111:BR113)</f>
        <v>0</v>
      </c>
      <c r="BS110" s="95" t="n">
        <f aca="false">IFERROR(BR110/BR$5,0)</f>
        <v>0</v>
      </c>
      <c r="BT110" s="158"/>
      <c r="BU110" s="157" t="n">
        <f aca="false">SUM(BU111:BU113)</f>
        <v>0</v>
      </c>
      <c r="BV110" s="95" t="n">
        <f aca="false">IFERROR(BU110/BU$5,0)</f>
        <v>0</v>
      </c>
      <c r="BW110" s="139" t="n">
        <f aca="false">IFERROR((BU110/BR110)-1,0)</f>
        <v>0</v>
      </c>
      <c r="BX110" s="157" t="n">
        <f aca="false">SUM(BX111:BX113)</f>
        <v>0</v>
      </c>
      <c r="BY110" s="95" t="n">
        <f aca="false">IFERROR(BX110/BX$5,0)</f>
        <v>0</v>
      </c>
      <c r="CA110" s="157" t="n">
        <f aca="false">SUM(CA111:CA113)</f>
        <v>0</v>
      </c>
      <c r="CB110" s="95" t="n">
        <f aca="false">IFERROR(CA110/CA$5,0)</f>
        <v>0</v>
      </c>
      <c r="CC110" s="139" t="n">
        <f aca="false">IFERROR((CA110/BX110)-1,0)</f>
        <v>0</v>
      </c>
      <c r="CE110" s="157" t="n">
        <f aca="false">SUM(CE111:CE113)</f>
        <v>0</v>
      </c>
      <c r="CF110" s="76" t="n">
        <f aca="false">IFERROR(CE110/CE$5,0)</f>
        <v>0</v>
      </c>
      <c r="CH110" s="157" t="n">
        <f aca="false">SUM(CH111:CH113)</f>
        <v>0</v>
      </c>
      <c r="CI110" s="76" t="n">
        <f aca="false">IFERROR(CH110/CH$5,0)</f>
        <v>0</v>
      </c>
    </row>
    <row r="111" customFormat="false" ht="14.25" hidden="false" customHeight="false" outlineLevel="1" collapsed="false">
      <c r="B111" s="169" t="s">
        <v>141</v>
      </c>
      <c r="D111" s="157" t="n">
        <v>0</v>
      </c>
      <c r="E111" s="91" t="n">
        <f aca="false">IFERROR(D111/D$5,0)</f>
        <v>0</v>
      </c>
      <c r="G111" s="157" t="n">
        <f aca="false">SUMIFS('Dados Mov Financeira'!$N:$N,'Dados Mov Financeira'!$O:$O,'DRE 2024'!$B111,'Dados Mov Financeira'!$A:$A,'DRE 2024'!G$1,'Dados Mov Financeira'!$B:$B,'DRE 2024'!G$2)</f>
        <v>0</v>
      </c>
      <c r="H111" s="91" t="n">
        <f aca="false">IFERROR(G111/G$5,0)</f>
        <v>0</v>
      </c>
      <c r="I111" s="138" t="n">
        <f aca="false">IFERROR((G111/D111)-1,0)</f>
        <v>0</v>
      </c>
      <c r="J111" s="157" t="n">
        <f aca="false">$D111</f>
        <v>0</v>
      </c>
      <c r="K111" s="91" t="n">
        <f aca="false">IFERROR(J111/J$5,0)</f>
        <v>0</v>
      </c>
      <c r="M111" s="157" t="n">
        <f aca="false">SUMIFS('Dados Mov Financeira'!$N:$N,'Dados Mov Financeira'!$O:$O,'DRE 2024'!$B111,'Dados Mov Financeira'!$A:$A,'DRE 2024'!M$1,'Dados Mov Financeira'!$B:$B,'DRE 2024'!M$2)</f>
        <v>0</v>
      </c>
      <c r="N111" s="91" t="n">
        <f aca="false">IFERROR(M111/M$5,0)</f>
        <v>0</v>
      </c>
      <c r="O111" s="139" t="n">
        <f aca="false">IFERROR((M111/J111)-1,0)</f>
        <v>0</v>
      </c>
      <c r="P111" s="157" t="n">
        <f aca="false">$D111</f>
        <v>0</v>
      </c>
      <c r="Q111" s="91" t="n">
        <f aca="false">IFERROR(P111/P$5,0)</f>
        <v>0</v>
      </c>
      <c r="S111" s="157" t="n">
        <f aca="false">SUMIFS('Dados Mov Financeira'!$N:$N,'Dados Mov Financeira'!$O:$O,'DRE 2024'!$B111,'Dados Mov Financeira'!$A:$A,'DRE 2024'!S$1,'Dados Mov Financeira'!$B:$B,'DRE 2024'!S$2)</f>
        <v>0</v>
      </c>
      <c r="T111" s="91" t="n">
        <f aca="false">IFERROR(S111/S$5,0)</f>
        <v>0</v>
      </c>
      <c r="U111" s="139" t="n">
        <f aca="false">IFERROR((S111/P111)-1,0)</f>
        <v>0</v>
      </c>
      <c r="V111" s="157" t="n">
        <f aca="false">$D111</f>
        <v>0</v>
      </c>
      <c r="W111" s="91" t="n">
        <f aca="false">IFERROR(V111/V$5,0)</f>
        <v>0</v>
      </c>
      <c r="Y111" s="157" t="n">
        <f aca="false">SUMIFS('Dados Mov Financeira'!$N:$N,'Dados Mov Financeira'!$O:$O,'DRE 2024'!$B111,'Dados Mov Financeira'!$A:$A,'DRE 2024'!Y$1,'Dados Mov Financeira'!$B:$B,'DRE 2024'!Y$2)</f>
        <v>0</v>
      </c>
      <c r="Z111" s="91" t="n">
        <f aca="false">IFERROR(Y111/Y$5,0)</f>
        <v>0</v>
      </c>
      <c r="AA111" s="139" t="n">
        <f aca="false">IFERROR((Y111/V111)-1,0)</f>
        <v>0</v>
      </c>
      <c r="AB111" s="157" t="n">
        <f aca="false">$D111</f>
        <v>0</v>
      </c>
      <c r="AC111" s="91" t="n">
        <f aca="false">IFERROR(AB111/AB$5,0)</f>
        <v>0</v>
      </c>
      <c r="AE111" s="157" t="n">
        <f aca="false">SUMIFS('Dados Mov Financeira'!$N:$N,'Dados Mov Financeira'!$O:$O,'DRE 2024'!$B111,'Dados Mov Financeira'!$A:$A,'DRE 2024'!AE$1,'Dados Mov Financeira'!$B:$B,'DRE 2024'!AE$2)</f>
        <v>0</v>
      </c>
      <c r="AF111" s="91" t="n">
        <f aca="false">IFERROR(AE111/AE$5,0)</f>
        <v>0</v>
      </c>
      <c r="AG111" s="139" t="n">
        <f aca="false">IFERROR((AE111/AB111)-1,0)</f>
        <v>0</v>
      </c>
      <c r="AH111" s="157" t="n">
        <f aca="false">$D111</f>
        <v>0</v>
      </c>
      <c r="AI111" s="91" t="n">
        <f aca="false">IFERROR(AH111/AH$5,0)</f>
        <v>0</v>
      </c>
      <c r="AK111" s="157" t="n">
        <f aca="false">SUMIFS('Dados Mov Financeira'!$N:$N,'Dados Mov Financeira'!$O:$O,'DRE 2024'!$B111,'Dados Mov Financeira'!$A:$A,'DRE 2024'!AK$1,'Dados Mov Financeira'!$B:$B,'DRE 2024'!AK$2)</f>
        <v>0</v>
      </c>
      <c r="AL111" s="91" t="n">
        <f aca="false">IFERROR(AK111/AK$5,0)</f>
        <v>0</v>
      </c>
      <c r="AM111" s="139" t="n">
        <f aca="false">IFERROR((AK111/AH111)-1,0)</f>
        <v>0</v>
      </c>
      <c r="AN111" s="157" t="n">
        <f aca="false">$D111</f>
        <v>0</v>
      </c>
      <c r="AO111" s="91" t="n">
        <f aca="false">IFERROR(AN111/AN$5,0)</f>
        <v>0</v>
      </c>
      <c r="AQ111" s="157" t="n">
        <f aca="false">SUMIFS('Dados Mov Financeira'!$N:$N,'Dados Mov Financeira'!$O:$O,'DRE 2024'!$B111,'Dados Mov Financeira'!$A:$A,'DRE 2024'!AQ$1,'Dados Mov Financeira'!$B:$B,'DRE 2024'!AQ$2)</f>
        <v>0</v>
      </c>
      <c r="AR111" s="91" t="n">
        <f aca="false">IFERROR(AQ111/AQ$5,0)</f>
        <v>0</v>
      </c>
      <c r="AS111" s="139" t="n">
        <f aca="false">IFERROR((AQ111/AN111)-1,0)</f>
        <v>0</v>
      </c>
      <c r="AT111" s="157" t="n">
        <f aca="false">$D111</f>
        <v>0</v>
      </c>
      <c r="AU111" s="91" t="n">
        <f aca="false">IFERROR(AT111/AT$5,0)</f>
        <v>0</v>
      </c>
      <c r="AW111" s="157" t="n">
        <f aca="false">SUMIFS('Dados Mov Financeira'!$N:$N,'Dados Mov Financeira'!$O:$O,'DRE 2024'!$B111,'Dados Mov Financeira'!$A:$A,'DRE 2024'!AW$1,'Dados Mov Financeira'!$B:$B,'DRE 2024'!AW$2)</f>
        <v>0</v>
      </c>
      <c r="AX111" s="91" t="n">
        <f aca="false">IFERROR(AW111/AW$5,0)</f>
        <v>0</v>
      </c>
      <c r="AY111" s="139" t="n">
        <f aca="false">IFERROR((AW111/AT111)-1,0)</f>
        <v>0</v>
      </c>
      <c r="AZ111" s="157" t="n">
        <f aca="false">$D111</f>
        <v>0</v>
      </c>
      <c r="BA111" s="91" t="n">
        <f aca="false">IFERROR(AZ111/AZ$5,0)</f>
        <v>0</v>
      </c>
      <c r="BC111" s="157" t="n">
        <f aca="false">SUMIFS('Dados Mov Financeira'!$N:$N,'Dados Mov Financeira'!$O:$O,'DRE 2024'!$B111,'Dados Mov Financeira'!$A:$A,'DRE 2024'!BC$1,'Dados Mov Financeira'!$B:$B,'DRE 2024'!BC$2)</f>
        <v>0</v>
      </c>
      <c r="BD111" s="91" t="n">
        <f aca="false">IFERROR(BC111/BC$5,0)</f>
        <v>0</v>
      </c>
      <c r="BE111" s="139" t="n">
        <f aca="false">IFERROR((BC111/AZ111)-1,0)</f>
        <v>0</v>
      </c>
      <c r="BF111" s="157" t="n">
        <f aca="false">$D111</f>
        <v>0</v>
      </c>
      <c r="BG111" s="91" t="n">
        <f aca="false">IFERROR(BF111/BF$5,0)</f>
        <v>0</v>
      </c>
      <c r="BI111" s="157" t="n">
        <f aca="false">SUMIFS('Dados Mov Financeira'!$N:$N,'Dados Mov Financeira'!$O:$O,'DRE 2024'!$B111,'Dados Mov Financeira'!$A:$A,'DRE 2024'!BI$1,'Dados Mov Financeira'!$B:$B,'DRE 2024'!BI$2)</f>
        <v>0</v>
      </c>
      <c r="BJ111" s="91" t="n">
        <f aca="false">IFERROR(BI111/BI$5,0)</f>
        <v>0</v>
      </c>
      <c r="BK111" s="139" t="n">
        <f aca="false">IFERROR((BI111/BF111)-1,0)</f>
        <v>0</v>
      </c>
      <c r="BL111" s="157" t="n">
        <f aca="false">$D111</f>
        <v>0</v>
      </c>
      <c r="BM111" s="91" t="n">
        <f aca="false">IFERROR(BL111/BL$5,0)</f>
        <v>0</v>
      </c>
      <c r="BO111" s="157" t="n">
        <f aca="false">SUMIFS('Dados Mov Financeira'!$N:$N,'Dados Mov Financeira'!$O:$O,'DRE 2024'!$B111,'Dados Mov Financeira'!$A:$A,'DRE 2024'!BO$1,'Dados Mov Financeira'!$B:$B,'DRE 2024'!BO$2)</f>
        <v>0</v>
      </c>
      <c r="BP111" s="91" t="n">
        <f aca="false">IFERROR(BO111/BO$5,0)</f>
        <v>0</v>
      </c>
      <c r="BQ111" s="139" t="n">
        <f aca="false">IFERROR((BO111/BL111)-1,0)</f>
        <v>0</v>
      </c>
      <c r="BR111" s="157" t="n">
        <f aca="false">$D111</f>
        <v>0</v>
      </c>
      <c r="BS111" s="91" t="n">
        <f aca="false">IFERROR(BR111/BR$5,0)</f>
        <v>0</v>
      </c>
      <c r="BT111" s="171"/>
      <c r="BU111" s="157" t="n">
        <f aca="false">SUMIFS('Dados Mov Financeira'!$N:$N,'Dados Mov Financeira'!$O:$O,'DRE 2024'!$B111,'Dados Mov Financeira'!$A:$A,'DRE 2024'!BU$1,'Dados Mov Financeira'!$B:$B,'DRE 2024'!BU$2)</f>
        <v>0</v>
      </c>
      <c r="BV111" s="91" t="n">
        <f aca="false">IFERROR(BU111/BU$5,0)</f>
        <v>0</v>
      </c>
      <c r="BW111" s="139" t="n">
        <f aca="false">IFERROR((BU111/BR111)-1,0)</f>
        <v>0</v>
      </c>
      <c r="BX111" s="172" t="n">
        <f aca="false">SUM(D111,J111,P111,V111,AB111,AH111,AN111,AT111,AZ111,BF111,BL111,BR111)</f>
        <v>0</v>
      </c>
      <c r="BY111" s="108" t="n">
        <f aca="false">IFERROR(BX111/BX$5,0)</f>
        <v>0</v>
      </c>
      <c r="CA111" s="172" t="n">
        <f aca="false">SUM(G111,M111,S111,Y111,AE111,AK111,AQ111,AW111,BC111,BI111,BO111,BU111)</f>
        <v>0</v>
      </c>
      <c r="CB111" s="108" t="n">
        <f aca="false">IFERROR(CA111/CA$5,0)</f>
        <v>0</v>
      </c>
      <c r="CC111" s="139" t="n">
        <f aca="false">IFERROR((CA111/BX111)-1,0)</f>
        <v>0</v>
      </c>
      <c r="CE111" s="174" t="n">
        <f aca="false">BX111/$CF$1</f>
        <v>0</v>
      </c>
      <c r="CF111" s="94" t="n">
        <f aca="false">IFERROR(CE111/CE$5,0)</f>
        <v>0</v>
      </c>
      <c r="CH111" s="174" t="n">
        <f aca="false">CA111/$CI$1</f>
        <v>0</v>
      </c>
      <c r="CI111" s="94" t="n">
        <f aca="false">IFERROR(CH111/CH$5,0)</f>
        <v>0</v>
      </c>
    </row>
    <row r="112" customFormat="false" ht="14.25" hidden="false" customHeight="false" outlineLevel="1" collapsed="false">
      <c r="B112" s="169" t="s">
        <v>142</v>
      </c>
      <c r="D112" s="157" t="n">
        <v>0</v>
      </c>
      <c r="E112" s="91" t="n">
        <f aca="false">IFERROR(D112/D$5,0)</f>
        <v>0</v>
      </c>
      <c r="G112" s="157" t="n">
        <f aca="false">SUMIFS('Dados Mov Financeira'!$N:$N,'Dados Mov Financeira'!$O:$O,'DRE 2024'!$B112,'Dados Mov Financeira'!$A:$A,'DRE 2024'!G$1,'Dados Mov Financeira'!$B:$B,'DRE 2024'!G$2)</f>
        <v>0</v>
      </c>
      <c r="H112" s="91" t="n">
        <f aca="false">IFERROR(G112/G$5,0)</f>
        <v>0</v>
      </c>
      <c r="I112" s="138" t="n">
        <f aca="false">IFERROR((G112/D112)-1,0)</f>
        <v>0</v>
      </c>
      <c r="J112" s="157" t="n">
        <f aca="false">$D112</f>
        <v>0</v>
      </c>
      <c r="K112" s="91" t="n">
        <f aca="false">IFERROR(J112/J$5,0)</f>
        <v>0</v>
      </c>
      <c r="M112" s="157" t="n">
        <f aca="false">SUMIFS('Dados Mov Financeira'!$N:$N,'Dados Mov Financeira'!$O:$O,'DRE 2024'!$B112,'Dados Mov Financeira'!$A:$A,'DRE 2024'!M$1,'Dados Mov Financeira'!$B:$B,'DRE 2024'!M$2)</f>
        <v>0</v>
      </c>
      <c r="N112" s="91" t="n">
        <f aca="false">IFERROR(M112/M$5,0)</f>
        <v>0</v>
      </c>
      <c r="O112" s="139" t="n">
        <f aca="false">IFERROR((M112/J112)-1,0)</f>
        <v>0</v>
      </c>
      <c r="P112" s="157" t="n">
        <f aca="false">$D112</f>
        <v>0</v>
      </c>
      <c r="Q112" s="91" t="n">
        <f aca="false">IFERROR(P112/P$5,0)</f>
        <v>0</v>
      </c>
      <c r="S112" s="157" t="n">
        <f aca="false">SUMIFS('Dados Mov Financeira'!$N:$N,'Dados Mov Financeira'!$O:$O,'DRE 2024'!$B112,'Dados Mov Financeira'!$A:$A,'DRE 2024'!S$1,'Dados Mov Financeira'!$B:$B,'DRE 2024'!S$2)</f>
        <v>0</v>
      </c>
      <c r="T112" s="91" t="n">
        <f aca="false">IFERROR(S112/S$5,0)</f>
        <v>0</v>
      </c>
      <c r="U112" s="139" t="n">
        <f aca="false">IFERROR((S112/P112)-1,0)</f>
        <v>0</v>
      </c>
      <c r="V112" s="157" t="n">
        <f aca="false">$D112</f>
        <v>0</v>
      </c>
      <c r="W112" s="91" t="n">
        <f aca="false">IFERROR(V112/V$5,0)</f>
        <v>0</v>
      </c>
      <c r="Y112" s="157" t="n">
        <f aca="false">SUMIFS('Dados Mov Financeira'!$N:$N,'Dados Mov Financeira'!$O:$O,'DRE 2024'!$B112,'Dados Mov Financeira'!$A:$A,'DRE 2024'!Y$1,'Dados Mov Financeira'!$B:$B,'DRE 2024'!Y$2)</f>
        <v>0</v>
      </c>
      <c r="Z112" s="91" t="n">
        <f aca="false">IFERROR(Y112/Y$5,0)</f>
        <v>0</v>
      </c>
      <c r="AA112" s="139" t="n">
        <f aca="false">IFERROR((Y112/V112)-1,0)</f>
        <v>0</v>
      </c>
      <c r="AB112" s="157" t="n">
        <f aca="false">$D112</f>
        <v>0</v>
      </c>
      <c r="AC112" s="91" t="n">
        <f aca="false">IFERROR(AB112/AB$5,0)</f>
        <v>0</v>
      </c>
      <c r="AE112" s="157" t="n">
        <f aca="false">SUMIFS('Dados Mov Financeira'!$N:$N,'Dados Mov Financeira'!$O:$O,'DRE 2024'!$B112,'Dados Mov Financeira'!$A:$A,'DRE 2024'!AE$1,'Dados Mov Financeira'!$B:$B,'DRE 2024'!AE$2)</f>
        <v>0</v>
      </c>
      <c r="AF112" s="91" t="n">
        <f aca="false">IFERROR(AE112/AE$5,0)</f>
        <v>0</v>
      </c>
      <c r="AG112" s="139" t="n">
        <f aca="false">IFERROR((AE112/AB112)-1,0)</f>
        <v>0</v>
      </c>
      <c r="AH112" s="157" t="n">
        <f aca="false">$D112</f>
        <v>0</v>
      </c>
      <c r="AI112" s="91" t="n">
        <f aca="false">IFERROR(AH112/AH$5,0)</f>
        <v>0</v>
      </c>
      <c r="AK112" s="157" t="n">
        <f aca="false">SUMIFS('Dados Mov Financeira'!$N:$N,'Dados Mov Financeira'!$O:$O,'DRE 2024'!$B112,'Dados Mov Financeira'!$A:$A,'DRE 2024'!AK$1,'Dados Mov Financeira'!$B:$B,'DRE 2024'!AK$2)</f>
        <v>0</v>
      </c>
      <c r="AL112" s="91" t="n">
        <f aca="false">IFERROR(AK112/AK$5,0)</f>
        <v>0</v>
      </c>
      <c r="AM112" s="139" t="n">
        <f aca="false">IFERROR((AK112/AH112)-1,0)</f>
        <v>0</v>
      </c>
      <c r="AN112" s="157" t="n">
        <f aca="false">$D112</f>
        <v>0</v>
      </c>
      <c r="AO112" s="91" t="n">
        <f aca="false">IFERROR(AN112/AN$5,0)</f>
        <v>0</v>
      </c>
      <c r="AQ112" s="157" t="n">
        <f aca="false">SUMIFS('Dados Mov Financeira'!$N:$N,'Dados Mov Financeira'!$O:$O,'DRE 2024'!$B112,'Dados Mov Financeira'!$A:$A,'DRE 2024'!AQ$1,'Dados Mov Financeira'!$B:$B,'DRE 2024'!AQ$2)</f>
        <v>0</v>
      </c>
      <c r="AR112" s="91" t="n">
        <f aca="false">IFERROR(AQ112/AQ$5,0)</f>
        <v>0</v>
      </c>
      <c r="AS112" s="139" t="n">
        <f aca="false">IFERROR((AQ112/AN112)-1,0)</f>
        <v>0</v>
      </c>
      <c r="AT112" s="157" t="n">
        <f aca="false">$D112</f>
        <v>0</v>
      </c>
      <c r="AU112" s="91" t="n">
        <f aca="false">IFERROR(AT112/AT$5,0)</f>
        <v>0</v>
      </c>
      <c r="AW112" s="157" t="n">
        <f aca="false">SUMIFS('Dados Mov Financeira'!$N:$N,'Dados Mov Financeira'!$O:$O,'DRE 2024'!$B112,'Dados Mov Financeira'!$A:$A,'DRE 2024'!AW$1,'Dados Mov Financeira'!$B:$B,'DRE 2024'!AW$2)</f>
        <v>0</v>
      </c>
      <c r="AX112" s="91" t="n">
        <f aca="false">IFERROR(AW112/AW$5,0)</f>
        <v>0</v>
      </c>
      <c r="AY112" s="139" t="n">
        <f aca="false">IFERROR((AW112/AT112)-1,0)</f>
        <v>0</v>
      </c>
      <c r="AZ112" s="157" t="n">
        <f aca="false">$D112</f>
        <v>0</v>
      </c>
      <c r="BA112" s="91" t="n">
        <f aca="false">IFERROR(AZ112/AZ$5,0)</f>
        <v>0</v>
      </c>
      <c r="BC112" s="157" t="n">
        <f aca="false">SUMIFS('Dados Mov Financeira'!$N:$N,'Dados Mov Financeira'!$O:$O,'DRE 2024'!$B112,'Dados Mov Financeira'!$A:$A,'DRE 2024'!BC$1,'Dados Mov Financeira'!$B:$B,'DRE 2024'!BC$2)</f>
        <v>0</v>
      </c>
      <c r="BD112" s="91" t="n">
        <f aca="false">IFERROR(BC112/BC$5,0)</f>
        <v>0</v>
      </c>
      <c r="BE112" s="139" t="n">
        <f aca="false">IFERROR((BC112/AZ112)-1,0)</f>
        <v>0</v>
      </c>
      <c r="BF112" s="157" t="n">
        <f aca="false">$D112</f>
        <v>0</v>
      </c>
      <c r="BG112" s="91" t="n">
        <f aca="false">IFERROR(BF112/BF$5,0)</f>
        <v>0</v>
      </c>
      <c r="BI112" s="157" t="n">
        <f aca="false">SUMIFS('Dados Mov Financeira'!$N:$N,'Dados Mov Financeira'!$O:$O,'DRE 2024'!$B112,'Dados Mov Financeira'!$A:$A,'DRE 2024'!BI$1,'Dados Mov Financeira'!$B:$B,'DRE 2024'!BI$2)</f>
        <v>0</v>
      </c>
      <c r="BJ112" s="91" t="n">
        <f aca="false">IFERROR(BI112/BI$5,0)</f>
        <v>0</v>
      </c>
      <c r="BK112" s="139" t="n">
        <f aca="false">IFERROR((BI112/BF112)-1,0)</f>
        <v>0</v>
      </c>
      <c r="BL112" s="157" t="n">
        <f aca="false">$D112</f>
        <v>0</v>
      </c>
      <c r="BM112" s="91" t="n">
        <f aca="false">IFERROR(BL112/BL$5,0)</f>
        <v>0</v>
      </c>
      <c r="BO112" s="157" t="n">
        <f aca="false">SUMIFS('Dados Mov Financeira'!$N:$N,'Dados Mov Financeira'!$O:$O,'DRE 2024'!$B112,'Dados Mov Financeira'!$A:$A,'DRE 2024'!BO$1,'Dados Mov Financeira'!$B:$B,'DRE 2024'!BO$2)</f>
        <v>0</v>
      </c>
      <c r="BP112" s="91" t="n">
        <f aca="false">IFERROR(BO112/BO$5,0)</f>
        <v>0</v>
      </c>
      <c r="BQ112" s="139" t="n">
        <f aca="false">IFERROR((BO112/BL112)-1,0)</f>
        <v>0</v>
      </c>
      <c r="BR112" s="157" t="n">
        <f aca="false">$D112</f>
        <v>0</v>
      </c>
      <c r="BS112" s="91" t="n">
        <f aca="false">IFERROR(BR112/BR$5,0)</f>
        <v>0</v>
      </c>
      <c r="BT112" s="171"/>
      <c r="BU112" s="157" t="n">
        <f aca="false">SUMIFS('Dados Mov Financeira'!$N:$N,'Dados Mov Financeira'!$O:$O,'DRE 2024'!$B112,'Dados Mov Financeira'!$A:$A,'DRE 2024'!BU$1,'Dados Mov Financeira'!$B:$B,'DRE 2024'!BU$2)</f>
        <v>0</v>
      </c>
      <c r="BV112" s="91" t="n">
        <f aca="false">IFERROR(BU112/BU$5,0)</f>
        <v>0</v>
      </c>
      <c r="BW112" s="139" t="n">
        <f aca="false">IFERROR((BU112/BR112)-1,0)</f>
        <v>0</v>
      </c>
      <c r="BX112" s="172" t="n">
        <f aca="false">SUM(D112,J112,P112,V112,AB112,AH112,AN112,AT112,AZ112,BF112,BL112,BR112)</f>
        <v>0</v>
      </c>
      <c r="BY112" s="108" t="n">
        <f aca="false">IFERROR(BX112/BX$5,0)</f>
        <v>0</v>
      </c>
      <c r="CA112" s="172" t="n">
        <f aca="false">SUM(G112,M112,S112,Y112,AE112,AK112,AQ112,AW112,BC112,BI112,BO112,BU112)</f>
        <v>0</v>
      </c>
      <c r="CB112" s="108" t="n">
        <f aca="false">IFERROR(CA112/CA$5,0)</f>
        <v>0</v>
      </c>
      <c r="CC112" s="139" t="n">
        <f aca="false">IFERROR((CA112/BX112)-1,0)</f>
        <v>0</v>
      </c>
      <c r="CE112" s="174" t="n">
        <f aca="false">BX112/$CF$1</f>
        <v>0</v>
      </c>
      <c r="CF112" s="94" t="n">
        <f aca="false">IFERROR(CE112/CE$5,0)</f>
        <v>0</v>
      </c>
      <c r="CH112" s="174" t="n">
        <f aca="false">CA112/$CI$1</f>
        <v>0</v>
      </c>
      <c r="CI112" s="94" t="n">
        <f aca="false">IFERROR(CH112/CH$5,0)</f>
        <v>0</v>
      </c>
    </row>
    <row r="113" customFormat="false" ht="14.25" hidden="false" customHeight="false" outlineLevel="1" collapsed="false">
      <c r="B113" s="169" t="s">
        <v>143</v>
      </c>
      <c r="D113" s="157" t="n">
        <v>0</v>
      </c>
      <c r="E113" s="91" t="n">
        <f aca="false">IFERROR(D113/D$5,0)</f>
        <v>0</v>
      </c>
      <c r="G113" s="157" t="n">
        <f aca="false">SUMIFS('Dados Mov Financeira'!$N:$N,'Dados Mov Financeira'!$O:$O,'DRE 2024'!$B113,'Dados Mov Financeira'!$A:$A,'DRE 2024'!G$1,'Dados Mov Financeira'!$B:$B,'DRE 2024'!G$2)</f>
        <v>0</v>
      </c>
      <c r="H113" s="91" t="n">
        <f aca="false">IFERROR(G113/G$5,0)</f>
        <v>0</v>
      </c>
      <c r="I113" s="138" t="n">
        <f aca="false">IFERROR((G113/D113)-1,0)</f>
        <v>0</v>
      </c>
      <c r="J113" s="157" t="n">
        <f aca="false">$D113</f>
        <v>0</v>
      </c>
      <c r="K113" s="91" t="n">
        <f aca="false">IFERROR(J113/J$5,0)</f>
        <v>0</v>
      </c>
      <c r="M113" s="157" t="n">
        <f aca="false">SUMIFS('Dados Mov Financeira'!$N:$N,'Dados Mov Financeira'!$O:$O,'DRE 2024'!$B113,'Dados Mov Financeira'!$A:$A,'DRE 2024'!M$1,'Dados Mov Financeira'!$B:$B,'DRE 2024'!M$2)</f>
        <v>0</v>
      </c>
      <c r="N113" s="91" t="n">
        <f aca="false">IFERROR(M113/M$5,0)</f>
        <v>0</v>
      </c>
      <c r="O113" s="139" t="n">
        <f aca="false">IFERROR((M113/J113)-1,0)</f>
        <v>0</v>
      </c>
      <c r="P113" s="157" t="n">
        <f aca="false">$D113</f>
        <v>0</v>
      </c>
      <c r="Q113" s="91" t="n">
        <f aca="false">IFERROR(P113/P$5,0)</f>
        <v>0</v>
      </c>
      <c r="S113" s="157" t="n">
        <f aca="false">SUMIFS('Dados Mov Financeira'!$N:$N,'Dados Mov Financeira'!$O:$O,'DRE 2024'!$B113,'Dados Mov Financeira'!$A:$A,'DRE 2024'!S$1,'Dados Mov Financeira'!$B:$B,'DRE 2024'!S$2)</f>
        <v>0</v>
      </c>
      <c r="T113" s="91" t="n">
        <f aca="false">IFERROR(S113/S$5,0)</f>
        <v>0</v>
      </c>
      <c r="U113" s="139" t="n">
        <f aca="false">IFERROR((S113/P113)-1,0)</f>
        <v>0</v>
      </c>
      <c r="V113" s="157" t="n">
        <f aca="false">$D113</f>
        <v>0</v>
      </c>
      <c r="W113" s="91" t="n">
        <f aca="false">IFERROR(V113/V$5,0)</f>
        <v>0</v>
      </c>
      <c r="Y113" s="157" t="n">
        <f aca="false">SUMIFS('Dados Mov Financeira'!$N:$N,'Dados Mov Financeira'!$O:$O,'DRE 2024'!$B113,'Dados Mov Financeira'!$A:$A,'DRE 2024'!Y$1,'Dados Mov Financeira'!$B:$B,'DRE 2024'!Y$2)</f>
        <v>0</v>
      </c>
      <c r="Z113" s="91" t="n">
        <f aca="false">IFERROR(Y113/Y$5,0)</f>
        <v>0</v>
      </c>
      <c r="AA113" s="139" t="n">
        <f aca="false">IFERROR((Y113/V113)-1,0)</f>
        <v>0</v>
      </c>
      <c r="AB113" s="157" t="n">
        <f aca="false">$D113</f>
        <v>0</v>
      </c>
      <c r="AC113" s="91" t="n">
        <f aca="false">IFERROR(AB113/AB$5,0)</f>
        <v>0</v>
      </c>
      <c r="AE113" s="157" t="n">
        <f aca="false">SUMIFS('Dados Mov Financeira'!$N:$N,'Dados Mov Financeira'!$O:$O,'DRE 2024'!$B113,'Dados Mov Financeira'!$A:$A,'DRE 2024'!AE$1,'Dados Mov Financeira'!$B:$B,'DRE 2024'!AE$2)</f>
        <v>0</v>
      </c>
      <c r="AF113" s="91" t="n">
        <f aca="false">IFERROR(AE113/AE$5,0)</f>
        <v>0</v>
      </c>
      <c r="AG113" s="139" t="n">
        <f aca="false">IFERROR((AE113/AB113)-1,0)</f>
        <v>0</v>
      </c>
      <c r="AH113" s="157" t="n">
        <f aca="false">$D113</f>
        <v>0</v>
      </c>
      <c r="AI113" s="91" t="n">
        <f aca="false">IFERROR(AH113/AH$5,0)</f>
        <v>0</v>
      </c>
      <c r="AK113" s="157" t="n">
        <f aca="false">SUMIFS('Dados Mov Financeira'!$N:$N,'Dados Mov Financeira'!$O:$O,'DRE 2024'!$B113,'Dados Mov Financeira'!$A:$A,'DRE 2024'!AK$1,'Dados Mov Financeira'!$B:$B,'DRE 2024'!AK$2)</f>
        <v>0</v>
      </c>
      <c r="AL113" s="91" t="n">
        <f aca="false">IFERROR(AK113/AK$5,0)</f>
        <v>0</v>
      </c>
      <c r="AM113" s="139" t="n">
        <f aca="false">IFERROR((AK113/AH113)-1,0)</f>
        <v>0</v>
      </c>
      <c r="AN113" s="157" t="n">
        <f aca="false">$D113</f>
        <v>0</v>
      </c>
      <c r="AO113" s="91" t="n">
        <f aca="false">IFERROR(AN113/AN$5,0)</f>
        <v>0</v>
      </c>
      <c r="AQ113" s="157" t="n">
        <f aca="false">SUMIFS('Dados Mov Financeira'!$N:$N,'Dados Mov Financeira'!$O:$O,'DRE 2024'!$B113,'Dados Mov Financeira'!$A:$A,'DRE 2024'!AQ$1,'Dados Mov Financeira'!$B:$B,'DRE 2024'!AQ$2)</f>
        <v>0</v>
      </c>
      <c r="AR113" s="91" t="n">
        <f aca="false">IFERROR(AQ113/AQ$5,0)</f>
        <v>0</v>
      </c>
      <c r="AS113" s="139" t="n">
        <f aca="false">IFERROR((AQ113/AN113)-1,0)</f>
        <v>0</v>
      </c>
      <c r="AT113" s="157" t="n">
        <f aca="false">$D113</f>
        <v>0</v>
      </c>
      <c r="AU113" s="91" t="n">
        <f aca="false">IFERROR(AT113/AT$5,0)</f>
        <v>0</v>
      </c>
      <c r="AW113" s="157" t="n">
        <f aca="false">SUMIFS('Dados Mov Financeira'!$N:$N,'Dados Mov Financeira'!$O:$O,'DRE 2024'!$B113,'Dados Mov Financeira'!$A:$A,'DRE 2024'!AW$1,'Dados Mov Financeira'!$B:$B,'DRE 2024'!AW$2)</f>
        <v>0</v>
      </c>
      <c r="AX113" s="91" t="n">
        <f aca="false">IFERROR(AW113/AW$5,0)</f>
        <v>0</v>
      </c>
      <c r="AY113" s="139" t="n">
        <f aca="false">IFERROR((AW113/AT113)-1,0)</f>
        <v>0</v>
      </c>
      <c r="AZ113" s="157" t="n">
        <f aca="false">$D113</f>
        <v>0</v>
      </c>
      <c r="BA113" s="91" t="n">
        <f aca="false">IFERROR(AZ113/AZ$5,0)</f>
        <v>0</v>
      </c>
      <c r="BC113" s="157" t="n">
        <f aca="false">SUMIFS('Dados Mov Financeira'!$N:$N,'Dados Mov Financeira'!$O:$O,'DRE 2024'!$B113,'Dados Mov Financeira'!$A:$A,'DRE 2024'!BC$1,'Dados Mov Financeira'!$B:$B,'DRE 2024'!BC$2)</f>
        <v>0</v>
      </c>
      <c r="BD113" s="91" t="n">
        <f aca="false">IFERROR(BC113/BC$5,0)</f>
        <v>0</v>
      </c>
      <c r="BE113" s="139" t="n">
        <f aca="false">IFERROR((BC113/AZ113)-1,0)</f>
        <v>0</v>
      </c>
      <c r="BF113" s="157" t="n">
        <f aca="false">$D113</f>
        <v>0</v>
      </c>
      <c r="BG113" s="91" t="n">
        <f aca="false">IFERROR(BF113/BF$5,0)</f>
        <v>0</v>
      </c>
      <c r="BI113" s="157" t="n">
        <f aca="false">SUMIFS('Dados Mov Financeira'!$N:$N,'Dados Mov Financeira'!$O:$O,'DRE 2024'!$B113,'Dados Mov Financeira'!$A:$A,'DRE 2024'!BI$1,'Dados Mov Financeira'!$B:$B,'DRE 2024'!BI$2)</f>
        <v>0</v>
      </c>
      <c r="BJ113" s="91" t="n">
        <f aca="false">IFERROR(BI113/BI$5,0)</f>
        <v>0</v>
      </c>
      <c r="BK113" s="139" t="n">
        <f aca="false">IFERROR((BI113/BF113)-1,0)</f>
        <v>0</v>
      </c>
      <c r="BL113" s="157" t="n">
        <f aca="false">$D113</f>
        <v>0</v>
      </c>
      <c r="BM113" s="91" t="n">
        <f aca="false">IFERROR(BL113/BL$5,0)</f>
        <v>0</v>
      </c>
      <c r="BO113" s="157" t="n">
        <f aca="false">SUMIFS('Dados Mov Financeira'!$N:$N,'Dados Mov Financeira'!$O:$O,'DRE 2024'!$B113,'Dados Mov Financeira'!$A:$A,'DRE 2024'!BO$1,'Dados Mov Financeira'!$B:$B,'DRE 2024'!BO$2)</f>
        <v>0</v>
      </c>
      <c r="BP113" s="91" t="n">
        <f aca="false">IFERROR(BO113/BO$5,0)</f>
        <v>0</v>
      </c>
      <c r="BQ113" s="139" t="n">
        <f aca="false">IFERROR((BO113/BL113)-1,0)</f>
        <v>0</v>
      </c>
      <c r="BR113" s="157" t="n">
        <f aca="false">$D113</f>
        <v>0</v>
      </c>
      <c r="BS113" s="91" t="n">
        <f aca="false">IFERROR(BR113/BR$5,0)</f>
        <v>0</v>
      </c>
      <c r="BT113" s="171"/>
      <c r="BU113" s="157" t="n">
        <f aca="false">SUMIFS('Dados Mov Financeira'!$N:$N,'Dados Mov Financeira'!$O:$O,'DRE 2024'!$B113,'Dados Mov Financeira'!$A:$A,'DRE 2024'!BU$1,'Dados Mov Financeira'!$B:$B,'DRE 2024'!BU$2)</f>
        <v>0</v>
      </c>
      <c r="BV113" s="91" t="n">
        <f aca="false">IFERROR(BU113/BU$5,0)</f>
        <v>0</v>
      </c>
      <c r="BW113" s="139" t="n">
        <f aca="false">IFERROR((BU113/BR113)-1,0)</f>
        <v>0</v>
      </c>
      <c r="BX113" s="172" t="n">
        <f aca="false">SUM(D113,J113,P113,V113,AB113,AH113,AN113,AT113,AZ113,BF113,BL113,BR113)</f>
        <v>0</v>
      </c>
      <c r="BY113" s="108" t="n">
        <f aca="false">IFERROR(BX113/BX$5,0)</f>
        <v>0</v>
      </c>
      <c r="CA113" s="172" t="n">
        <f aca="false">SUM(G113,M113,S113,Y113,AE113,AK113,AQ113,AW113,BC113,BI113,BO113,BU113)</f>
        <v>0</v>
      </c>
      <c r="CB113" s="108" t="n">
        <f aca="false">IFERROR(CA113/CA$5,0)</f>
        <v>0</v>
      </c>
      <c r="CC113" s="139" t="n">
        <f aca="false">IFERROR((CA113/BX113)-1,0)</f>
        <v>0</v>
      </c>
      <c r="CE113" s="174" t="n">
        <f aca="false">BX113/$CF$1</f>
        <v>0</v>
      </c>
      <c r="CF113" s="94" t="n">
        <f aca="false">IFERROR(CE113/CE$5,0)</f>
        <v>0</v>
      </c>
      <c r="CH113" s="174" t="n">
        <f aca="false">CA113/$CI$1</f>
        <v>0</v>
      </c>
      <c r="CI113" s="94" t="n">
        <f aca="false">IFERROR(CH113/CH$5,0)</f>
        <v>0</v>
      </c>
    </row>
    <row r="114" s="128" customFormat="true" ht="6" hidden="true" customHeight="true" outlineLevel="0" collapsed="false">
      <c r="B114" s="135"/>
      <c r="C114" s="145"/>
      <c r="D114" s="161"/>
      <c r="E114" s="60"/>
      <c r="F114" s="145"/>
      <c r="G114" s="161"/>
      <c r="H114" s="60"/>
      <c r="I114" s="60"/>
      <c r="J114" s="161"/>
      <c r="K114" s="60"/>
      <c r="L114" s="145"/>
      <c r="M114" s="161"/>
      <c r="N114" s="60"/>
      <c r="O114" s="149"/>
      <c r="P114" s="161"/>
      <c r="Q114" s="60"/>
      <c r="R114" s="145"/>
      <c r="S114" s="161"/>
      <c r="T114" s="60"/>
      <c r="U114" s="149"/>
      <c r="V114" s="161"/>
      <c r="W114" s="60"/>
      <c r="X114" s="145"/>
      <c r="Y114" s="161"/>
      <c r="Z114" s="60"/>
      <c r="AA114" s="149"/>
      <c r="AB114" s="161"/>
      <c r="AC114" s="60"/>
      <c r="AD114" s="145"/>
      <c r="AE114" s="161"/>
      <c r="AF114" s="60"/>
      <c r="AG114" s="149"/>
      <c r="AH114" s="161"/>
      <c r="AI114" s="60"/>
      <c r="AJ114" s="145"/>
      <c r="AK114" s="161"/>
      <c r="AL114" s="60"/>
      <c r="AM114" s="149"/>
      <c r="AN114" s="161"/>
      <c r="AO114" s="60"/>
      <c r="AP114" s="145"/>
      <c r="AQ114" s="161"/>
      <c r="AR114" s="60"/>
      <c r="AS114" s="149"/>
      <c r="AT114" s="161"/>
      <c r="AU114" s="60"/>
      <c r="AV114" s="145"/>
      <c r="AW114" s="161"/>
      <c r="AX114" s="60"/>
      <c r="AY114" s="149"/>
      <c r="AZ114" s="161"/>
      <c r="BA114" s="60"/>
      <c r="BB114" s="145"/>
      <c r="BC114" s="161"/>
      <c r="BD114" s="60"/>
      <c r="BE114" s="149"/>
      <c r="BF114" s="161"/>
      <c r="BG114" s="60"/>
      <c r="BH114" s="145"/>
      <c r="BI114" s="161"/>
      <c r="BJ114" s="60"/>
      <c r="BK114" s="149"/>
      <c r="BL114" s="161"/>
      <c r="BM114" s="60"/>
      <c r="BN114" s="145"/>
      <c r="BO114" s="161"/>
      <c r="BP114" s="60"/>
      <c r="BQ114" s="149"/>
      <c r="BR114" s="161"/>
      <c r="BS114" s="60"/>
      <c r="BT114" s="149"/>
      <c r="BU114" s="161"/>
      <c r="BV114" s="60"/>
      <c r="BW114" s="149"/>
      <c r="BX114" s="161"/>
      <c r="BY114" s="60"/>
      <c r="BZ114" s="145"/>
      <c r="CA114" s="161"/>
      <c r="CB114" s="60"/>
      <c r="CC114" s="149"/>
      <c r="CD114" s="145"/>
      <c r="CE114" s="162"/>
      <c r="CF114" s="60"/>
      <c r="CG114" s="145"/>
      <c r="CH114" s="162"/>
      <c r="CI114" s="60"/>
    </row>
    <row r="115" s="150" customFormat="true" ht="14.25" hidden="true" customHeight="true" outlineLevel="0" collapsed="false">
      <c r="A115" s="126"/>
      <c r="B115" s="188" t="s">
        <v>144</v>
      </c>
      <c r="D115" s="189" t="n">
        <f aca="false">D104+D106</f>
        <v>13280.058</v>
      </c>
      <c r="E115" s="104" t="n">
        <f aca="false">IFERROR(D115/D$5,0)</f>
        <v>0.166000725</v>
      </c>
      <c r="G115" s="189" t="n">
        <f aca="false">G104+G106</f>
        <v>0</v>
      </c>
      <c r="H115" s="104" t="n">
        <f aca="false">IFERROR(G115/G$5,0)</f>
        <v>0</v>
      </c>
      <c r="I115" s="138" t="n">
        <f aca="false">IFERROR(G115/D115,0)</f>
        <v>0</v>
      </c>
      <c r="J115" s="189" t="n">
        <f aca="false">J104+J106</f>
        <v>10465.058</v>
      </c>
      <c r="K115" s="104" t="n">
        <f aca="false">IFERROR(J115/J$5,0)</f>
        <v>0.123118329411765</v>
      </c>
      <c r="M115" s="189" t="n">
        <f aca="false">M104+M106</f>
        <v>0</v>
      </c>
      <c r="N115" s="104" t="n">
        <f aca="false">IFERROR(M115/M$5,0)</f>
        <v>0</v>
      </c>
      <c r="O115" s="139" t="n">
        <f aca="false">IFERROR(M115/J115,0)</f>
        <v>0</v>
      </c>
      <c r="P115" s="189" t="n">
        <f aca="false">P104+P106</f>
        <v>12815.058</v>
      </c>
      <c r="Q115" s="104" t="n">
        <f aca="false">IFERROR(P115/P$5,0)</f>
        <v>0.142389533333333</v>
      </c>
      <c r="S115" s="189" t="n">
        <f aca="false">S104+S106</f>
        <v>0</v>
      </c>
      <c r="T115" s="104" t="n">
        <f aca="false">IFERROR(S115/S$5,0)</f>
        <v>0</v>
      </c>
      <c r="U115" s="139" t="n">
        <f aca="false">IFERROR(S115/P115,0)</f>
        <v>0</v>
      </c>
      <c r="V115" s="189" t="n">
        <f aca="false">V104+V106</f>
        <v>17485.058</v>
      </c>
      <c r="W115" s="104" t="n">
        <f aca="false">IFERROR(V115/V$5,0)</f>
        <v>0.17485058</v>
      </c>
      <c r="Y115" s="189" t="n">
        <f aca="false">Y104+Y106</f>
        <v>0</v>
      </c>
      <c r="Z115" s="104" t="n">
        <f aca="false">IFERROR(Y115/Y$5,0)</f>
        <v>0</v>
      </c>
      <c r="AA115" s="139" t="n">
        <f aca="false">IFERROR(Y115/V115,0)</f>
        <v>0</v>
      </c>
      <c r="AB115" s="189" t="n">
        <f aca="false">AB104+AB106</f>
        <v>23255.058</v>
      </c>
      <c r="AC115" s="104" t="n">
        <f aca="false">IFERROR(AB115/AB$5,0)</f>
        <v>0.211409618181818</v>
      </c>
      <c r="AE115" s="189" t="n">
        <f aca="false">AE104+AE106</f>
        <v>0</v>
      </c>
      <c r="AF115" s="104" t="n">
        <f aca="false">IFERROR(AE115/AE$5,0)</f>
        <v>0</v>
      </c>
      <c r="AG115" s="139" t="n">
        <f aca="false">IFERROR(AE115/AB115,0)</f>
        <v>0</v>
      </c>
      <c r="AH115" s="189" t="n">
        <f aca="false">AH104+AH106</f>
        <v>29345.058</v>
      </c>
      <c r="AI115" s="104" t="n">
        <f aca="false">IFERROR(AH115/AH$5,0)</f>
        <v>0.24454215</v>
      </c>
      <c r="AK115" s="189" t="n">
        <f aca="false">AK104+AK106</f>
        <v>0</v>
      </c>
      <c r="AL115" s="104" t="n">
        <f aca="false">IFERROR(AK115/AK$5,0)</f>
        <v>0</v>
      </c>
      <c r="AM115" s="139" t="n">
        <f aca="false">IFERROR(AK115/AH115,0)</f>
        <v>0</v>
      </c>
      <c r="AN115" s="189" t="n">
        <f aca="false">AN104+AN106</f>
        <v>34225.058</v>
      </c>
      <c r="AO115" s="104" t="n">
        <f aca="false">IFERROR(AN115/AN$5,0)</f>
        <v>0.263269676923077</v>
      </c>
      <c r="AQ115" s="189" t="n">
        <f aca="false">AQ104+AQ106</f>
        <v>0</v>
      </c>
      <c r="AR115" s="104" t="n">
        <f aca="false">IFERROR(AQ115/AQ$5,0)</f>
        <v>0</v>
      </c>
      <c r="AS115" s="139" t="n">
        <f aca="false">IFERROR(AQ115/AN115,0)</f>
        <v>0</v>
      </c>
      <c r="AT115" s="189" t="n">
        <f aca="false">AT104+AT106</f>
        <v>38505.058</v>
      </c>
      <c r="AU115" s="104" t="n">
        <f aca="false">IFERROR(AT115/AT$5,0)</f>
        <v>0.275036128571429</v>
      </c>
      <c r="AW115" s="189" t="n">
        <f aca="false">AW104+AW106</f>
        <v>0</v>
      </c>
      <c r="AX115" s="104" t="n">
        <f aca="false">IFERROR(AW115/AW$5,0)</f>
        <v>0</v>
      </c>
      <c r="AY115" s="139" t="n">
        <f aca="false">IFERROR(AW115/AT115,0)</f>
        <v>0</v>
      </c>
      <c r="AZ115" s="189" t="n">
        <f aca="false">AZ104+AZ106</f>
        <v>45635.058</v>
      </c>
      <c r="BA115" s="104" t="n">
        <f aca="false">IFERROR(AZ115/AZ$5,0)</f>
        <v>0.30423372</v>
      </c>
      <c r="BC115" s="189" t="n">
        <f aca="false">BC104+BC106</f>
        <v>0</v>
      </c>
      <c r="BD115" s="104" t="n">
        <f aca="false">IFERROR(BC115/BC$5,0)</f>
        <v>0</v>
      </c>
      <c r="BE115" s="139" t="n">
        <f aca="false">IFERROR(BC115/AZ115,0)</f>
        <v>0</v>
      </c>
      <c r="BF115" s="189" t="n">
        <f aca="false">BF104+BF106</f>
        <v>46085.058</v>
      </c>
      <c r="BG115" s="104" t="n">
        <f aca="false">IFERROR(BF115/BF$5,0)</f>
        <v>0.30723372</v>
      </c>
      <c r="BI115" s="189" t="n">
        <f aca="false">BI104+BI106</f>
        <v>0</v>
      </c>
      <c r="BJ115" s="104" t="n">
        <f aca="false">IFERROR(BI115/BI$5,0)</f>
        <v>0</v>
      </c>
      <c r="BK115" s="139" t="n">
        <f aca="false">IFERROR(BI115/BF115,0)</f>
        <v>0</v>
      </c>
      <c r="BL115" s="189" t="n">
        <f aca="false">BL104+BL106</f>
        <v>42785.058</v>
      </c>
      <c r="BM115" s="104" t="n">
        <f aca="false">IFERROR(BL115/BL$5,0)</f>
        <v>0.28523372</v>
      </c>
      <c r="BO115" s="189" t="n">
        <f aca="false">BO104+BO106</f>
        <v>0</v>
      </c>
      <c r="BP115" s="104" t="n">
        <f aca="false">IFERROR(BO115/BO$5,0)</f>
        <v>0</v>
      </c>
      <c r="BQ115" s="139" t="n">
        <f aca="false">IFERROR(BO115/BL115,0)</f>
        <v>0</v>
      </c>
      <c r="BR115" s="189" t="n">
        <f aca="false">BR104+BR106</f>
        <v>42785.058</v>
      </c>
      <c r="BS115" s="104" t="n">
        <f aca="false">IFERROR(BR115/BR$5,0)</f>
        <v>0.28523372</v>
      </c>
      <c r="BT115" s="140"/>
      <c r="BU115" s="189" t="n">
        <f aca="false">BU104+BU106</f>
        <v>-6500</v>
      </c>
      <c r="BV115" s="104" t="n">
        <f aca="false">IFERROR(BU115/BU$5,0)</f>
        <v>0</v>
      </c>
      <c r="BW115" s="139" t="n">
        <f aca="false">IFERROR(BU115/BR115,0)</f>
        <v>-0.151922196763178</v>
      </c>
      <c r="BX115" s="189" t="n">
        <f aca="false">BX104+BX106</f>
        <v>360665.696</v>
      </c>
      <c r="BY115" s="104" t="n">
        <f aca="false">IFERROR(BX115/BX$5,0)</f>
        <v>0.247880203436426</v>
      </c>
      <c r="CA115" s="189" t="n">
        <f aca="false">CA104+CA106</f>
        <v>-6500</v>
      </c>
      <c r="CB115" s="104" t="n">
        <f aca="false">IFERROR(CA115/CA$5,0)</f>
        <v>0</v>
      </c>
      <c r="CC115" s="139" t="n">
        <f aca="false">IFERROR(CA115/BX115,0)</f>
        <v>-0.0180222296494757</v>
      </c>
      <c r="CE115" s="189" t="n">
        <f aca="false">CE104+CE106</f>
        <v>30055.4746666667</v>
      </c>
      <c r="CF115" s="104" t="n">
        <f aca="false">IFERROR(CE115/CE$5,0)</f>
        <v>0.247880203436426</v>
      </c>
      <c r="CH115" s="189" t="n">
        <f aca="false">CH104+CH106</f>
        <v>-541.666666666667</v>
      </c>
      <c r="CI115" s="104" t="n">
        <f aca="false">IFERROR(CH115/CH$5,0)</f>
        <v>0</v>
      </c>
    </row>
    <row r="116" s="128" customFormat="true" ht="14.25" hidden="false" customHeight="true" outlineLevel="0" collapsed="false">
      <c r="B116" s="135"/>
      <c r="C116" s="145"/>
      <c r="D116" s="161"/>
      <c r="E116" s="60"/>
      <c r="F116" s="145"/>
      <c r="G116" s="161"/>
      <c r="H116" s="60"/>
      <c r="I116" s="60"/>
      <c r="J116" s="161"/>
      <c r="K116" s="60"/>
      <c r="L116" s="145"/>
      <c r="M116" s="161"/>
      <c r="N116" s="60"/>
      <c r="O116" s="149"/>
      <c r="P116" s="161"/>
      <c r="Q116" s="60"/>
      <c r="R116" s="145"/>
      <c r="S116" s="161"/>
      <c r="T116" s="60"/>
      <c r="U116" s="149"/>
      <c r="V116" s="161"/>
      <c r="W116" s="60"/>
      <c r="X116" s="145"/>
      <c r="Y116" s="161"/>
      <c r="Z116" s="60"/>
      <c r="AA116" s="149"/>
      <c r="AB116" s="161"/>
      <c r="AC116" s="60"/>
      <c r="AD116" s="145"/>
      <c r="AE116" s="161"/>
      <c r="AF116" s="60"/>
      <c r="AG116" s="149"/>
      <c r="AH116" s="161"/>
      <c r="AI116" s="60"/>
      <c r="AJ116" s="145"/>
      <c r="AK116" s="161"/>
      <c r="AL116" s="60"/>
      <c r="AM116" s="149"/>
      <c r="AN116" s="161"/>
      <c r="AO116" s="60"/>
      <c r="AP116" s="145"/>
      <c r="AQ116" s="161"/>
      <c r="AR116" s="60"/>
      <c r="AS116" s="149"/>
      <c r="AT116" s="161"/>
      <c r="AU116" s="60"/>
      <c r="AV116" s="145"/>
      <c r="AW116" s="161"/>
      <c r="AX116" s="60"/>
      <c r="AY116" s="149"/>
      <c r="AZ116" s="161"/>
      <c r="BA116" s="60"/>
      <c r="BB116" s="145"/>
      <c r="BC116" s="161"/>
      <c r="BD116" s="60"/>
      <c r="BE116" s="149"/>
      <c r="BF116" s="161"/>
      <c r="BG116" s="60"/>
      <c r="BH116" s="145"/>
      <c r="BI116" s="161"/>
      <c r="BJ116" s="60"/>
      <c r="BK116" s="149"/>
      <c r="BL116" s="161"/>
      <c r="BM116" s="60"/>
      <c r="BN116" s="145"/>
      <c r="BO116" s="161"/>
      <c r="BP116" s="60"/>
      <c r="BQ116" s="149"/>
      <c r="BR116" s="161"/>
      <c r="BS116" s="60"/>
      <c r="BT116" s="149"/>
      <c r="BU116" s="161"/>
      <c r="BV116" s="60"/>
      <c r="BW116" s="149"/>
      <c r="BX116" s="161"/>
      <c r="BY116" s="60"/>
      <c r="BZ116" s="145"/>
      <c r="CA116" s="161"/>
      <c r="CB116" s="60"/>
      <c r="CC116" s="149"/>
      <c r="CD116" s="145"/>
      <c r="CE116" s="162"/>
      <c r="CF116" s="60"/>
      <c r="CG116" s="145"/>
      <c r="CH116" s="162"/>
      <c r="CI116" s="60"/>
    </row>
    <row r="117" s="150" customFormat="true" ht="14.25" hidden="false" customHeight="true" outlineLevel="0" collapsed="false">
      <c r="A117" s="126"/>
      <c r="B117" s="195" t="s">
        <v>145</v>
      </c>
      <c r="D117" s="196" t="n">
        <f aca="false">SUM(D118:D128)</f>
        <v>0</v>
      </c>
      <c r="E117" s="120" t="n">
        <f aca="false">IFERROR(D117/D$5,0)</f>
        <v>0</v>
      </c>
      <c r="G117" s="196" t="n">
        <f aca="false">SUM(G118:G128)</f>
        <v>0</v>
      </c>
      <c r="H117" s="120" t="n">
        <f aca="false">IFERROR(G117/G$5,0)</f>
        <v>0</v>
      </c>
      <c r="I117" s="138" t="n">
        <f aca="false">IFERROR((G117/D117)-1,0)</f>
        <v>0</v>
      </c>
      <c r="J117" s="196" t="n">
        <f aca="false">SUM(J118:J128)</f>
        <v>0</v>
      </c>
      <c r="K117" s="120" t="n">
        <f aca="false">IFERROR(J117/J$5,0)</f>
        <v>0</v>
      </c>
      <c r="M117" s="196" t="n">
        <f aca="false">SUM(M118:M128)</f>
        <v>0</v>
      </c>
      <c r="N117" s="120" t="n">
        <f aca="false">IFERROR(M117/M$5,0)</f>
        <v>0</v>
      </c>
      <c r="O117" s="139" t="n">
        <f aca="false">IFERROR((M117/J117)-1,0)</f>
        <v>0</v>
      </c>
      <c r="P117" s="196" t="n">
        <f aca="false">SUM(P118:P128)</f>
        <v>0</v>
      </c>
      <c r="Q117" s="120" t="n">
        <f aca="false">IFERROR(P117/P$5,0)</f>
        <v>0</v>
      </c>
      <c r="S117" s="196" t="n">
        <f aca="false">SUM(S118:S128)</f>
        <v>0</v>
      </c>
      <c r="T117" s="120" t="n">
        <f aca="false">IFERROR(S117/S$5,0)</f>
        <v>0</v>
      </c>
      <c r="U117" s="139" t="n">
        <f aca="false">IFERROR((S117/P117)-1,0)</f>
        <v>0</v>
      </c>
      <c r="V117" s="196" t="n">
        <f aca="false">SUM(V118:V128)</f>
        <v>0</v>
      </c>
      <c r="W117" s="120" t="n">
        <f aca="false">IFERROR(V117/V$5,0)</f>
        <v>0</v>
      </c>
      <c r="Y117" s="196" t="n">
        <f aca="false">SUM(Y118:Y128)</f>
        <v>0</v>
      </c>
      <c r="Z117" s="120" t="n">
        <f aca="false">IFERROR(Y117/Y$5,0)</f>
        <v>0</v>
      </c>
      <c r="AA117" s="139" t="n">
        <f aca="false">IFERROR((Y117/V117)-1,0)</f>
        <v>0</v>
      </c>
      <c r="AB117" s="196" t="n">
        <f aca="false">SUM(AB118:AB128)</f>
        <v>0</v>
      </c>
      <c r="AC117" s="120" t="n">
        <f aca="false">IFERROR(AB117/AB$5,0)</f>
        <v>0</v>
      </c>
      <c r="AE117" s="196" t="n">
        <f aca="false">SUM(AE118:AE128)</f>
        <v>0</v>
      </c>
      <c r="AF117" s="120" t="n">
        <f aca="false">IFERROR(AE117/AE$5,0)</f>
        <v>0</v>
      </c>
      <c r="AG117" s="139" t="n">
        <f aca="false">IFERROR((AE117/AB117)-1,0)</f>
        <v>0</v>
      </c>
      <c r="AH117" s="196" t="n">
        <f aca="false">SUM(AH118:AH128)</f>
        <v>0</v>
      </c>
      <c r="AI117" s="120" t="n">
        <f aca="false">IFERROR(AH117/AH$5,0)</f>
        <v>0</v>
      </c>
      <c r="AK117" s="196" t="n">
        <f aca="false">SUM(AK118:AK128)</f>
        <v>0</v>
      </c>
      <c r="AL117" s="120" t="n">
        <f aca="false">IFERROR(AK117/AK$5,0)</f>
        <v>0</v>
      </c>
      <c r="AM117" s="139" t="n">
        <f aca="false">IFERROR((AK117/AH117)-1,0)</f>
        <v>0</v>
      </c>
      <c r="AN117" s="196" t="n">
        <f aca="false">SUM(AN118:AN128)</f>
        <v>0</v>
      </c>
      <c r="AO117" s="120" t="n">
        <f aca="false">IFERROR(AN117/AN$5,0)</f>
        <v>0</v>
      </c>
      <c r="AQ117" s="196" t="n">
        <f aca="false">SUM(AQ118:AQ128)</f>
        <v>0</v>
      </c>
      <c r="AR117" s="120" t="n">
        <f aca="false">IFERROR(AQ117/AQ$5,0)</f>
        <v>0</v>
      </c>
      <c r="AS117" s="139" t="n">
        <f aca="false">IFERROR((AQ117/AN117)-1,0)</f>
        <v>0</v>
      </c>
      <c r="AT117" s="196" t="n">
        <f aca="false">SUM(AT118:AT128)</f>
        <v>0</v>
      </c>
      <c r="AU117" s="120" t="n">
        <f aca="false">IFERROR(AT117/AT$5,0)</f>
        <v>0</v>
      </c>
      <c r="AW117" s="196" t="n">
        <f aca="false">SUM(AW118:AW128)</f>
        <v>0</v>
      </c>
      <c r="AX117" s="120" t="n">
        <f aca="false">IFERROR(AW117/AW$5,0)</f>
        <v>0</v>
      </c>
      <c r="AY117" s="139" t="n">
        <f aca="false">IFERROR((AW117/AT117)-1,0)</f>
        <v>0</v>
      </c>
      <c r="AZ117" s="196" t="n">
        <f aca="false">SUM(AZ118:AZ128)</f>
        <v>0</v>
      </c>
      <c r="BA117" s="120" t="n">
        <f aca="false">IFERROR(AZ117/AZ$5,0)</f>
        <v>0</v>
      </c>
      <c r="BC117" s="196" t="n">
        <f aca="false">SUM(BC118:BC128)</f>
        <v>0</v>
      </c>
      <c r="BD117" s="120" t="n">
        <f aca="false">IFERROR(BC117/BC$5,0)</f>
        <v>0</v>
      </c>
      <c r="BE117" s="139" t="n">
        <f aca="false">IFERROR((BC117/AZ117)-1,0)</f>
        <v>0</v>
      </c>
      <c r="BF117" s="196" t="n">
        <f aca="false">SUM(BF118:BF128)</f>
        <v>0</v>
      </c>
      <c r="BG117" s="120" t="n">
        <f aca="false">IFERROR(BF117/BF$5,0)</f>
        <v>0</v>
      </c>
      <c r="BI117" s="196" t="n">
        <f aca="false">SUM(BI118:BI128)</f>
        <v>0</v>
      </c>
      <c r="BJ117" s="120" t="n">
        <f aca="false">IFERROR(BI117/BI$5,0)</f>
        <v>0</v>
      </c>
      <c r="BK117" s="139" t="n">
        <f aca="false">IFERROR((BI117/BF117)-1,0)</f>
        <v>0</v>
      </c>
      <c r="BL117" s="196" t="n">
        <f aca="false">SUM(BL118:BL128)</f>
        <v>0</v>
      </c>
      <c r="BM117" s="120" t="n">
        <f aca="false">IFERROR(BL117/BL$5,0)</f>
        <v>0</v>
      </c>
      <c r="BO117" s="196" t="n">
        <f aca="false">SUM(BO118:BO128)</f>
        <v>0</v>
      </c>
      <c r="BP117" s="120" t="n">
        <f aca="false">IFERROR(BO117/BO$5,0)</f>
        <v>0</v>
      </c>
      <c r="BQ117" s="139" t="n">
        <f aca="false">IFERROR((BO117/BL117)-1,0)</f>
        <v>0</v>
      </c>
      <c r="BR117" s="196" t="n">
        <f aca="false">SUM(BR118:BR128)</f>
        <v>0</v>
      </c>
      <c r="BS117" s="120" t="n">
        <f aca="false">IFERROR(BR117/BR$5,0)</f>
        <v>0</v>
      </c>
      <c r="BT117" s="140"/>
      <c r="BU117" s="196" t="n">
        <f aca="false">SUM(BU118:BU128)</f>
        <v>0</v>
      </c>
      <c r="BV117" s="120" t="n">
        <f aca="false">IFERROR(BU117/BU$5,0)</f>
        <v>0</v>
      </c>
      <c r="BW117" s="139" t="n">
        <f aca="false">IFERROR((BU117/BR117)-1,0)</f>
        <v>0</v>
      </c>
      <c r="BX117" s="196" t="n">
        <f aca="false">SUM(BX118:BX128)</f>
        <v>0</v>
      </c>
      <c r="BY117" s="120" t="n">
        <f aca="false">IFERROR(BX117/BX$5,0)</f>
        <v>0</v>
      </c>
      <c r="CA117" s="196" t="n">
        <f aca="false">SUM(CA118:CA128)</f>
        <v>0</v>
      </c>
      <c r="CB117" s="120" t="n">
        <f aca="false">IFERROR(CA117/CA$5,0)</f>
        <v>0</v>
      </c>
      <c r="CC117" s="139" t="n">
        <f aca="false">IFERROR((CA117/BX117)-1,0)</f>
        <v>0</v>
      </c>
      <c r="CE117" s="196" t="n">
        <f aca="false">SUM(CE118:CE128)</f>
        <v>0</v>
      </c>
      <c r="CF117" s="120" t="n">
        <f aca="false">IFERROR(CE117/CE$5,0)</f>
        <v>0</v>
      </c>
      <c r="CH117" s="196" t="n">
        <f aca="false">SUM(CH118:CH128)</f>
        <v>0</v>
      </c>
      <c r="CI117" s="120" t="n">
        <f aca="false">IFERROR(CH117/CH$5,0)</f>
        <v>0</v>
      </c>
    </row>
    <row r="118" customFormat="false" ht="14.25" hidden="false" customHeight="false" outlineLevel="1" collapsed="false">
      <c r="B118" s="193" t="s">
        <v>146</v>
      </c>
      <c r="D118" s="157" t="n">
        <v>0</v>
      </c>
      <c r="E118" s="91" t="n">
        <f aca="false">IFERROR(D118/D$5,0)</f>
        <v>0</v>
      </c>
      <c r="G118" s="157" t="n">
        <f aca="false">SUMIFS('Dados Mov Financeira'!$N:$N,'Dados Mov Financeira'!$O:$O,'DRE 2024'!$B118,'Dados Mov Financeira'!$A:$A,'DRE 2024'!G$1,'Dados Mov Financeira'!$B:$B,'DRE 2024'!G$2)</f>
        <v>0</v>
      </c>
      <c r="H118" s="91" t="n">
        <f aca="false">IFERROR(G118/G$5,0)</f>
        <v>0</v>
      </c>
      <c r="I118" s="138" t="n">
        <f aca="false">IFERROR((G118/D118)-1,0)</f>
        <v>0</v>
      </c>
      <c r="J118" s="157" t="n">
        <v>0</v>
      </c>
      <c r="K118" s="91" t="n">
        <f aca="false">IFERROR(J118/J$5,0)</f>
        <v>0</v>
      </c>
      <c r="M118" s="157" t="n">
        <f aca="false">SUMIFS('Dados Mov Financeira'!$N:$N,'Dados Mov Financeira'!$O:$O,'DRE 2024'!$B118,'Dados Mov Financeira'!$A:$A,'DRE 2024'!M$1,'Dados Mov Financeira'!$B:$B,'DRE 2024'!M$2)</f>
        <v>0</v>
      </c>
      <c r="N118" s="91" t="n">
        <f aca="false">IFERROR(M118/M$5,0)</f>
        <v>0</v>
      </c>
      <c r="O118" s="139" t="n">
        <f aca="false">IFERROR((M118/J118)-1,0)</f>
        <v>0</v>
      </c>
      <c r="P118" s="157" t="n">
        <v>0</v>
      </c>
      <c r="Q118" s="91" t="n">
        <f aca="false">IFERROR(P118/P$5,0)</f>
        <v>0</v>
      </c>
      <c r="S118" s="157" t="n">
        <f aca="false">SUMIFS('Dados Mov Financeira'!$N:$N,'Dados Mov Financeira'!$O:$O,'DRE 2024'!$B118,'Dados Mov Financeira'!$A:$A,'DRE 2024'!S$1,'Dados Mov Financeira'!$B:$B,'DRE 2024'!S$2)</f>
        <v>0</v>
      </c>
      <c r="T118" s="91" t="n">
        <f aca="false">IFERROR(S118/S$5,0)</f>
        <v>0</v>
      </c>
      <c r="U118" s="139" t="n">
        <f aca="false">IFERROR((S118/P118)-1,0)</f>
        <v>0</v>
      </c>
      <c r="V118" s="157" t="n">
        <v>0</v>
      </c>
      <c r="W118" s="91" t="n">
        <f aca="false">IFERROR(V118/V$5,0)</f>
        <v>0</v>
      </c>
      <c r="Y118" s="157" t="n">
        <f aca="false">SUMIFS('Dados Mov Financeira'!$N:$N,'Dados Mov Financeira'!$O:$O,'DRE 2024'!$B118,'Dados Mov Financeira'!$A:$A,'DRE 2024'!Y$1,'Dados Mov Financeira'!$B:$B,'DRE 2024'!Y$2)</f>
        <v>0</v>
      </c>
      <c r="Z118" s="91" t="n">
        <f aca="false">IFERROR(Y118/Y$5,0)</f>
        <v>0</v>
      </c>
      <c r="AA118" s="139" t="n">
        <f aca="false">IFERROR((Y118/V118)-1,0)</f>
        <v>0</v>
      </c>
      <c r="AB118" s="157" t="n">
        <v>0</v>
      </c>
      <c r="AC118" s="91" t="n">
        <f aca="false">IFERROR(AB118/AB$5,0)</f>
        <v>0</v>
      </c>
      <c r="AE118" s="157" t="n">
        <f aca="false">SUMIFS('Dados Mov Financeira'!$N:$N,'Dados Mov Financeira'!$O:$O,'DRE 2024'!$B118,'Dados Mov Financeira'!$A:$A,'DRE 2024'!AE$1,'Dados Mov Financeira'!$B:$B,'DRE 2024'!AE$2)</f>
        <v>0</v>
      </c>
      <c r="AF118" s="91" t="n">
        <f aca="false">IFERROR(AE118/AE$5,0)</f>
        <v>0</v>
      </c>
      <c r="AG118" s="139" t="n">
        <f aca="false">IFERROR((AE118/AB118)-1,0)</f>
        <v>0</v>
      </c>
      <c r="AH118" s="157" t="n">
        <v>0</v>
      </c>
      <c r="AI118" s="91" t="n">
        <f aca="false">IFERROR(AH118/AH$5,0)</f>
        <v>0</v>
      </c>
      <c r="AK118" s="157" t="n">
        <f aca="false">SUMIFS('Dados Mov Financeira'!$N:$N,'Dados Mov Financeira'!$O:$O,'DRE 2024'!$B118,'Dados Mov Financeira'!$A:$A,'DRE 2024'!AK$1,'Dados Mov Financeira'!$B:$B,'DRE 2024'!AK$2)</f>
        <v>0</v>
      </c>
      <c r="AL118" s="91" t="n">
        <f aca="false">IFERROR(AK118/AK$5,0)</f>
        <v>0</v>
      </c>
      <c r="AM118" s="139" t="n">
        <f aca="false">IFERROR((AK118/AH118)-1,0)</f>
        <v>0</v>
      </c>
      <c r="AN118" s="157" t="n">
        <f aca="false">$D118</f>
        <v>0</v>
      </c>
      <c r="AO118" s="91" t="n">
        <f aca="false">IFERROR(AN118/AN$5,0)</f>
        <v>0</v>
      </c>
      <c r="AQ118" s="157" t="n">
        <f aca="false">SUMIFS('Dados Mov Financeira'!$N:$N,'Dados Mov Financeira'!$O:$O,'DRE 2024'!$B118,'Dados Mov Financeira'!$A:$A,'DRE 2024'!AQ$1,'Dados Mov Financeira'!$B:$B,'DRE 2024'!AQ$2)</f>
        <v>0</v>
      </c>
      <c r="AR118" s="91" t="n">
        <f aca="false">IFERROR(AQ118/AQ$5,0)</f>
        <v>0</v>
      </c>
      <c r="AS118" s="139" t="n">
        <f aca="false">IFERROR((AQ118/AN118)-1,0)</f>
        <v>0</v>
      </c>
      <c r="AT118" s="157" t="n">
        <f aca="false">$D118</f>
        <v>0</v>
      </c>
      <c r="AU118" s="91" t="n">
        <f aca="false">IFERROR(AT118/AT$5,0)</f>
        <v>0</v>
      </c>
      <c r="AW118" s="157" t="n">
        <f aca="false">SUMIFS('Dados Mov Financeira'!$N:$N,'Dados Mov Financeira'!$O:$O,'DRE 2024'!$B118,'Dados Mov Financeira'!$A:$A,'DRE 2024'!AW$1,'Dados Mov Financeira'!$B:$B,'DRE 2024'!AW$2)</f>
        <v>0</v>
      </c>
      <c r="AX118" s="91" t="n">
        <f aca="false">IFERROR(AW118/AW$5,0)</f>
        <v>0</v>
      </c>
      <c r="AY118" s="139" t="n">
        <f aca="false">IFERROR((AW118/AT118)-1,0)</f>
        <v>0</v>
      </c>
      <c r="AZ118" s="157" t="n">
        <f aca="false">$D118</f>
        <v>0</v>
      </c>
      <c r="BA118" s="91" t="n">
        <f aca="false">IFERROR(AZ118/AZ$5,0)</f>
        <v>0</v>
      </c>
      <c r="BC118" s="157" t="n">
        <f aca="false">SUMIFS('Dados Mov Financeira'!$N:$N,'Dados Mov Financeira'!$O:$O,'DRE 2024'!$B118,'Dados Mov Financeira'!$A:$A,'DRE 2024'!BC$1,'Dados Mov Financeira'!$B:$B,'DRE 2024'!BC$2)</f>
        <v>0</v>
      </c>
      <c r="BD118" s="91" t="n">
        <f aca="false">IFERROR(BC118/BC$5,0)</f>
        <v>0</v>
      </c>
      <c r="BE118" s="139" t="n">
        <f aca="false">IFERROR((BC118/AZ118)-1,0)</f>
        <v>0</v>
      </c>
      <c r="BF118" s="157" t="n">
        <f aca="false">$D118</f>
        <v>0</v>
      </c>
      <c r="BG118" s="91" t="n">
        <f aca="false">IFERROR(BF118/BF$5,0)</f>
        <v>0</v>
      </c>
      <c r="BI118" s="157" t="n">
        <f aca="false">SUMIFS('Dados Mov Financeira'!$N:$N,'Dados Mov Financeira'!$O:$O,'DRE 2024'!$B118,'Dados Mov Financeira'!$A:$A,'DRE 2024'!BI$1,'Dados Mov Financeira'!$B:$B,'DRE 2024'!BI$2)</f>
        <v>0</v>
      </c>
      <c r="BJ118" s="91" t="n">
        <f aca="false">IFERROR(BI118/BI$5,0)</f>
        <v>0</v>
      </c>
      <c r="BK118" s="139" t="n">
        <f aca="false">IFERROR((BI118/BF118)-1,0)</f>
        <v>0</v>
      </c>
      <c r="BL118" s="157" t="n">
        <f aca="false">$D118</f>
        <v>0</v>
      </c>
      <c r="BM118" s="91" t="n">
        <f aca="false">IFERROR(BL118/BL$5,0)</f>
        <v>0</v>
      </c>
      <c r="BO118" s="157" t="n">
        <f aca="false">SUMIFS('Dados Mov Financeira'!$N:$N,'Dados Mov Financeira'!$O:$O,'DRE 2024'!$B118,'Dados Mov Financeira'!$A:$A,'DRE 2024'!BO$1,'Dados Mov Financeira'!$B:$B,'DRE 2024'!BO$2)</f>
        <v>0</v>
      </c>
      <c r="BP118" s="91" t="n">
        <f aca="false">IFERROR(BO118/BO$5,0)</f>
        <v>0</v>
      </c>
      <c r="BQ118" s="139" t="n">
        <f aca="false">IFERROR((BO118/BL118)-1,0)</f>
        <v>0</v>
      </c>
      <c r="BR118" s="157" t="n">
        <f aca="false">$D118</f>
        <v>0</v>
      </c>
      <c r="BS118" s="91" t="n">
        <f aca="false">IFERROR(BR118/BR$5,0)</f>
        <v>0</v>
      </c>
      <c r="BT118" s="171"/>
      <c r="BU118" s="157" t="n">
        <f aca="false">SUMIFS('Dados Mov Financeira'!$N:$N,'Dados Mov Financeira'!$O:$O,'DRE 2024'!$B118,'Dados Mov Financeira'!$A:$A,'DRE 2024'!BU$1,'Dados Mov Financeira'!$B:$B,'DRE 2024'!BU$2)</f>
        <v>0</v>
      </c>
      <c r="BV118" s="91" t="n">
        <f aca="false">IFERROR(BU118/BU$5,0)</f>
        <v>0</v>
      </c>
      <c r="BW118" s="139" t="n">
        <f aca="false">IFERROR((BU118/BR118)-1,0)</f>
        <v>0</v>
      </c>
      <c r="BX118" s="172" t="n">
        <f aca="false">SUM(D118,J118,P118,V118,AB118,AH118,AN118,AT118,AZ118,BF118,BL118,BR118)</f>
        <v>0</v>
      </c>
      <c r="BY118" s="108" t="n">
        <f aca="false">IFERROR(BX118/BX$5,0)</f>
        <v>0</v>
      </c>
      <c r="CA118" s="172" t="n">
        <f aca="false">SUM(G118,M118,S118,Y118,AE118,AK118,AQ118,AW118,BC118,BI118,BO118,BU118)</f>
        <v>0</v>
      </c>
      <c r="CB118" s="108" t="n">
        <f aca="false">IFERROR(CA118/CA$5,0)</f>
        <v>0</v>
      </c>
      <c r="CC118" s="139" t="n">
        <f aca="false">IFERROR((CA118/BX118)-1,0)</f>
        <v>0</v>
      </c>
      <c r="CE118" s="174" t="n">
        <f aca="false">BX118/$CF$1</f>
        <v>0</v>
      </c>
      <c r="CF118" s="94" t="n">
        <f aca="false">IFERROR(CE118/CE$5,0)</f>
        <v>0</v>
      </c>
      <c r="CH118" s="174" t="n">
        <f aca="false">CA118/$CI$1</f>
        <v>0</v>
      </c>
      <c r="CI118" s="94" t="n">
        <f aca="false">IFERROR(CH118/CH$5,0)</f>
        <v>0</v>
      </c>
    </row>
    <row r="119" customFormat="false" ht="14.25" hidden="false" customHeight="false" outlineLevel="1" collapsed="false">
      <c r="B119" s="169" t="s">
        <v>147</v>
      </c>
      <c r="D119" s="157" t="n">
        <v>0</v>
      </c>
      <c r="E119" s="91" t="n">
        <f aca="false">IFERROR(D119/D$5,0)</f>
        <v>0</v>
      </c>
      <c r="G119" s="157" t="n">
        <f aca="false">SUMIFS('Dados Mov Financeira'!$N:$N,'Dados Mov Financeira'!$O:$O,'DRE 2024'!$B119,'Dados Mov Financeira'!$A:$A,'DRE 2024'!G$1,'Dados Mov Financeira'!$B:$B,'DRE 2024'!G$2)</f>
        <v>0</v>
      </c>
      <c r="H119" s="91" t="n">
        <f aca="false">IFERROR(G119/G$5,0)</f>
        <v>0</v>
      </c>
      <c r="I119" s="138" t="n">
        <f aca="false">IFERROR((G119/D119)-1,0)</f>
        <v>0</v>
      </c>
      <c r="J119" s="157" t="n">
        <v>0</v>
      </c>
      <c r="K119" s="91" t="n">
        <f aca="false">IFERROR(J119/J$5,0)</f>
        <v>0</v>
      </c>
      <c r="M119" s="157" t="n">
        <f aca="false">SUMIFS('Dados Mov Financeira'!$N:$N,'Dados Mov Financeira'!$O:$O,'DRE 2024'!$B119,'Dados Mov Financeira'!$A:$A,'DRE 2024'!M$1,'Dados Mov Financeira'!$B:$B,'DRE 2024'!M$2)</f>
        <v>0</v>
      </c>
      <c r="N119" s="91" t="n">
        <f aca="false">IFERROR(M119/M$5,0)</f>
        <v>0</v>
      </c>
      <c r="O119" s="139" t="n">
        <f aca="false">IFERROR((M119/J119)-1,0)</f>
        <v>0</v>
      </c>
      <c r="P119" s="157" t="n">
        <v>0</v>
      </c>
      <c r="Q119" s="91" t="n">
        <f aca="false">IFERROR(P119/P$5,0)</f>
        <v>0</v>
      </c>
      <c r="S119" s="157" t="n">
        <f aca="false">SUMIFS('Dados Mov Financeira'!$N:$N,'Dados Mov Financeira'!$O:$O,'DRE 2024'!$B119,'Dados Mov Financeira'!$A:$A,'DRE 2024'!S$1,'Dados Mov Financeira'!$B:$B,'DRE 2024'!S$2)</f>
        <v>0</v>
      </c>
      <c r="T119" s="91" t="n">
        <f aca="false">IFERROR(S119/S$5,0)</f>
        <v>0</v>
      </c>
      <c r="U119" s="139" t="n">
        <f aca="false">IFERROR((S119/P119)-1,0)</f>
        <v>0</v>
      </c>
      <c r="V119" s="157" t="n">
        <v>0</v>
      </c>
      <c r="W119" s="91" t="n">
        <f aca="false">IFERROR(V119/V$5,0)</f>
        <v>0</v>
      </c>
      <c r="Y119" s="157" t="n">
        <f aca="false">SUMIFS('Dados Mov Financeira'!$N:$N,'Dados Mov Financeira'!$O:$O,'DRE 2024'!$B119,'Dados Mov Financeira'!$A:$A,'DRE 2024'!Y$1,'Dados Mov Financeira'!$B:$B,'DRE 2024'!Y$2)</f>
        <v>0</v>
      </c>
      <c r="Z119" s="91" t="n">
        <f aca="false">IFERROR(Y119/Y$5,0)</f>
        <v>0</v>
      </c>
      <c r="AA119" s="139" t="n">
        <f aca="false">IFERROR((Y119/V119)-1,0)</f>
        <v>0</v>
      </c>
      <c r="AB119" s="157" t="n">
        <v>0</v>
      </c>
      <c r="AC119" s="91" t="n">
        <f aca="false">IFERROR(AB119/AB$5,0)</f>
        <v>0</v>
      </c>
      <c r="AE119" s="157" t="n">
        <f aca="false">SUMIFS('Dados Mov Financeira'!$N:$N,'Dados Mov Financeira'!$O:$O,'DRE 2024'!$B119,'Dados Mov Financeira'!$A:$A,'DRE 2024'!AE$1,'Dados Mov Financeira'!$B:$B,'DRE 2024'!AE$2)</f>
        <v>0</v>
      </c>
      <c r="AF119" s="91" t="n">
        <f aca="false">IFERROR(AE119/AE$5,0)</f>
        <v>0</v>
      </c>
      <c r="AG119" s="139" t="n">
        <f aca="false">IFERROR((AE119/AB119)-1,0)</f>
        <v>0</v>
      </c>
      <c r="AH119" s="157" t="n">
        <v>0</v>
      </c>
      <c r="AI119" s="91" t="n">
        <f aca="false">IFERROR(AH119/AH$5,0)</f>
        <v>0</v>
      </c>
      <c r="AK119" s="157" t="n">
        <f aca="false">SUMIFS('Dados Mov Financeira'!$N:$N,'Dados Mov Financeira'!$O:$O,'DRE 2024'!$B119,'Dados Mov Financeira'!$A:$A,'DRE 2024'!AK$1,'Dados Mov Financeira'!$B:$B,'DRE 2024'!AK$2)</f>
        <v>0</v>
      </c>
      <c r="AL119" s="91" t="n">
        <f aca="false">IFERROR(AK119/AK$5,0)</f>
        <v>0</v>
      </c>
      <c r="AM119" s="139" t="n">
        <f aca="false">IFERROR((AK119/AH119)-1,0)</f>
        <v>0</v>
      </c>
      <c r="AN119" s="157" t="n">
        <f aca="false">$D119</f>
        <v>0</v>
      </c>
      <c r="AO119" s="91" t="n">
        <f aca="false">IFERROR(AN119/AN$5,0)</f>
        <v>0</v>
      </c>
      <c r="AQ119" s="157" t="n">
        <f aca="false">SUMIFS('Dados Mov Financeira'!$N:$N,'Dados Mov Financeira'!$O:$O,'DRE 2024'!$B119,'Dados Mov Financeira'!$A:$A,'DRE 2024'!AQ$1,'Dados Mov Financeira'!$B:$B,'DRE 2024'!AQ$2)</f>
        <v>0</v>
      </c>
      <c r="AR119" s="91" t="n">
        <f aca="false">IFERROR(AQ119/AQ$5,0)</f>
        <v>0</v>
      </c>
      <c r="AS119" s="139" t="n">
        <f aca="false">IFERROR((AQ119/AN119)-1,0)</f>
        <v>0</v>
      </c>
      <c r="AT119" s="157" t="n">
        <f aca="false">$D119</f>
        <v>0</v>
      </c>
      <c r="AU119" s="91" t="n">
        <f aca="false">IFERROR(AT119/AT$5,0)</f>
        <v>0</v>
      </c>
      <c r="AW119" s="157" t="n">
        <f aca="false">SUMIFS('Dados Mov Financeira'!$N:$N,'Dados Mov Financeira'!$O:$O,'DRE 2024'!$B119,'Dados Mov Financeira'!$A:$A,'DRE 2024'!AW$1,'Dados Mov Financeira'!$B:$B,'DRE 2024'!AW$2)</f>
        <v>0</v>
      </c>
      <c r="AX119" s="91" t="n">
        <f aca="false">IFERROR(AW119/AW$5,0)</f>
        <v>0</v>
      </c>
      <c r="AY119" s="139" t="n">
        <f aca="false">IFERROR((AW119/AT119)-1,0)</f>
        <v>0</v>
      </c>
      <c r="AZ119" s="157" t="n">
        <f aca="false">$D119</f>
        <v>0</v>
      </c>
      <c r="BA119" s="91" t="n">
        <f aca="false">IFERROR(AZ119/AZ$5,0)</f>
        <v>0</v>
      </c>
      <c r="BC119" s="157" t="n">
        <f aca="false">SUMIFS('Dados Mov Financeira'!$N:$N,'Dados Mov Financeira'!$O:$O,'DRE 2024'!$B119,'Dados Mov Financeira'!$A:$A,'DRE 2024'!BC$1,'Dados Mov Financeira'!$B:$B,'DRE 2024'!BC$2)</f>
        <v>0</v>
      </c>
      <c r="BD119" s="91" t="n">
        <f aca="false">IFERROR(BC119/BC$5,0)</f>
        <v>0</v>
      </c>
      <c r="BE119" s="139" t="n">
        <f aca="false">IFERROR((BC119/AZ119)-1,0)</f>
        <v>0</v>
      </c>
      <c r="BF119" s="157" t="n">
        <f aca="false">$D119</f>
        <v>0</v>
      </c>
      <c r="BG119" s="91" t="n">
        <f aca="false">IFERROR(BF119/BF$5,0)</f>
        <v>0</v>
      </c>
      <c r="BI119" s="157" t="n">
        <f aca="false">SUMIFS('Dados Mov Financeira'!$N:$N,'Dados Mov Financeira'!$O:$O,'DRE 2024'!$B119,'Dados Mov Financeira'!$A:$A,'DRE 2024'!BI$1,'Dados Mov Financeira'!$B:$B,'DRE 2024'!BI$2)</f>
        <v>0</v>
      </c>
      <c r="BJ119" s="91" t="n">
        <f aca="false">IFERROR(BI119/BI$5,0)</f>
        <v>0</v>
      </c>
      <c r="BK119" s="139" t="n">
        <f aca="false">IFERROR((BI119/BF119)-1,0)</f>
        <v>0</v>
      </c>
      <c r="BL119" s="157" t="n">
        <f aca="false">$D119</f>
        <v>0</v>
      </c>
      <c r="BM119" s="91" t="n">
        <f aca="false">IFERROR(BL119/BL$5,0)</f>
        <v>0</v>
      </c>
      <c r="BO119" s="157" t="n">
        <f aca="false">SUMIFS('Dados Mov Financeira'!$N:$N,'Dados Mov Financeira'!$O:$O,'DRE 2024'!$B119,'Dados Mov Financeira'!$A:$A,'DRE 2024'!BO$1,'Dados Mov Financeira'!$B:$B,'DRE 2024'!BO$2)</f>
        <v>0</v>
      </c>
      <c r="BP119" s="91" t="n">
        <f aca="false">IFERROR(BO119/BO$5,0)</f>
        <v>0</v>
      </c>
      <c r="BQ119" s="139" t="n">
        <f aca="false">IFERROR((BO119/BL119)-1,0)</f>
        <v>0</v>
      </c>
      <c r="BR119" s="157" t="n">
        <f aca="false">$D119</f>
        <v>0</v>
      </c>
      <c r="BS119" s="91" t="n">
        <f aca="false">IFERROR(BR119/BR$5,0)</f>
        <v>0</v>
      </c>
      <c r="BT119" s="171"/>
      <c r="BU119" s="157" t="n">
        <f aca="false">SUMIFS('Dados Mov Financeira'!$N:$N,'Dados Mov Financeira'!$O:$O,'DRE 2024'!$B119,'Dados Mov Financeira'!$A:$A,'DRE 2024'!BU$1,'Dados Mov Financeira'!$B:$B,'DRE 2024'!BU$2)</f>
        <v>0</v>
      </c>
      <c r="BV119" s="91" t="n">
        <f aca="false">IFERROR(BU119/BU$5,0)</f>
        <v>0</v>
      </c>
      <c r="BW119" s="139" t="n">
        <f aca="false">IFERROR((BU119/BR119)-1,0)</f>
        <v>0</v>
      </c>
      <c r="BX119" s="172" t="n">
        <f aca="false">SUM(D119,J119,P119,V119,AB119,AH119,AN119,AT119,AZ119,BF119,BL119,BR119)</f>
        <v>0</v>
      </c>
      <c r="BY119" s="108" t="n">
        <f aca="false">IFERROR(BX119/BX$5,0)</f>
        <v>0</v>
      </c>
      <c r="CA119" s="172" t="n">
        <f aca="false">SUM(G119,M119,S119,Y119,AE119,AK119,AQ119,AW119,BC119,BI119,BO119,BU119)</f>
        <v>0</v>
      </c>
      <c r="CB119" s="108" t="n">
        <f aca="false">IFERROR(CA119/CA$5,0)</f>
        <v>0</v>
      </c>
      <c r="CC119" s="139" t="n">
        <f aca="false">IFERROR((CA119/BX119)-1,0)</f>
        <v>0</v>
      </c>
      <c r="CE119" s="174" t="n">
        <f aca="false">BX119/$CF$1</f>
        <v>0</v>
      </c>
      <c r="CF119" s="94" t="n">
        <f aca="false">IFERROR(CE119/CE$5,0)</f>
        <v>0</v>
      </c>
      <c r="CH119" s="174" t="n">
        <f aca="false">CA119/$CI$1</f>
        <v>0</v>
      </c>
      <c r="CI119" s="94" t="n">
        <f aca="false">IFERROR(CH119/CH$5,0)</f>
        <v>0</v>
      </c>
    </row>
    <row r="120" customFormat="false" ht="14.25" hidden="false" customHeight="false" outlineLevel="1" collapsed="false">
      <c r="B120" s="169" t="s">
        <v>150</v>
      </c>
      <c r="D120" s="157" t="n">
        <v>0</v>
      </c>
      <c r="E120" s="91" t="n">
        <f aca="false">IFERROR(D120/D$5,0)</f>
        <v>0</v>
      </c>
      <c r="G120" s="157" t="n">
        <f aca="false">SUMIFS('Dados Mov Financeira'!$N:$N,'Dados Mov Financeira'!$O:$O,'DRE 2024'!$B120,'Dados Mov Financeira'!$A:$A,'DRE 2024'!G$1,'Dados Mov Financeira'!$B:$B,'DRE 2024'!G$2)</f>
        <v>0</v>
      </c>
      <c r="H120" s="91" t="n">
        <f aca="false">IFERROR(G120/G$5,0)</f>
        <v>0</v>
      </c>
      <c r="I120" s="138" t="n">
        <f aca="false">IFERROR((G120/D120)-1,0)</f>
        <v>0</v>
      </c>
      <c r="J120" s="157" t="n">
        <v>0</v>
      </c>
      <c r="K120" s="91" t="n">
        <f aca="false">IFERROR(J120/J$5,0)</f>
        <v>0</v>
      </c>
      <c r="M120" s="157" t="n">
        <f aca="false">SUMIFS('Dados Mov Financeira'!$N:$N,'Dados Mov Financeira'!$O:$O,'DRE 2024'!$B120,'Dados Mov Financeira'!$A:$A,'DRE 2024'!M$1,'Dados Mov Financeira'!$B:$B,'DRE 2024'!M$2)</f>
        <v>0</v>
      </c>
      <c r="N120" s="91" t="n">
        <f aca="false">IFERROR(M120/M$5,0)</f>
        <v>0</v>
      </c>
      <c r="O120" s="139" t="n">
        <f aca="false">IFERROR((M120/J120)-1,0)</f>
        <v>0</v>
      </c>
      <c r="P120" s="157" t="n">
        <v>0</v>
      </c>
      <c r="Q120" s="91" t="n">
        <f aca="false">IFERROR(P120/P$5,0)</f>
        <v>0</v>
      </c>
      <c r="S120" s="157" t="n">
        <f aca="false">SUMIFS('Dados Mov Financeira'!$N:$N,'Dados Mov Financeira'!$O:$O,'DRE 2024'!$B120,'Dados Mov Financeira'!$A:$A,'DRE 2024'!S$1,'Dados Mov Financeira'!$B:$B,'DRE 2024'!S$2)</f>
        <v>0</v>
      </c>
      <c r="T120" s="91" t="n">
        <f aca="false">IFERROR(S120/S$5,0)</f>
        <v>0</v>
      </c>
      <c r="U120" s="139" t="n">
        <f aca="false">IFERROR((S120/P120)-1,0)</f>
        <v>0</v>
      </c>
      <c r="V120" s="157" t="n">
        <v>0</v>
      </c>
      <c r="W120" s="91" t="n">
        <f aca="false">IFERROR(V120/V$5,0)</f>
        <v>0</v>
      </c>
      <c r="Y120" s="157" t="n">
        <f aca="false">SUMIFS('Dados Mov Financeira'!$N:$N,'Dados Mov Financeira'!$O:$O,'DRE 2024'!$B120,'Dados Mov Financeira'!$A:$A,'DRE 2024'!Y$1,'Dados Mov Financeira'!$B:$B,'DRE 2024'!Y$2)</f>
        <v>0</v>
      </c>
      <c r="Z120" s="91" t="n">
        <f aca="false">IFERROR(Y120/Y$5,0)</f>
        <v>0</v>
      </c>
      <c r="AA120" s="139" t="n">
        <f aca="false">IFERROR((Y120/V120)-1,0)</f>
        <v>0</v>
      </c>
      <c r="AB120" s="157" t="n">
        <v>0</v>
      </c>
      <c r="AC120" s="91" t="n">
        <f aca="false">IFERROR(AB120/AB$5,0)</f>
        <v>0</v>
      </c>
      <c r="AE120" s="157" t="n">
        <f aca="false">SUMIFS('Dados Mov Financeira'!$N:$N,'Dados Mov Financeira'!$O:$O,'DRE 2024'!$B120,'Dados Mov Financeira'!$A:$A,'DRE 2024'!AE$1,'Dados Mov Financeira'!$B:$B,'DRE 2024'!AE$2)</f>
        <v>0</v>
      </c>
      <c r="AF120" s="91" t="n">
        <f aca="false">IFERROR(AE120/AE$5,0)</f>
        <v>0</v>
      </c>
      <c r="AG120" s="139" t="n">
        <f aca="false">IFERROR((AE120/AB120)-1,0)</f>
        <v>0</v>
      </c>
      <c r="AH120" s="157" t="n">
        <v>0</v>
      </c>
      <c r="AI120" s="91" t="n">
        <f aca="false">IFERROR(AH120/AH$5,0)</f>
        <v>0</v>
      </c>
      <c r="AK120" s="157" t="n">
        <f aca="false">SUMIFS('Dados Mov Financeira'!$N:$N,'Dados Mov Financeira'!$O:$O,'DRE 2024'!$B120,'Dados Mov Financeira'!$A:$A,'DRE 2024'!AK$1,'Dados Mov Financeira'!$B:$B,'DRE 2024'!AK$2)</f>
        <v>0</v>
      </c>
      <c r="AL120" s="91" t="n">
        <f aca="false">IFERROR(AK120/AK$5,0)</f>
        <v>0</v>
      </c>
      <c r="AM120" s="139" t="n">
        <f aca="false">IFERROR((AK120/AH120)-1,0)</f>
        <v>0</v>
      </c>
      <c r="AN120" s="157" t="n">
        <f aca="false">$D120</f>
        <v>0</v>
      </c>
      <c r="AO120" s="91" t="n">
        <f aca="false">IFERROR(AN120/AN$5,0)</f>
        <v>0</v>
      </c>
      <c r="AQ120" s="157" t="n">
        <f aca="false">SUMIFS('Dados Mov Financeira'!$N:$N,'Dados Mov Financeira'!$O:$O,'DRE 2024'!$B120,'Dados Mov Financeira'!$A:$A,'DRE 2024'!AQ$1,'Dados Mov Financeira'!$B:$B,'DRE 2024'!AQ$2)</f>
        <v>0</v>
      </c>
      <c r="AR120" s="91" t="n">
        <f aca="false">IFERROR(AQ120/AQ$5,0)</f>
        <v>0</v>
      </c>
      <c r="AS120" s="139" t="n">
        <f aca="false">IFERROR((AQ120/AN120)-1,0)</f>
        <v>0</v>
      </c>
      <c r="AT120" s="157" t="n">
        <f aca="false">$D120</f>
        <v>0</v>
      </c>
      <c r="AU120" s="91" t="n">
        <f aca="false">IFERROR(AT120/AT$5,0)</f>
        <v>0</v>
      </c>
      <c r="AW120" s="157" t="n">
        <f aca="false">SUMIFS('Dados Mov Financeira'!$N:$N,'Dados Mov Financeira'!$O:$O,'DRE 2024'!$B120,'Dados Mov Financeira'!$A:$A,'DRE 2024'!AW$1,'Dados Mov Financeira'!$B:$B,'DRE 2024'!AW$2)</f>
        <v>0</v>
      </c>
      <c r="AX120" s="91" t="n">
        <f aca="false">IFERROR(AW120/AW$5,0)</f>
        <v>0</v>
      </c>
      <c r="AY120" s="139" t="n">
        <f aca="false">IFERROR((AW120/AT120)-1,0)</f>
        <v>0</v>
      </c>
      <c r="AZ120" s="157" t="n">
        <f aca="false">$D120</f>
        <v>0</v>
      </c>
      <c r="BA120" s="91" t="n">
        <f aca="false">IFERROR(AZ120/AZ$5,0)</f>
        <v>0</v>
      </c>
      <c r="BC120" s="157" t="n">
        <f aca="false">SUMIFS('Dados Mov Financeira'!$N:$N,'Dados Mov Financeira'!$O:$O,'DRE 2024'!$B120,'Dados Mov Financeira'!$A:$A,'DRE 2024'!BC$1,'Dados Mov Financeira'!$B:$B,'DRE 2024'!BC$2)</f>
        <v>0</v>
      </c>
      <c r="BD120" s="91" t="n">
        <f aca="false">IFERROR(BC120/BC$5,0)</f>
        <v>0</v>
      </c>
      <c r="BE120" s="139" t="n">
        <f aca="false">IFERROR((BC120/AZ120)-1,0)</f>
        <v>0</v>
      </c>
      <c r="BF120" s="157" t="n">
        <f aca="false">$D120</f>
        <v>0</v>
      </c>
      <c r="BG120" s="91" t="n">
        <f aca="false">IFERROR(BF120/BF$5,0)</f>
        <v>0</v>
      </c>
      <c r="BI120" s="157" t="n">
        <f aca="false">SUMIFS('Dados Mov Financeira'!$N:$N,'Dados Mov Financeira'!$O:$O,'DRE 2024'!$B120,'Dados Mov Financeira'!$A:$A,'DRE 2024'!BI$1,'Dados Mov Financeira'!$B:$B,'DRE 2024'!BI$2)</f>
        <v>0</v>
      </c>
      <c r="BJ120" s="91" t="n">
        <f aca="false">IFERROR(BI120/BI$5,0)</f>
        <v>0</v>
      </c>
      <c r="BK120" s="139" t="n">
        <f aca="false">IFERROR((BI120/BF120)-1,0)</f>
        <v>0</v>
      </c>
      <c r="BL120" s="157" t="n">
        <f aca="false">$D120</f>
        <v>0</v>
      </c>
      <c r="BM120" s="91" t="n">
        <f aca="false">IFERROR(BL120/BL$5,0)</f>
        <v>0</v>
      </c>
      <c r="BO120" s="157" t="n">
        <f aca="false">SUMIFS('Dados Mov Financeira'!$N:$N,'Dados Mov Financeira'!$O:$O,'DRE 2024'!$B120,'Dados Mov Financeira'!$A:$A,'DRE 2024'!BO$1,'Dados Mov Financeira'!$B:$B,'DRE 2024'!BO$2)</f>
        <v>0</v>
      </c>
      <c r="BP120" s="91" t="n">
        <f aca="false">IFERROR(BO120/BO$5,0)</f>
        <v>0</v>
      </c>
      <c r="BQ120" s="139" t="n">
        <f aca="false">IFERROR((BO120/BL120)-1,0)</f>
        <v>0</v>
      </c>
      <c r="BR120" s="157" t="n">
        <f aca="false">$D120</f>
        <v>0</v>
      </c>
      <c r="BS120" s="91" t="n">
        <f aca="false">IFERROR(BR120/BR$5,0)</f>
        <v>0</v>
      </c>
      <c r="BT120" s="171"/>
      <c r="BU120" s="157" t="n">
        <f aca="false">SUMIFS('Dados Mov Financeira'!$N:$N,'Dados Mov Financeira'!$O:$O,'DRE 2024'!$B120,'Dados Mov Financeira'!$A:$A,'DRE 2024'!BU$1,'Dados Mov Financeira'!$B:$B,'DRE 2024'!BU$2)</f>
        <v>0</v>
      </c>
      <c r="BV120" s="91" t="n">
        <f aca="false">IFERROR(BU120/BU$5,0)</f>
        <v>0</v>
      </c>
      <c r="BW120" s="139" t="n">
        <f aca="false">IFERROR((BU120/BR120)-1,0)</f>
        <v>0</v>
      </c>
      <c r="BX120" s="172" t="n">
        <f aca="false">SUM(D120,J120,P120,V120,AB120,AH120,AN120,AT120,AZ120,BF120,BL120,BR120)</f>
        <v>0</v>
      </c>
      <c r="BY120" s="108" t="n">
        <f aca="false">IFERROR(BX120/BX$5,0)</f>
        <v>0</v>
      </c>
      <c r="CA120" s="172" t="n">
        <f aca="false">SUM(G120,M120,S120,Y120,AE120,AK120,AQ120,AW120,BC120,BI120,BO120,BU120)</f>
        <v>0</v>
      </c>
      <c r="CB120" s="108" t="n">
        <f aca="false">IFERROR(CA120/CA$5,0)</f>
        <v>0</v>
      </c>
      <c r="CC120" s="139" t="n">
        <f aca="false">IFERROR((CA120/BX120)-1,0)</f>
        <v>0</v>
      </c>
      <c r="CE120" s="174" t="n">
        <f aca="false">BX120/$CF$1</f>
        <v>0</v>
      </c>
      <c r="CF120" s="94" t="n">
        <f aca="false">IFERROR(CE120/CE$5,0)</f>
        <v>0</v>
      </c>
      <c r="CH120" s="174" t="n">
        <f aca="false">CA120/$CI$1</f>
        <v>0</v>
      </c>
      <c r="CI120" s="94" t="n">
        <f aca="false">IFERROR(CH120/CH$5,0)</f>
        <v>0</v>
      </c>
    </row>
    <row r="121" customFormat="false" ht="14.25" hidden="false" customHeight="false" outlineLevel="1" collapsed="false">
      <c r="B121" s="169" t="s">
        <v>152</v>
      </c>
      <c r="D121" s="157" t="n">
        <v>0</v>
      </c>
      <c r="E121" s="91" t="n">
        <f aca="false">IFERROR(D121/D$5,0)</f>
        <v>0</v>
      </c>
      <c r="G121" s="157" t="n">
        <f aca="false">SUMIFS('Dados Mov Financeira'!$N:$N,'Dados Mov Financeira'!$O:$O,'DRE 2024'!$B121,'Dados Mov Financeira'!$A:$A,'DRE 2024'!G$1,'Dados Mov Financeira'!$B:$B,'DRE 2024'!G$2)</f>
        <v>0</v>
      </c>
      <c r="H121" s="91" t="n">
        <f aca="false">IFERROR(G121/G$5,0)</f>
        <v>0</v>
      </c>
      <c r="I121" s="138" t="n">
        <f aca="false">IFERROR((G121/D121)-1,0)</f>
        <v>0</v>
      </c>
      <c r="J121" s="157" t="n">
        <v>0</v>
      </c>
      <c r="K121" s="91" t="n">
        <f aca="false">IFERROR(J121/J$5,0)</f>
        <v>0</v>
      </c>
      <c r="M121" s="157" t="n">
        <f aca="false">SUMIFS('Dados Mov Financeira'!$N:$N,'Dados Mov Financeira'!$O:$O,'DRE 2024'!$B121,'Dados Mov Financeira'!$A:$A,'DRE 2024'!M$1,'Dados Mov Financeira'!$B:$B,'DRE 2024'!M$2)</f>
        <v>0</v>
      </c>
      <c r="N121" s="91" t="n">
        <f aca="false">IFERROR(M121/M$5,0)</f>
        <v>0</v>
      </c>
      <c r="O121" s="139" t="n">
        <f aca="false">IFERROR((M121/J121)-1,0)</f>
        <v>0</v>
      </c>
      <c r="P121" s="157" t="n">
        <v>0</v>
      </c>
      <c r="Q121" s="91" t="n">
        <f aca="false">IFERROR(P121/P$5,0)</f>
        <v>0</v>
      </c>
      <c r="S121" s="157" t="n">
        <f aca="false">SUMIFS('Dados Mov Financeira'!$N:$N,'Dados Mov Financeira'!$O:$O,'DRE 2024'!$B121,'Dados Mov Financeira'!$A:$A,'DRE 2024'!S$1,'Dados Mov Financeira'!$B:$B,'DRE 2024'!S$2)</f>
        <v>0</v>
      </c>
      <c r="T121" s="91" t="n">
        <f aca="false">IFERROR(S121/S$5,0)</f>
        <v>0</v>
      </c>
      <c r="U121" s="139" t="n">
        <f aca="false">IFERROR((S121/P121)-1,0)</f>
        <v>0</v>
      </c>
      <c r="V121" s="157" t="n">
        <v>0</v>
      </c>
      <c r="W121" s="91" t="n">
        <f aca="false">IFERROR(V121/V$5,0)</f>
        <v>0</v>
      </c>
      <c r="Y121" s="157" t="n">
        <f aca="false">SUMIFS('Dados Mov Financeira'!$N:$N,'Dados Mov Financeira'!$O:$O,'DRE 2024'!$B121,'Dados Mov Financeira'!$A:$A,'DRE 2024'!Y$1,'Dados Mov Financeira'!$B:$B,'DRE 2024'!Y$2)</f>
        <v>0</v>
      </c>
      <c r="Z121" s="91" t="n">
        <f aca="false">IFERROR(Y121/Y$5,0)</f>
        <v>0</v>
      </c>
      <c r="AA121" s="139" t="n">
        <f aca="false">IFERROR((Y121/V121)-1,0)</f>
        <v>0</v>
      </c>
      <c r="AB121" s="157" t="n">
        <v>0</v>
      </c>
      <c r="AC121" s="91" t="n">
        <f aca="false">IFERROR(AB121/AB$5,0)</f>
        <v>0</v>
      </c>
      <c r="AE121" s="173" t="n">
        <f aca="false">SUMIFS('Dados Mov Financeira'!$N:$N,'Dados Mov Financeira'!$O:$O,'DRE 2024'!$B121,'Dados Mov Financeira'!$A:$A,'DRE 2024'!AE$1,'Dados Mov Financeira'!$B:$B,'DRE 2024'!AE$2)</f>
        <v>0</v>
      </c>
      <c r="AF121" s="91" t="n">
        <f aca="false">IFERROR(AE121/AE$5,0)</f>
        <v>0</v>
      </c>
      <c r="AG121" s="139" t="n">
        <f aca="false">IFERROR((AE121/AB121)-1,0)</f>
        <v>0</v>
      </c>
      <c r="AH121" s="157" t="n">
        <v>0</v>
      </c>
      <c r="AI121" s="91" t="n">
        <f aca="false">IFERROR(AH121/AH$5,0)</f>
        <v>0</v>
      </c>
      <c r="AK121" s="173" t="n">
        <f aca="false">SUMIFS('Dados Mov Financeira'!$N:$N,'Dados Mov Financeira'!$O:$O,'DRE 2024'!$B121,'Dados Mov Financeira'!$A:$A,'DRE 2024'!AK$1,'Dados Mov Financeira'!$B:$B,'DRE 2024'!AK$2)</f>
        <v>0</v>
      </c>
      <c r="AL121" s="91" t="n">
        <f aca="false">IFERROR(AK121/AK$5,0)</f>
        <v>0</v>
      </c>
      <c r="AM121" s="139" t="n">
        <f aca="false">IFERROR((AK121/AH121)-1,0)</f>
        <v>0</v>
      </c>
      <c r="AN121" s="157" t="n">
        <f aca="false">$D121</f>
        <v>0</v>
      </c>
      <c r="AO121" s="91" t="n">
        <f aca="false">IFERROR(AN121/AN$5,0)</f>
        <v>0</v>
      </c>
      <c r="AQ121" s="173" t="n">
        <f aca="false">SUMIFS('Dados Mov Financeira'!$N:$N,'Dados Mov Financeira'!$O:$O,'DRE 2024'!$B121,'Dados Mov Financeira'!$A:$A,'DRE 2024'!AQ$1,'Dados Mov Financeira'!$B:$B,'DRE 2024'!AQ$2)</f>
        <v>0</v>
      </c>
      <c r="AR121" s="91" t="n">
        <f aca="false">IFERROR(AQ121/AQ$5,0)</f>
        <v>0</v>
      </c>
      <c r="AS121" s="139" t="n">
        <f aca="false">IFERROR((AQ121/AN121)-1,0)</f>
        <v>0</v>
      </c>
      <c r="AT121" s="157" t="n">
        <f aca="false">$D121</f>
        <v>0</v>
      </c>
      <c r="AU121" s="91" t="n">
        <f aca="false">IFERROR(AT121/AT$5,0)</f>
        <v>0</v>
      </c>
      <c r="AW121" s="173" t="n">
        <f aca="false">SUMIFS('Dados Mov Financeira'!$N:$N,'Dados Mov Financeira'!$O:$O,'DRE 2024'!$B121,'Dados Mov Financeira'!$A:$A,'DRE 2024'!AW$1,'Dados Mov Financeira'!$B:$B,'DRE 2024'!AW$2)</f>
        <v>0</v>
      </c>
      <c r="AX121" s="91" t="n">
        <f aca="false">IFERROR(AW121/AW$5,0)</f>
        <v>0</v>
      </c>
      <c r="AY121" s="139" t="n">
        <f aca="false">IFERROR((AW121/AT121)-1,0)</f>
        <v>0</v>
      </c>
      <c r="AZ121" s="157" t="n">
        <f aca="false">$D121</f>
        <v>0</v>
      </c>
      <c r="BA121" s="91" t="n">
        <f aca="false">IFERROR(AZ121/AZ$5,0)</f>
        <v>0</v>
      </c>
      <c r="BC121" s="173" t="n">
        <f aca="false">SUMIFS('Dados Mov Financeira'!$N:$N,'Dados Mov Financeira'!$O:$O,'DRE 2024'!$B121,'Dados Mov Financeira'!$A:$A,'DRE 2024'!BC$1,'Dados Mov Financeira'!$B:$B,'DRE 2024'!BC$2)</f>
        <v>0</v>
      </c>
      <c r="BD121" s="91" t="n">
        <f aca="false">IFERROR(BC121/BC$5,0)</f>
        <v>0</v>
      </c>
      <c r="BE121" s="139" t="n">
        <f aca="false">IFERROR((BC121/AZ121)-1,0)</f>
        <v>0</v>
      </c>
      <c r="BF121" s="157" t="n">
        <f aca="false">$D121</f>
        <v>0</v>
      </c>
      <c r="BG121" s="91" t="n">
        <f aca="false">IFERROR(BF121/BF$5,0)</f>
        <v>0</v>
      </c>
      <c r="BI121" s="173" t="n">
        <f aca="false">SUMIFS('Dados Mov Financeira'!$N:$N,'Dados Mov Financeira'!$O:$O,'DRE 2024'!$B121,'Dados Mov Financeira'!$A:$A,'DRE 2024'!BI$1,'Dados Mov Financeira'!$B:$B,'DRE 2024'!BI$2)</f>
        <v>0</v>
      </c>
      <c r="BJ121" s="91" t="n">
        <f aca="false">IFERROR(BI121/BI$5,0)</f>
        <v>0</v>
      </c>
      <c r="BK121" s="139" t="n">
        <f aca="false">IFERROR((BI121/BF121)-1,0)</f>
        <v>0</v>
      </c>
      <c r="BL121" s="157" t="n">
        <f aca="false">$D121</f>
        <v>0</v>
      </c>
      <c r="BM121" s="91" t="n">
        <f aca="false">IFERROR(BL121/BL$5,0)</f>
        <v>0</v>
      </c>
      <c r="BO121" s="173" t="n">
        <f aca="false">SUMIFS('Dados Mov Financeira'!$N:$N,'Dados Mov Financeira'!$O:$O,'DRE 2024'!$B121,'Dados Mov Financeira'!$A:$A,'DRE 2024'!BO$1,'Dados Mov Financeira'!$B:$B,'DRE 2024'!BO$2)</f>
        <v>0</v>
      </c>
      <c r="BP121" s="91" t="n">
        <f aca="false">IFERROR(BO121/BO$5,0)</f>
        <v>0</v>
      </c>
      <c r="BQ121" s="139" t="n">
        <f aca="false">IFERROR((BO121/BL121)-1,0)</f>
        <v>0</v>
      </c>
      <c r="BR121" s="157" t="n">
        <f aca="false">$D121</f>
        <v>0</v>
      </c>
      <c r="BS121" s="91" t="n">
        <f aca="false">IFERROR(BR121/BR$5,0)</f>
        <v>0</v>
      </c>
      <c r="BT121" s="171"/>
      <c r="BU121" s="173" t="n">
        <f aca="false">SUMIFS('Dados Mov Financeira'!$N:$N,'Dados Mov Financeira'!$O:$O,'DRE 2024'!$B121,'Dados Mov Financeira'!$A:$A,'DRE 2024'!BU$1,'Dados Mov Financeira'!$B:$B,'DRE 2024'!BU$2)</f>
        <v>0</v>
      </c>
      <c r="BV121" s="91" t="n">
        <f aca="false">IFERROR(BU121/BU$5,0)</f>
        <v>0</v>
      </c>
      <c r="BW121" s="139" t="n">
        <f aca="false">IFERROR((BU121/BR121)-1,0)</f>
        <v>0</v>
      </c>
      <c r="BX121" s="172" t="n">
        <f aca="false">SUM(D121,J121,P121,V121,AB121,AH121,AN121,AT121,AZ121,BF121,BL121,BR121)</f>
        <v>0</v>
      </c>
      <c r="BY121" s="108" t="n">
        <f aca="false">IFERROR(BX121/BX$5,0)</f>
        <v>0</v>
      </c>
      <c r="CA121" s="172" t="n">
        <f aca="false">SUM(G121,M121,S121,Y121,AE121,AK121,AQ121,AW121,BC121,BI121,BO121,BU121)</f>
        <v>0</v>
      </c>
      <c r="CB121" s="108" t="n">
        <f aca="false">IFERROR(CA121/CA$5,0)</f>
        <v>0</v>
      </c>
      <c r="CC121" s="139" t="n">
        <f aca="false">IFERROR((CA121/BX121)-1,0)</f>
        <v>0</v>
      </c>
      <c r="CE121" s="174" t="n">
        <f aca="false">BX121/$CF$1</f>
        <v>0</v>
      </c>
      <c r="CF121" s="94" t="n">
        <f aca="false">IFERROR(CE121/CE$5,0)</f>
        <v>0</v>
      </c>
      <c r="CH121" s="174" t="n">
        <f aca="false">CA121/$CI$1</f>
        <v>0</v>
      </c>
      <c r="CI121" s="94" t="n">
        <f aca="false">IFERROR(CH121/CH$5,0)</f>
        <v>0</v>
      </c>
    </row>
    <row r="122" customFormat="false" ht="14.25" hidden="false" customHeight="false" outlineLevel="1" collapsed="false">
      <c r="B122" s="169" t="s">
        <v>153</v>
      </c>
      <c r="D122" s="157" t="n">
        <v>0</v>
      </c>
      <c r="E122" s="91" t="n">
        <f aca="false">IFERROR(D122/D$5,0)</f>
        <v>0</v>
      </c>
      <c r="G122" s="157" t="n">
        <f aca="false">SUMIFS('Dados Mov Financeira'!$N:$N,'Dados Mov Financeira'!$O:$O,'DRE 2024'!$B122,'Dados Mov Financeira'!$A:$A,'DRE 2024'!G$1,'Dados Mov Financeira'!$B:$B,'DRE 2024'!G$2)</f>
        <v>0</v>
      </c>
      <c r="H122" s="91" t="n">
        <f aca="false">IFERROR(G122/G$5,0)</f>
        <v>0</v>
      </c>
      <c r="I122" s="138" t="n">
        <f aca="false">IFERROR((G122/D122)-1,0)</f>
        <v>0</v>
      </c>
      <c r="J122" s="157" t="n">
        <v>0</v>
      </c>
      <c r="K122" s="91" t="n">
        <f aca="false">IFERROR(J122/J$5,0)</f>
        <v>0</v>
      </c>
      <c r="M122" s="157" t="n">
        <f aca="false">SUMIFS('Dados Mov Financeira'!$N:$N,'Dados Mov Financeira'!$O:$O,'DRE 2024'!$B122,'Dados Mov Financeira'!$A:$A,'DRE 2024'!M$1,'Dados Mov Financeira'!$B:$B,'DRE 2024'!M$2)</f>
        <v>0</v>
      </c>
      <c r="N122" s="91" t="n">
        <f aca="false">IFERROR(M122/M$5,0)</f>
        <v>0</v>
      </c>
      <c r="O122" s="139" t="n">
        <f aca="false">IFERROR((M122/J122)-1,0)</f>
        <v>0</v>
      </c>
      <c r="P122" s="157" t="n">
        <v>0</v>
      </c>
      <c r="Q122" s="91" t="n">
        <f aca="false">IFERROR(P122/P$5,0)</f>
        <v>0</v>
      </c>
      <c r="S122" s="157" t="n">
        <f aca="false">SUMIFS('Dados Mov Financeira'!$N:$N,'Dados Mov Financeira'!$O:$O,'DRE 2024'!$B122,'Dados Mov Financeira'!$A:$A,'DRE 2024'!S$1,'Dados Mov Financeira'!$B:$B,'DRE 2024'!S$2)</f>
        <v>0</v>
      </c>
      <c r="T122" s="91" t="n">
        <f aca="false">IFERROR(S122/S$5,0)</f>
        <v>0</v>
      </c>
      <c r="U122" s="139" t="n">
        <f aca="false">IFERROR((S122/P122)-1,0)</f>
        <v>0</v>
      </c>
      <c r="V122" s="157" t="n">
        <v>0</v>
      </c>
      <c r="W122" s="91" t="n">
        <f aca="false">IFERROR(V122/V$5,0)</f>
        <v>0</v>
      </c>
      <c r="Y122" s="157" t="n">
        <f aca="false">SUMIFS('Dados Mov Financeira'!$N:$N,'Dados Mov Financeira'!$O:$O,'DRE 2024'!$B122,'Dados Mov Financeira'!$A:$A,'DRE 2024'!Y$1,'Dados Mov Financeira'!$B:$B,'DRE 2024'!Y$2)</f>
        <v>0</v>
      </c>
      <c r="Z122" s="91" t="n">
        <f aca="false">IFERROR(Y122/Y$5,0)</f>
        <v>0</v>
      </c>
      <c r="AA122" s="139" t="n">
        <f aca="false">IFERROR((Y122/V122)-1,0)</f>
        <v>0</v>
      </c>
      <c r="AB122" s="157" t="n">
        <v>0</v>
      </c>
      <c r="AC122" s="91" t="n">
        <f aca="false">IFERROR(AB122/AB$5,0)</f>
        <v>0</v>
      </c>
      <c r="AE122" s="157" t="n">
        <f aca="false">SUMIFS('Dados Mov Financeira'!$N:$N,'Dados Mov Financeira'!$O:$O,'DRE 2024'!$B122,'Dados Mov Financeira'!$A:$A,'DRE 2024'!AE$1,'Dados Mov Financeira'!$B:$B,'DRE 2024'!AE$2)</f>
        <v>0</v>
      </c>
      <c r="AF122" s="91" t="n">
        <f aca="false">IFERROR(AE122/AE$5,0)</f>
        <v>0</v>
      </c>
      <c r="AG122" s="139" t="n">
        <f aca="false">IFERROR((AE122/AB122)-1,0)</f>
        <v>0</v>
      </c>
      <c r="AH122" s="157" t="n">
        <v>0</v>
      </c>
      <c r="AI122" s="91" t="n">
        <f aca="false">IFERROR(AH122/AH$5,0)</f>
        <v>0</v>
      </c>
      <c r="AK122" s="157" t="n">
        <f aca="false">SUMIFS('Dados Mov Financeira'!$N:$N,'Dados Mov Financeira'!$O:$O,'DRE 2024'!$B122,'Dados Mov Financeira'!$A:$A,'DRE 2024'!AK$1,'Dados Mov Financeira'!$B:$B,'DRE 2024'!AK$2)</f>
        <v>0</v>
      </c>
      <c r="AL122" s="91" t="n">
        <f aca="false">IFERROR(AK122/AK$5,0)</f>
        <v>0</v>
      </c>
      <c r="AM122" s="139" t="n">
        <f aca="false">IFERROR((AK122/AH122)-1,0)</f>
        <v>0</v>
      </c>
      <c r="AN122" s="157" t="n">
        <f aca="false">$D122</f>
        <v>0</v>
      </c>
      <c r="AO122" s="91" t="n">
        <f aca="false">IFERROR(AN122/AN$5,0)</f>
        <v>0</v>
      </c>
      <c r="AQ122" s="157" t="n">
        <f aca="false">SUMIFS('Dados Mov Financeira'!$N:$N,'Dados Mov Financeira'!$O:$O,'DRE 2024'!$B122,'Dados Mov Financeira'!$A:$A,'DRE 2024'!AQ$1,'Dados Mov Financeira'!$B:$B,'DRE 2024'!AQ$2)</f>
        <v>0</v>
      </c>
      <c r="AR122" s="91" t="n">
        <f aca="false">IFERROR(AQ122/AQ$5,0)</f>
        <v>0</v>
      </c>
      <c r="AS122" s="139" t="n">
        <f aca="false">IFERROR((AQ122/AN122)-1,0)</f>
        <v>0</v>
      </c>
      <c r="AT122" s="157" t="n">
        <f aca="false">$D122</f>
        <v>0</v>
      </c>
      <c r="AU122" s="91" t="n">
        <f aca="false">IFERROR(AT122/AT$5,0)</f>
        <v>0</v>
      </c>
      <c r="AW122" s="157" t="n">
        <f aca="false">SUMIFS('Dados Mov Financeira'!$N:$N,'Dados Mov Financeira'!$O:$O,'DRE 2024'!$B122,'Dados Mov Financeira'!$A:$A,'DRE 2024'!AW$1,'Dados Mov Financeira'!$B:$B,'DRE 2024'!AW$2)</f>
        <v>0</v>
      </c>
      <c r="AX122" s="91" t="n">
        <f aca="false">IFERROR(AW122/AW$5,0)</f>
        <v>0</v>
      </c>
      <c r="AY122" s="139" t="n">
        <f aca="false">IFERROR((AW122/AT122)-1,0)</f>
        <v>0</v>
      </c>
      <c r="AZ122" s="157" t="n">
        <f aca="false">$D122</f>
        <v>0</v>
      </c>
      <c r="BA122" s="91" t="n">
        <f aca="false">IFERROR(AZ122/AZ$5,0)</f>
        <v>0</v>
      </c>
      <c r="BC122" s="157" t="n">
        <f aca="false">SUMIFS('Dados Mov Financeira'!$N:$N,'Dados Mov Financeira'!$O:$O,'DRE 2024'!$B122,'Dados Mov Financeira'!$A:$A,'DRE 2024'!BC$1,'Dados Mov Financeira'!$B:$B,'DRE 2024'!BC$2)</f>
        <v>0</v>
      </c>
      <c r="BD122" s="91" t="n">
        <f aca="false">IFERROR(BC122/BC$5,0)</f>
        <v>0</v>
      </c>
      <c r="BE122" s="139" t="n">
        <f aca="false">IFERROR((BC122/AZ122)-1,0)</f>
        <v>0</v>
      </c>
      <c r="BF122" s="157" t="n">
        <f aca="false">$D122</f>
        <v>0</v>
      </c>
      <c r="BG122" s="91" t="n">
        <f aca="false">IFERROR(BF122/BF$5,0)</f>
        <v>0</v>
      </c>
      <c r="BI122" s="157" t="n">
        <f aca="false">SUMIFS('Dados Mov Financeira'!$N:$N,'Dados Mov Financeira'!$O:$O,'DRE 2024'!$B122,'Dados Mov Financeira'!$A:$A,'DRE 2024'!BI$1,'Dados Mov Financeira'!$B:$B,'DRE 2024'!BI$2)</f>
        <v>0</v>
      </c>
      <c r="BJ122" s="91" t="n">
        <f aca="false">IFERROR(BI122/BI$5,0)</f>
        <v>0</v>
      </c>
      <c r="BK122" s="139" t="n">
        <f aca="false">IFERROR((BI122/BF122)-1,0)</f>
        <v>0</v>
      </c>
      <c r="BL122" s="157" t="n">
        <f aca="false">$D122</f>
        <v>0</v>
      </c>
      <c r="BM122" s="91" t="n">
        <f aca="false">IFERROR(BL122/BL$5,0)</f>
        <v>0</v>
      </c>
      <c r="BO122" s="157" t="n">
        <f aca="false">SUMIFS('Dados Mov Financeira'!$N:$N,'Dados Mov Financeira'!$O:$O,'DRE 2024'!$B122,'Dados Mov Financeira'!$A:$A,'DRE 2024'!BO$1,'Dados Mov Financeira'!$B:$B,'DRE 2024'!BO$2)</f>
        <v>0</v>
      </c>
      <c r="BP122" s="91" t="n">
        <f aca="false">IFERROR(BO122/BO$5,0)</f>
        <v>0</v>
      </c>
      <c r="BQ122" s="139" t="n">
        <f aca="false">IFERROR((BO122/BL122)-1,0)</f>
        <v>0</v>
      </c>
      <c r="BR122" s="157" t="n">
        <f aca="false">$D122</f>
        <v>0</v>
      </c>
      <c r="BS122" s="91" t="n">
        <f aca="false">IFERROR(BR122/BR$5,0)</f>
        <v>0</v>
      </c>
      <c r="BT122" s="171"/>
      <c r="BU122" s="157" t="n">
        <f aca="false">SUMIFS('Dados Mov Financeira'!$N:$N,'Dados Mov Financeira'!$O:$O,'DRE 2024'!$B122,'Dados Mov Financeira'!$A:$A,'DRE 2024'!BU$1,'Dados Mov Financeira'!$B:$B,'DRE 2024'!BU$2)</f>
        <v>0</v>
      </c>
      <c r="BV122" s="91" t="n">
        <f aca="false">IFERROR(BU122/BU$5,0)</f>
        <v>0</v>
      </c>
      <c r="BW122" s="139" t="n">
        <f aca="false">IFERROR((BU122/BR122)-1,0)</f>
        <v>0</v>
      </c>
      <c r="BX122" s="172" t="n">
        <f aca="false">SUM(D122,J122,P122,V122,AB122,AH122,AN122,AT122,AZ122,BF122,BL122,BR122)</f>
        <v>0</v>
      </c>
      <c r="BY122" s="108" t="n">
        <f aca="false">IFERROR(BX122/BX$5,0)</f>
        <v>0</v>
      </c>
      <c r="CA122" s="172" t="n">
        <f aca="false">SUM(G122,M122,S122,Y122,AE122,AK122,AQ122,AW122,BC122,BI122,BO122,BU122)</f>
        <v>0</v>
      </c>
      <c r="CB122" s="108" t="n">
        <f aca="false">IFERROR(CA122/CA$5,0)</f>
        <v>0</v>
      </c>
      <c r="CC122" s="139" t="n">
        <f aca="false">IFERROR((CA122/BX122)-1,0)</f>
        <v>0</v>
      </c>
      <c r="CE122" s="174" t="n">
        <f aca="false">BX122/$CF$1</f>
        <v>0</v>
      </c>
      <c r="CF122" s="94" t="n">
        <f aca="false">IFERROR(CE122/CE$5,0)</f>
        <v>0</v>
      </c>
      <c r="CH122" s="174" t="n">
        <f aca="false">CA122/$CI$1</f>
        <v>0</v>
      </c>
      <c r="CI122" s="94" t="n">
        <f aca="false">IFERROR(CH122/CH$5,0)</f>
        <v>0</v>
      </c>
    </row>
    <row r="123" customFormat="false" ht="14.25" hidden="false" customHeight="false" outlineLevel="1" collapsed="false">
      <c r="B123" s="169" t="s">
        <v>155</v>
      </c>
      <c r="D123" s="157" t="n">
        <f aca="false">SUMIFS('Dados Mov Financeira'!$N:$N,'Dados Mov Financeira'!$O:$O,'DRE 2024'!$B123,'Dados Mov Financeira'!$A:$A,'DRE 2024'!D$1,'Dados Mov Financeira'!$B:$B,'DRE 2024'!D$2)</f>
        <v>0</v>
      </c>
      <c r="E123" s="91" t="n">
        <f aca="false">IFERROR(D123/D$5,0)</f>
        <v>0</v>
      </c>
      <c r="G123" s="157" t="n">
        <f aca="false">SUMIFS('Dados Mov Financeira'!$N:$N,'Dados Mov Financeira'!$O:$O,'DRE 2024'!$B123,'Dados Mov Financeira'!$A:$A,'DRE 2024'!G$1,'Dados Mov Financeira'!$B:$B,'DRE 2024'!G$2)</f>
        <v>0</v>
      </c>
      <c r="H123" s="91" t="n">
        <f aca="false">IFERROR(G123/G$5,0)</f>
        <v>0</v>
      </c>
      <c r="I123" s="138" t="n">
        <f aca="false">IFERROR((G123/D123)-1,0)</f>
        <v>0</v>
      </c>
      <c r="J123" s="157" t="n">
        <f aca="false">SUMIFS('Dados Mov Financeira'!$N:$N,'Dados Mov Financeira'!$O:$O,'DRE 2024'!$B123,'Dados Mov Financeira'!$A:$A,'DRE 2024'!J$1,'Dados Mov Financeira'!$B:$B,'DRE 2024'!J$2)</f>
        <v>0</v>
      </c>
      <c r="K123" s="91" t="n">
        <f aca="false">IFERROR(J123/J$5,0)</f>
        <v>0</v>
      </c>
      <c r="M123" s="157" t="n">
        <f aca="false">SUMIFS('Dados Mov Financeira'!$N:$N,'Dados Mov Financeira'!$O:$O,'DRE 2024'!$B123,'Dados Mov Financeira'!$A:$A,'DRE 2024'!M$1,'Dados Mov Financeira'!$B:$B,'DRE 2024'!M$2)</f>
        <v>0</v>
      </c>
      <c r="N123" s="91" t="n">
        <f aca="false">IFERROR(M123/M$5,0)</f>
        <v>0</v>
      </c>
      <c r="O123" s="139" t="n">
        <f aca="false">IFERROR((M123/J123)-1,0)</f>
        <v>0</v>
      </c>
      <c r="P123" s="157" t="n">
        <f aca="false">SUMIFS('Dados Mov Financeira'!$N:$N,'Dados Mov Financeira'!$O:$O,'DRE 2024'!$B123,'Dados Mov Financeira'!$A:$A,'DRE 2024'!P$1,'Dados Mov Financeira'!$B:$B,'DRE 2024'!P$2)</f>
        <v>0</v>
      </c>
      <c r="Q123" s="91" t="n">
        <f aca="false">IFERROR(P123/P$5,0)</f>
        <v>0</v>
      </c>
      <c r="S123" s="157" t="n">
        <f aca="false">SUMIFS('Dados Mov Financeira'!$N:$N,'Dados Mov Financeira'!$O:$O,'DRE 2024'!$B123,'Dados Mov Financeira'!$A:$A,'DRE 2024'!S$1,'Dados Mov Financeira'!$B:$B,'DRE 2024'!S$2)</f>
        <v>0</v>
      </c>
      <c r="T123" s="91" t="n">
        <f aca="false">IFERROR(S123/S$5,0)</f>
        <v>0</v>
      </c>
      <c r="U123" s="139" t="n">
        <f aca="false">IFERROR((S123/P123)-1,0)</f>
        <v>0</v>
      </c>
      <c r="V123" s="157" t="n">
        <f aca="false">SUMIFS('Dados Mov Financeira'!$N:$N,'Dados Mov Financeira'!$O:$O,'DRE 2024'!$B123,'Dados Mov Financeira'!$A:$A,'DRE 2024'!V$1,'Dados Mov Financeira'!$B:$B,'DRE 2024'!V$2)</f>
        <v>0</v>
      </c>
      <c r="W123" s="91" t="n">
        <f aca="false">IFERROR(V123/V$5,0)</f>
        <v>0</v>
      </c>
      <c r="Y123" s="157" t="n">
        <f aca="false">SUMIFS('Dados Mov Financeira'!$N:$N,'Dados Mov Financeira'!$O:$O,'DRE 2024'!$B123,'Dados Mov Financeira'!$A:$A,'DRE 2024'!Y$1,'Dados Mov Financeira'!$B:$B,'DRE 2024'!Y$2)</f>
        <v>0</v>
      </c>
      <c r="Z123" s="91" t="n">
        <f aca="false">IFERROR(Y123/Y$5,0)</f>
        <v>0</v>
      </c>
      <c r="AA123" s="139" t="n">
        <f aca="false">IFERROR((Y123/V123)-1,0)</f>
        <v>0</v>
      </c>
      <c r="AB123" s="157" t="n">
        <f aca="false">SUMIFS('Dados Mov Financeira'!$N:$N,'Dados Mov Financeira'!$O:$O,'DRE 2024'!$B123,'Dados Mov Financeira'!$A:$A,'DRE 2024'!AB$1,'Dados Mov Financeira'!$B:$B,'DRE 2024'!AB$2)</f>
        <v>0</v>
      </c>
      <c r="AC123" s="91" t="n">
        <f aca="false">IFERROR(AB123/AB$5,0)</f>
        <v>0</v>
      </c>
      <c r="AE123" s="157" t="n">
        <f aca="false">SUMIFS('Dados Mov Financeira'!$N:$N,'Dados Mov Financeira'!$O:$O,'DRE 2024'!$B123,'Dados Mov Financeira'!$A:$A,'DRE 2024'!AE$1,'Dados Mov Financeira'!$B:$B,'DRE 2024'!AE$2)</f>
        <v>0</v>
      </c>
      <c r="AF123" s="91" t="n">
        <f aca="false">IFERROR(AE123/AE$5,0)</f>
        <v>0</v>
      </c>
      <c r="AG123" s="139" t="n">
        <f aca="false">IFERROR((AE123/AB123)-1,0)</f>
        <v>0</v>
      </c>
      <c r="AH123" s="157" t="n">
        <f aca="false">SUMIFS('Dados Mov Financeira'!$N:$N,'Dados Mov Financeira'!$O:$O,'DRE 2024'!$B123,'Dados Mov Financeira'!$A:$A,'DRE 2024'!AH$1,'Dados Mov Financeira'!$B:$B,'DRE 2024'!AH$2)</f>
        <v>0</v>
      </c>
      <c r="AI123" s="91" t="n">
        <f aca="false">IFERROR(AH123/AH$5,0)</f>
        <v>0</v>
      </c>
      <c r="AK123" s="157" t="n">
        <f aca="false">SUMIFS('Dados Mov Financeira'!$N:$N,'Dados Mov Financeira'!$O:$O,'DRE 2024'!$B123,'Dados Mov Financeira'!$A:$A,'DRE 2024'!AK$1,'Dados Mov Financeira'!$B:$B,'DRE 2024'!AK$2)</f>
        <v>0</v>
      </c>
      <c r="AL123" s="91" t="n">
        <f aca="false">IFERROR(AK123/AK$5,0)</f>
        <v>0</v>
      </c>
      <c r="AM123" s="139" t="n">
        <f aca="false">IFERROR((AK123/AH123)-1,0)</f>
        <v>0</v>
      </c>
      <c r="AN123" s="157" t="n">
        <f aca="false">$D123</f>
        <v>0</v>
      </c>
      <c r="AO123" s="91" t="n">
        <f aca="false">IFERROR(AN123/AN$5,0)</f>
        <v>0</v>
      </c>
      <c r="AQ123" s="157" t="n">
        <f aca="false">SUMIFS('Dados Mov Financeira'!$N:$N,'Dados Mov Financeira'!$O:$O,'DRE 2024'!$B123,'Dados Mov Financeira'!$A:$A,'DRE 2024'!AQ$1,'Dados Mov Financeira'!$B:$B,'DRE 2024'!AQ$2)</f>
        <v>0</v>
      </c>
      <c r="AR123" s="91" t="n">
        <f aca="false">IFERROR(AQ123/AQ$5,0)</f>
        <v>0</v>
      </c>
      <c r="AS123" s="139" t="n">
        <f aca="false">IFERROR((AQ123/AN123)-1,0)</f>
        <v>0</v>
      </c>
      <c r="AT123" s="157" t="n">
        <f aca="false">$D123</f>
        <v>0</v>
      </c>
      <c r="AU123" s="91" t="n">
        <f aca="false">IFERROR(AT123/AT$5,0)</f>
        <v>0</v>
      </c>
      <c r="AW123" s="157" t="n">
        <f aca="false">SUMIFS('Dados Mov Financeira'!$N:$N,'Dados Mov Financeira'!$O:$O,'DRE 2024'!$B123,'Dados Mov Financeira'!$A:$A,'DRE 2024'!AW$1,'Dados Mov Financeira'!$B:$B,'DRE 2024'!AW$2)</f>
        <v>0</v>
      </c>
      <c r="AX123" s="91" t="n">
        <f aca="false">IFERROR(AW123/AW$5,0)</f>
        <v>0</v>
      </c>
      <c r="AY123" s="139" t="n">
        <f aca="false">IFERROR((AW123/AT123)-1,0)</f>
        <v>0</v>
      </c>
      <c r="AZ123" s="157" t="n">
        <f aca="false">$D123</f>
        <v>0</v>
      </c>
      <c r="BA123" s="91" t="n">
        <f aca="false">IFERROR(AZ123/AZ$5,0)</f>
        <v>0</v>
      </c>
      <c r="BC123" s="157" t="n">
        <f aca="false">SUMIFS('Dados Mov Financeira'!$N:$N,'Dados Mov Financeira'!$O:$O,'DRE 2024'!$B123,'Dados Mov Financeira'!$A:$A,'DRE 2024'!BC$1,'Dados Mov Financeira'!$B:$B,'DRE 2024'!BC$2)</f>
        <v>0</v>
      </c>
      <c r="BD123" s="91" t="n">
        <f aca="false">IFERROR(BC123/BC$5,0)</f>
        <v>0</v>
      </c>
      <c r="BE123" s="139" t="n">
        <f aca="false">IFERROR((BC123/AZ123)-1,0)</f>
        <v>0</v>
      </c>
      <c r="BF123" s="157" t="n">
        <f aca="false">$D123</f>
        <v>0</v>
      </c>
      <c r="BG123" s="91" t="n">
        <f aca="false">IFERROR(BF123/BF$5,0)</f>
        <v>0</v>
      </c>
      <c r="BI123" s="157" t="n">
        <f aca="false">SUMIFS('Dados Mov Financeira'!$N:$N,'Dados Mov Financeira'!$O:$O,'DRE 2024'!$B123,'Dados Mov Financeira'!$A:$A,'DRE 2024'!BI$1,'Dados Mov Financeira'!$B:$B,'DRE 2024'!BI$2)</f>
        <v>0</v>
      </c>
      <c r="BJ123" s="91" t="n">
        <f aca="false">IFERROR(BI123/BI$5,0)</f>
        <v>0</v>
      </c>
      <c r="BK123" s="139" t="n">
        <f aca="false">IFERROR((BI123/BF123)-1,0)</f>
        <v>0</v>
      </c>
      <c r="BL123" s="157" t="n">
        <f aca="false">$D123</f>
        <v>0</v>
      </c>
      <c r="BM123" s="91" t="n">
        <f aca="false">IFERROR(BL123/BL$5,0)</f>
        <v>0</v>
      </c>
      <c r="BO123" s="157" t="n">
        <f aca="false">SUMIFS('Dados Mov Financeira'!$N:$N,'Dados Mov Financeira'!$O:$O,'DRE 2024'!$B123,'Dados Mov Financeira'!$A:$A,'DRE 2024'!BO$1,'Dados Mov Financeira'!$B:$B,'DRE 2024'!BO$2)</f>
        <v>0</v>
      </c>
      <c r="BP123" s="91" t="n">
        <f aca="false">IFERROR(BO123/BO$5,0)</f>
        <v>0</v>
      </c>
      <c r="BQ123" s="139" t="n">
        <f aca="false">IFERROR((BO123/BL123)-1,0)</f>
        <v>0</v>
      </c>
      <c r="BR123" s="157" t="n">
        <f aca="false">$D123</f>
        <v>0</v>
      </c>
      <c r="BS123" s="91" t="n">
        <f aca="false">IFERROR(BR123/BR$5,0)</f>
        <v>0</v>
      </c>
      <c r="BT123" s="171"/>
      <c r="BU123" s="157" t="n">
        <f aca="false">SUMIFS('Dados Mov Financeira'!$N:$N,'Dados Mov Financeira'!$O:$O,'DRE 2024'!$B123,'Dados Mov Financeira'!$A:$A,'DRE 2024'!BU$1,'Dados Mov Financeira'!$B:$B,'DRE 2024'!BU$2)</f>
        <v>0</v>
      </c>
      <c r="BV123" s="91" t="n">
        <f aca="false">IFERROR(BU123/BU$5,0)</f>
        <v>0</v>
      </c>
      <c r="BW123" s="139" t="n">
        <f aca="false">IFERROR((BU123/BR123)-1,0)</f>
        <v>0</v>
      </c>
      <c r="BX123" s="172" t="n">
        <f aca="false">SUM(D123,J123,P123,V123,AB123,AH123,AN123,AT123,AZ123,BF123,BL123,BR123)</f>
        <v>0</v>
      </c>
      <c r="BY123" s="108" t="n">
        <f aca="false">IFERROR(BX123/BX$5,0)</f>
        <v>0</v>
      </c>
      <c r="CA123" s="172" t="n">
        <f aca="false">SUM(G123,M123,S123,Y123,AE123,AK123,AQ123,AW123,BC123,BI123,BO123,BU123)</f>
        <v>0</v>
      </c>
      <c r="CB123" s="108" t="n">
        <f aca="false">IFERROR(CA123/CA$5,0)</f>
        <v>0</v>
      </c>
      <c r="CC123" s="139" t="n">
        <f aca="false">IFERROR((CA123/BX123)-1,0)</f>
        <v>0</v>
      </c>
      <c r="CE123" s="174" t="n">
        <f aca="false">BX123/$CF$1</f>
        <v>0</v>
      </c>
      <c r="CF123" s="94" t="n">
        <f aca="false">IFERROR(CE123/CE$5,0)</f>
        <v>0</v>
      </c>
      <c r="CH123" s="174" t="n">
        <f aca="false">CA123/$CI$1</f>
        <v>0</v>
      </c>
      <c r="CI123" s="94" t="n">
        <f aca="false">IFERROR(CH123/CH$5,0)</f>
        <v>0</v>
      </c>
    </row>
    <row r="124" customFormat="false" ht="14.25" hidden="false" customHeight="false" outlineLevel="1" collapsed="false">
      <c r="B124" s="169" t="s">
        <v>156</v>
      </c>
      <c r="D124" s="157" t="n">
        <f aca="false">SUMIFS('Dados Mov Financeira'!$N:$N,'Dados Mov Financeira'!$O:$O,'DRE 2024'!$B124,'Dados Mov Financeira'!$A:$A,'DRE 2024'!D$1,'Dados Mov Financeira'!$B:$B,'DRE 2024'!D$2)</f>
        <v>0</v>
      </c>
      <c r="E124" s="91" t="n">
        <f aca="false">IFERROR(D124/D$5,0)</f>
        <v>0</v>
      </c>
      <c r="G124" s="157" t="n">
        <f aca="false">SUMIFS('Dados Mov Financeira'!$N:$N,'Dados Mov Financeira'!$O:$O,'DRE 2024'!$B124,'Dados Mov Financeira'!$A:$A,'DRE 2024'!G$1,'Dados Mov Financeira'!$B:$B,'DRE 2024'!G$2)</f>
        <v>0</v>
      </c>
      <c r="H124" s="91" t="n">
        <f aca="false">IFERROR(G124/G$5,0)</f>
        <v>0</v>
      </c>
      <c r="I124" s="138" t="n">
        <f aca="false">IFERROR((G124/D124)-1,0)</f>
        <v>0</v>
      </c>
      <c r="J124" s="157" t="n">
        <f aca="false">SUMIFS('Dados Mov Financeira'!$N:$N,'Dados Mov Financeira'!$O:$O,'DRE 2024'!$B124,'Dados Mov Financeira'!$A:$A,'DRE 2024'!J$1,'Dados Mov Financeira'!$B:$B,'DRE 2024'!J$2)</f>
        <v>0</v>
      </c>
      <c r="K124" s="91" t="n">
        <f aca="false">IFERROR(J124/J$5,0)</f>
        <v>0</v>
      </c>
      <c r="M124" s="157" t="n">
        <f aca="false">SUMIFS('Dados Mov Financeira'!$N:$N,'Dados Mov Financeira'!$O:$O,'DRE 2024'!$B124,'Dados Mov Financeira'!$A:$A,'DRE 2024'!M$1,'Dados Mov Financeira'!$B:$B,'DRE 2024'!M$2)</f>
        <v>0</v>
      </c>
      <c r="N124" s="91" t="n">
        <f aca="false">IFERROR(M124/M$5,0)</f>
        <v>0</v>
      </c>
      <c r="O124" s="139" t="n">
        <f aca="false">IFERROR((M124/J124)-1,0)</f>
        <v>0</v>
      </c>
      <c r="P124" s="157" t="n">
        <f aca="false">SUMIFS('Dados Mov Financeira'!$N:$N,'Dados Mov Financeira'!$O:$O,'DRE 2024'!$B124,'Dados Mov Financeira'!$A:$A,'DRE 2024'!P$1,'Dados Mov Financeira'!$B:$B,'DRE 2024'!P$2)</f>
        <v>0</v>
      </c>
      <c r="Q124" s="91" t="n">
        <f aca="false">IFERROR(P124/P$5,0)</f>
        <v>0</v>
      </c>
      <c r="S124" s="157" t="n">
        <f aca="false">SUMIFS('Dados Mov Financeira'!$N:$N,'Dados Mov Financeira'!$O:$O,'DRE 2024'!$B124,'Dados Mov Financeira'!$A:$A,'DRE 2024'!S$1,'Dados Mov Financeira'!$B:$B,'DRE 2024'!S$2)</f>
        <v>0</v>
      </c>
      <c r="T124" s="91" t="n">
        <f aca="false">IFERROR(S124/S$5,0)</f>
        <v>0</v>
      </c>
      <c r="U124" s="139" t="n">
        <f aca="false">IFERROR((S124/P124)-1,0)</f>
        <v>0</v>
      </c>
      <c r="V124" s="157" t="n">
        <f aca="false">SUMIFS('Dados Mov Financeira'!$N:$N,'Dados Mov Financeira'!$O:$O,'DRE 2024'!$B124,'Dados Mov Financeira'!$A:$A,'DRE 2024'!V$1,'Dados Mov Financeira'!$B:$B,'DRE 2024'!V$2)</f>
        <v>0</v>
      </c>
      <c r="W124" s="91" t="n">
        <f aca="false">IFERROR(V124/V$5,0)</f>
        <v>0</v>
      </c>
      <c r="Y124" s="157" t="n">
        <f aca="false">SUMIFS('Dados Mov Financeira'!$N:$N,'Dados Mov Financeira'!$O:$O,'DRE 2024'!$B124,'Dados Mov Financeira'!$A:$A,'DRE 2024'!Y$1,'Dados Mov Financeira'!$B:$B,'DRE 2024'!Y$2)</f>
        <v>0</v>
      </c>
      <c r="Z124" s="91" t="n">
        <f aca="false">IFERROR(Y124/Y$5,0)</f>
        <v>0</v>
      </c>
      <c r="AA124" s="139" t="n">
        <f aca="false">IFERROR((Y124/V124)-1,0)</f>
        <v>0</v>
      </c>
      <c r="AB124" s="157" t="n">
        <f aca="false">SUMIFS('Dados Mov Financeira'!$N:$N,'Dados Mov Financeira'!$O:$O,'DRE 2024'!$B124,'Dados Mov Financeira'!$A:$A,'DRE 2024'!AB$1,'Dados Mov Financeira'!$B:$B,'DRE 2024'!AB$2)</f>
        <v>0</v>
      </c>
      <c r="AC124" s="91" t="n">
        <f aca="false">IFERROR(AB124/AB$5,0)</f>
        <v>0</v>
      </c>
      <c r="AE124" s="157" t="n">
        <f aca="false">SUMIFS('Dados Mov Financeira'!$N:$N,'Dados Mov Financeira'!$O:$O,'DRE 2024'!$B124,'Dados Mov Financeira'!$A:$A,'DRE 2024'!AE$1,'Dados Mov Financeira'!$B:$B,'DRE 2024'!AE$2)</f>
        <v>0</v>
      </c>
      <c r="AF124" s="91" t="n">
        <f aca="false">IFERROR(AE124/AE$5,0)</f>
        <v>0</v>
      </c>
      <c r="AG124" s="139" t="n">
        <f aca="false">IFERROR((AE124/AB124)-1,0)</f>
        <v>0</v>
      </c>
      <c r="AH124" s="157" t="n">
        <f aca="false">SUMIFS('Dados Mov Financeira'!$N:$N,'Dados Mov Financeira'!$O:$O,'DRE 2024'!$B124,'Dados Mov Financeira'!$A:$A,'DRE 2024'!AH$1,'Dados Mov Financeira'!$B:$B,'DRE 2024'!AH$2)</f>
        <v>0</v>
      </c>
      <c r="AI124" s="91" t="n">
        <f aca="false">IFERROR(AH124/AH$5,0)</f>
        <v>0</v>
      </c>
      <c r="AK124" s="157" t="n">
        <f aca="false">SUMIFS('Dados Mov Financeira'!$N:$N,'Dados Mov Financeira'!$O:$O,'DRE 2024'!$B124,'Dados Mov Financeira'!$A:$A,'DRE 2024'!AK$1,'Dados Mov Financeira'!$B:$B,'DRE 2024'!AK$2)</f>
        <v>0</v>
      </c>
      <c r="AL124" s="91" t="n">
        <f aca="false">IFERROR(AK124/AK$5,0)</f>
        <v>0</v>
      </c>
      <c r="AM124" s="139" t="n">
        <f aca="false">IFERROR((AK124/AH124)-1,0)</f>
        <v>0</v>
      </c>
      <c r="AN124" s="157" t="n">
        <f aca="false">$D124</f>
        <v>0</v>
      </c>
      <c r="AO124" s="91" t="n">
        <f aca="false">IFERROR(AN124/AN$5,0)</f>
        <v>0</v>
      </c>
      <c r="AQ124" s="157" t="n">
        <f aca="false">SUMIFS('Dados Mov Financeira'!$N:$N,'Dados Mov Financeira'!$O:$O,'DRE 2024'!$B124,'Dados Mov Financeira'!$A:$A,'DRE 2024'!AQ$1,'Dados Mov Financeira'!$B:$B,'DRE 2024'!AQ$2)</f>
        <v>0</v>
      </c>
      <c r="AR124" s="91" t="n">
        <f aca="false">IFERROR(AQ124/AQ$5,0)</f>
        <v>0</v>
      </c>
      <c r="AS124" s="139" t="n">
        <f aca="false">IFERROR((AQ124/AN124)-1,0)</f>
        <v>0</v>
      </c>
      <c r="AT124" s="157" t="n">
        <f aca="false">$D124</f>
        <v>0</v>
      </c>
      <c r="AU124" s="91" t="n">
        <f aca="false">IFERROR(AT124/AT$5,0)</f>
        <v>0</v>
      </c>
      <c r="AW124" s="157" t="n">
        <f aca="false">SUMIFS('Dados Mov Financeira'!$N:$N,'Dados Mov Financeira'!$O:$O,'DRE 2024'!$B124,'Dados Mov Financeira'!$A:$A,'DRE 2024'!AW$1,'Dados Mov Financeira'!$B:$B,'DRE 2024'!AW$2)</f>
        <v>0</v>
      </c>
      <c r="AX124" s="91" t="n">
        <f aca="false">IFERROR(AW124/AW$5,0)</f>
        <v>0</v>
      </c>
      <c r="AY124" s="139" t="n">
        <f aca="false">IFERROR((AW124/AT124)-1,0)</f>
        <v>0</v>
      </c>
      <c r="AZ124" s="157" t="n">
        <f aca="false">$D124</f>
        <v>0</v>
      </c>
      <c r="BA124" s="91" t="n">
        <f aca="false">IFERROR(AZ124/AZ$5,0)</f>
        <v>0</v>
      </c>
      <c r="BC124" s="157" t="n">
        <f aca="false">SUMIFS('Dados Mov Financeira'!$N:$N,'Dados Mov Financeira'!$O:$O,'DRE 2024'!$B124,'Dados Mov Financeira'!$A:$A,'DRE 2024'!BC$1,'Dados Mov Financeira'!$B:$B,'DRE 2024'!BC$2)</f>
        <v>0</v>
      </c>
      <c r="BD124" s="91" t="n">
        <f aca="false">IFERROR(BC124/BC$5,0)</f>
        <v>0</v>
      </c>
      <c r="BE124" s="139" t="n">
        <f aca="false">IFERROR((BC124/AZ124)-1,0)</f>
        <v>0</v>
      </c>
      <c r="BF124" s="157" t="n">
        <f aca="false">$D124</f>
        <v>0</v>
      </c>
      <c r="BG124" s="91" t="n">
        <f aca="false">IFERROR(BF124/BF$5,0)</f>
        <v>0</v>
      </c>
      <c r="BI124" s="157" t="n">
        <f aca="false">SUMIFS('Dados Mov Financeira'!$N:$N,'Dados Mov Financeira'!$O:$O,'DRE 2024'!$B124,'Dados Mov Financeira'!$A:$A,'DRE 2024'!BI$1,'Dados Mov Financeira'!$B:$B,'DRE 2024'!BI$2)</f>
        <v>0</v>
      </c>
      <c r="BJ124" s="91" t="n">
        <f aca="false">IFERROR(BI124/BI$5,0)</f>
        <v>0</v>
      </c>
      <c r="BK124" s="139" t="n">
        <f aca="false">IFERROR((BI124/BF124)-1,0)</f>
        <v>0</v>
      </c>
      <c r="BL124" s="157" t="n">
        <f aca="false">$D124</f>
        <v>0</v>
      </c>
      <c r="BM124" s="91" t="n">
        <f aca="false">IFERROR(BL124/BL$5,0)</f>
        <v>0</v>
      </c>
      <c r="BO124" s="157" t="n">
        <f aca="false">SUMIFS('Dados Mov Financeira'!$N:$N,'Dados Mov Financeira'!$O:$O,'DRE 2024'!$B124,'Dados Mov Financeira'!$A:$A,'DRE 2024'!BO$1,'Dados Mov Financeira'!$B:$B,'DRE 2024'!BO$2)</f>
        <v>0</v>
      </c>
      <c r="BP124" s="91" t="n">
        <f aca="false">IFERROR(BO124/BO$5,0)</f>
        <v>0</v>
      </c>
      <c r="BQ124" s="139" t="n">
        <f aca="false">IFERROR((BO124/BL124)-1,0)</f>
        <v>0</v>
      </c>
      <c r="BR124" s="157" t="n">
        <f aca="false">$D124</f>
        <v>0</v>
      </c>
      <c r="BS124" s="91" t="n">
        <f aca="false">IFERROR(BR124/BR$5,0)</f>
        <v>0</v>
      </c>
      <c r="BT124" s="171"/>
      <c r="BU124" s="157" t="n">
        <f aca="false">SUMIFS('Dados Mov Financeira'!$N:$N,'Dados Mov Financeira'!$O:$O,'DRE 2024'!$B124,'Dados Mov Financeira'!$A:$A,'DRE 2024'!BU$1,'Dados Mov Financeira'!$B:$B,'DRE 2024'!BU$2)</f>
        <v>0</v>
      </c>
      <c r="BV124" s="91" t="n">
        <f aca="false">IFERROR(BU124/BU$5,0)</f>
        <v>0</v>
      </c>
      <c r="BW124" s="139" t="n">
        <f aca="false">IFERROR((BU124/BR124)-1,0)</f>
        <v>0</v>
      </c>
      <c r="BX124" s="172" t="n">
        <f aca="false">SUM(D124,J124,P124,V124,AB124,AH124,AN124,AT124,AZ124,BF124,BL124,BR124)</f>
        <v>0</v>
      </c>
      <c r="BY124" s="108" t="n">
        <f aca="false">IFERROR(BX124/BX$5,0)</f>
        <v>0</v>
      </c>
      <c r="CA124" s="172" t="n">
        <f aca="false">SUM(G124,M124,S124,Y124,AE124,AK124,AQ124,AW124,BC124,BI124,BO124,BU124)</f>
        <v>0</v>
      </c>
      <c r="CB124" s="108" t="n">
        <f aca="false">IFERROR(CA124/CA$5,0)</f>
        <v>0</v>
      </c>
      <c r="CC124" s="139" t="n">
        <f aca="false">IFERROR((CA124/BX124)-1,0)</f>
        <v>0</v>
      </c>
      <c r="CE124" s="174" t="n">
        <f aca="false">BX124/$CF$1</f>
        <v>0</v>
      </c>
      <c r="CF124" s="94" t="n">
        <f aca="false">IFERROR(CE124/CE$5,0)</f>
        <v>0</v>
      </c>
      <c r="CH124" s="174" t="n">
        <f aca="false">CA124/$CI$1</f>
        <v>0</v>
      </c>
      <c r="CI124" s="94" t="n">
        <f aca="false">IFERROR(CH124/CH$5,0)</f>
        <v>0</v>
      </c>
    </row>
    <row r="125" customFormat="false" ht="15.75" hidden="false" customHeight="true" outlineLevel="1" collapsed="false">
      <c r="B125" s="169" t="s">
        <v>159</v>
      </c>
      <c r="D125" s="157" t="n">
        <v>0</v>
      </c>
      <c r="E125" s="91" t="n">
        <f aca="false">IFERROR(D125/D$5,0)</f>
        <v>0</v>
      </c>
      <c r="G125" s="157" t="n">
        <f aca="false">SUMIFS('Dados Mov Financeira'!$N:$N,'Dados Mov Financeira'!$O:$O,'DRE 2024'!$B125,'Dados Mov Financeira'!$A:$A,'DRE 2024'!G$1,'Dados Mov Financeira'!$B:$B,'DRE 2024'!G$2)</f>
        <v>0</v>
      </c>
      <c r="H125" s="91" t="n">
        <f aca="false">IFERROR(G125/G$5,0)</f>
        <v>0</v>
      </c>
      <c r="I125" s="138" t="n">
        <f aca="false">IFERROR((G125/D125)-1,0)</f>
        <v>0</v>
      </c>
      <c r="J125" s="157" t="n">
        <v>0</v>
      </c>
      <c r="K125" s="91" t="n">
        <f aca="false">IFERROR(J125/J$5,0)</f>
        <v>0</v>
      </c>
      <c r="M125" s="157" t="n">
        <f aca="false">SUMIFS('Dados Mov Financeira'!$N:$N,'Dados Mov Financeira'!$O:$O,'DRE 2024'!$B125,'Dados Mov Financeira'!$A:$A,'DRE 2024'!M$1,'Dados Mov Financeira'!$B:$B,'DRE 2024'!M$2)</f>
        <v>0</v>
      </c>
      <c r="N125" s="91" t="n">
        <f aca="false">IFERROR(M125/M$5,0)</f>
        <v>0</v>
      </c>
      <c r="O125" s="139" t="n">
        <f aca="false">IFERROR((M125/J125)-1,0)</f>
        <v>0</v>
      </c>
      <c r="P125" s="157" t="n">
        <v>0</v>
      </c>
      <c r="Q125" s="91" t="n">
        <f aca="false">IFERROR(P125/P$5,0)</f>
        <v>0</v>
      </c>
      <c r="S125" s="157" t="n">
        <f aca="false">SUMIFS('Dados Mov Financeira'!$N:$N,'Dados Mov Financeira'!$O:$O,'DRE 2024'!$B125,'Dados Mov Financeira'!$A:$A,'DRE 2024'!S$1,'Dados Mov Financeira'!$B:$B,'DRE 2024'!S$2)</f>
        <v>0</v>
      </c>
      <c r="T125" s="91" t="n">
        <f aca="false">IFERROR(S125/S$5,0)</f>
        <v>0</v>
      </c>
      <c r="U125" s="139" t="n">
        <f aca="false">IFERROR((S125/P125)-1,0)</f>
        <v>0</v>
      </c>
      <c r="V125" s="157" t="n">
        <v>0</v>
      </c>
      <c r="W125" s="91" t="n">
        <f aca="false">IFERROR(V125/V$5,0)</f>
        <v>0</v>
      </c>
      <c r="Y125" s="157" t="n">
        <f aca="false">SUMIFS('Dados Mov Financeira'!$N:$N,'Dados Mov Financeira'!$O:$O,'DRE 2024'!$B125,'Dados Mov Financeira'!$A:$A,'DRE 2024'!Y$1,'Dados Mov Financeira'!$B:$B,'DRE 2024'!Y$2)</f>
        <v>0</v>
      </c>
      <c r="Z125" s="91" t="n">
        <f aca="false">IFERROR(Y125/Y$5,0)</f>
        <v>0</v>
      </c>
      <c r="AA125" s="139" t="n">
        <f aca="false">IFERROR((Y125/V125)-1,0)</f>
        <v>0</v>
      </c>
      <c r="AB125" s="157" t="n">
        <v>0</v>
      </c>
      <c r="AC125" s="91" t="n">
        <f aca="false">IFERROR(AB125/AB$5,0)</f>
        <v>0</v>
      </c>
      <c r="AE125" s="157" t="n">
        <f aca="false">SUMIFS('Dados Mov Financeira'!$N:$N,'Dados Mov Financeira'!$O:$O,'DRE 2024'!$B125,'Dados Mov Financeira'!$A:$A,'DRE 2024'!AE$1,'Dados Mov Financeira'!$B:$B,'DRE 2024'!AE$2)</f>
        <v>0</v>
      </c>
      <c r="AF125" s="91" t="n">
        <f aca="false">IFERROR(AE125/AE$5,0)</f>
        <v>0</v>
      </c>
      <c r="AG125" s="139" t="n">
        <f aca="false">IFERROR((AE125/AB125)-1,0)</f>
        <v>0</v>
      </c>
      <c r="AH125" s="157" t="n">
        <v>0</v>
      </c>
      <c r="AI125" s="91" t="n">
        <f aca="false">IFERROR(AH125/AH$5,0)</f>
        <v>0</v>
      </c>
      <c r="AK125" s="157" t="n">
        <f aca="false">SUMIFS('Dados Mov Financeira'!$N:$N,'Dados Mov Financeira'!$O:$O,'DRE 2024'!$B125,'Dados Mov Financeira'!$A:$A,'DRE 2024'!AK$1,'Dados Mov Financeira'!$B:$B,'DRE 2024'!AK$2)</f>
        <v>0</v>
      </c>
      <c r="AL125" s="91" t="n">
        <f aca="false">IFERROR(AK125/AK$5,0)</f>
        <v>0</v>
      </c>
      <c r="AM125" s="139" t="n">
        <f aca="false">IFERROR((AK125/AH125)-1,0)</f>
        <v>0</v>
      </c>
      <c r="AN125" s="157" t="n">
        <v>0</v>
      </c>
      <c r="AO125" s="91" t="n">
        <f aca="false">IFERROR(AN125/AN$5,0)</f>
        <v>0</v>
      </c>
      <c r="AQ125" s="157" t="n">
        <f aca="false">SUMIFS('Dados Mov Financeira'!$N:$N,'Dados Mov Financeira'!$O:$O,'DRE 2024'!$B125,'Dados Mov Financeira'!$A:$A,'DRE 2024'!AQ$1,'Dados Mov Financeira'!$B:$B,'DRE 2024'!AQ$2)</f>
        <v>0</v>
      </c>
      <c r="AR125" s="91" t="n">
        <f aca="false">IFERROR(AQ125/AQ$5,0)</f>
        <v>0</v>
      </c>
      <c r="AS125" s="139" t="n">
        <f aca="false">IFERROR((AQ125/AN125)-1,0)</f>
        <v>0</v>
      </c>
      <c r="AT125" s="157" t="n">
        <v>0</v>
      </c>
      <c r="AU125" s="91" t="n">
        <f aca="false">IFERROR(AT125/AT$5,0)</f>
        <v>0</v>
      </c>
      <c r="AW125" s="157" t="n">
        <f aca="false">SUMIFS('Dados Mov Financeira'!$N:$N,'Dados Mov Financeira'!$O:$O,'DRE 2024'!$B125,'Dados Mov Financeira'!$A:$A,'DRE 2024'!AW$1,'Dados Mov Financeira'!$B:$B,'DRE 2024'!AW$2)</f>
        <v>0</v>
      </c>
      <c r="AX125" s="91" t="n">
        <f aca="false">IFERROR(AW125/AW$5,0)</f>
        <v>0</v>
      </c>
      <c r="AY125" s="139" t="n">
        <f aca="false">IFERROR((AW125/AT125)-1,0)</f>
        <v>0</v>
      </c>
      <c r="AZ125" s="157" t="n">
        <v>0</v>
      </c>
      <c r="BA125" s="91" t="n">
        <f aca="false">IFERROR(AZ125/AZ$5,0)</f>
        <v>0</v>
      </c>
      <c r="BC125" s="157" t="n">
        <f aca="false">SUMIFS('Dados Mov Financeira'!$N:$N,'Dados Mov Financeira'!$O:$O,'DRE 2024'!$B125,'Dados Mov Financeira'!$A:$A,'DRE 2024'!BC$1,'Dados Mov Financeira'!$B:$B,'DRE 2024'!BC$2)</f>
        <v>0</v>
      </c>
      <c r="BD125" s="91" t="n">
        <f aca="false">IFERROR(BC125/BC$5,0)</f>
        <v>0</v>
      </c>
      <c r="BE125" s="139" t="n">
        <f aca="false">IFERROR((BC125/AZ125)-1,0)</f>
        <v>0</v>
      </c>
      <c r="BF125" s="157" t="n">
        <v>0</v>
      </c>
      <c r="BG125" s="91" t="n">
        <f aca="false">IFERROR(BF125/BF$5,0)</f>
        <v>0</v>
      </c>
      <c r="BI125" s="157" t="n">
        <f aca="false">SUMIFS('Dados Mov Financeira'!$N:$N,'Dados Mov Financeira'!$O:$O,'DRE 2024'!$B125,'Dados Mov Financeira'!$A:$A,'DRE 2024'!BI$1,'Dados Mov Financeira'!$B:$B,'DRE 2024'!BI$2)</f>
        <v>0</v>
      </c>
      <c r="BJ125" s="91" t="n">
        <f aca="false">IFERROR(BI125/BI$5,0)</f>
        <v>0</v>
      </c>
      <c r="BK125" s="139" t="n">
        <f aca="false">IFERROR((BI125/BF125)-1,0)</f>
        <v>0</v>
      </c>
      <c r="BL125" s="157" t="n">
        <v>0</v>
      </c>
      <c r="BM125" s="91" t="n">
        <f aca="false">IFERROR(BL125/BL$5,0)</f>
        <v>0</v>
      </c>
      <c r="BO125" s="157" t="n">
        <f aca="false">SUMIFS('Dados Mov Financeira'!$N:$N,'Dados Mov Financeira'!$O:$O,'DRE 2024'!$B125,'Dados Mov Financeira'!$A:$A,'DRE 2024'!BO$1,'Dados Mov Financeira'!$B:$B,'DRE 2024'!BO$2)</f>
        <v>0</v>
      </c>
      <c r="BP125" s="91" t="n">
        <f aca="false">IFERROR(BO125/BO$5,0)</f>
        <v>0</v>
      </c>
      <c r="BQ125" s="139" t="n">
        <f aca="false">IFERROR((BO125/BL125)-1,0)</f>
        <v>0</v>
      </c>
      <c r="BR125" s="157" t="n">
        <v>0</v>
      </c>
      <c r="BS125" s="91" t="n">
        <f aca="false">IFERROR(BR125/BR$5,0)</f>
        <v>0</v>
      </c>
      <c r="BT125" s="171"/>
      <c r="BU125" s="157" t="n">
        <f aca="false">SUMIFS('Dados Mov Financeira'!$N:$N,'Dados Mov Financeira'!$O:$O,'DRE 2024'!$B125,'Dados Mov Financeira'!$A:$A,'DRE 2024'!BU$1,'Dados Mov Financeira'!$B:$B,'DRE 2024'!BU$2)</f>
        <v>0</v>
      </c>
      <c r="BV125" s="91" t="n">
        <f aca="false">IFERROR(BU125/BU$5,0)</f>
        <v>0</v>
      </c>
      <c r="BW125" s="139" t="n">
        <f aca="false">IFERROR((BU125/BR125)-1,0)</f>
        <v>0</v>
      </c>
      <c r="BX125" s="172" t="n">
        <f aca="false">SUM(D125,J125,P125,V125,AB125,AH125,AN125,AT125,AZ125,BF125,BL125,BR125)</f>
        <v>0</v>
      </c>
      <c r="BY125" s="91" t="n">
        <f aca="false">IFERROR(BX125/BX$5,0)</f>
        <v>0</v>
      </c>
      <c r="CA125" s="172" t="n">
        <f aca="false">SUM(G125,M125,S125,Y125,AE125,AK125,AQ125,AW125,BC125,BI125,BO125,BU125)</f>
        <v>0</v>
      </c>
      <c r="CB125" s="91" t="n">
        <f aca="false">IFERROR(CA125/CA$5,0)</f>
        <v>0</v>
      </c>
      <c r="CC125" s="139" t="n">
        <f aca="false">IFERROR((CA125/BX125)-1,0)</f>
        <v>0</v>
      </c>
      <c r="CE125" s="174" t="n">
        <f aca="false">BX125/$CF$1</f>
        <v>0</v>
      </c>
      <c r="CF125" s="94" t="n">
        <f aca="false">IFERROR(CE125/CE$5,0)</f>
        <v>0</v>
      </c>
      <c r="CH125" s="174" t="n">
        <f aca="false">CA125/$CI$1</f>
        <v>0</v>
      </c>
      <c r="CI125" s="94" t="n">
        <f aca="false">IFERROR(CH125/CH$5,0)</f>
        <v>0</v>
      </c>
    </row>
    <row r="126" customFormat="false" ht="15.75" hidden="false" customHeight="true" outlineLevel="1" collapsed="false">
      <c r="B126" s="169" t="s">
        <v>183</v>
      </c>
      <c r="D126" s="157"/>
      <c r="E126" s="91"/>
      <c r="G126" s="157" t="n">
        <f aca="false">SUMIFS('Dados Mov Financeira'!$N:$N,'Dados Mov Financeira'!$O:$O,'DRE 2024'!$B126,'Dados Mov Financeira'!$A:$A,'DRE 2024'!G$1,'Dados Mov Financeira'!$B:$B,'DRE 2024'!G$2)</f>
        <v>0</v>
      </c>
      <c r="H126" s="91" t="n">
        <f aca="false">IFERROR(G126/G$5,0)</f>
        <v>0</v>
      </c>
      <c r="I126" s="138"/>
      <c r="J126" s="157"/>
      <c r="K126" s="91"/>
      <c r="M126" s="157" t="n">
        <f aca="false">SUMIFS('Dados Mov Financeira'!$N:$N,'Dados Mov Financeira'!$O:$O,'DRE 2024'!$B126,'Dados Mov Financeira'!$A:$A,'DRE 2024'!M$1,'Dados Mov Financeira'!$B:$B,'DRE 2024'!M$2)</f>
        <v>0</v>
      </c>
      <c r="N126" s="91" t="n">
        <f aca="false">IFERROR(M126/M$5,0)</f>
        <v>0</v>
      </c>
      <c r="O126" s="139" t="n">
        <f aca="false">IFERROR((M126/J126)-1,0)</f>
        <v>0</v>
      </c>
      <c r="P126" s="157" t="n">
        <v>0</v>
      </c>
      <c r="Q126" s="91" t="n">
        <f aca="false">IFERROR(P126/P$5,0)</f>
        <v>0</v>
      </c>
      <c r="S126" s="157"/>
      <c r="T126" s="91"/>
      <c r="U126" s="139"/>
      <c r="V126" s="157" t="n">
        <v>0</v>
      </c>
      <c r="W126" s="91" t="n">
        <f aca="false">IFERROR(V126/V$5,0)</f>
        <v>0</v>
      </c>
      <c r="Y126" s="157"/>
      <c r="Z126" s="91"/>
      <c r="AA126" s="139"/>
      <c r="AB126" s="157" t="n">
        <v>0</v>
      </c>
      <c r="AC126" s="91" t="n">
        <f aca="false">IFERROR(AB126/AB$5,0)</f>
        <v>0</v>
      </c>
      <c r="AE126" s="157"/>
      <c r="AF126" s="91"/>
      <c r="AG126" s="139"/>
      <c r="AH126" s="157" t="n">
        <v>0</v>
      </c>
      <c r="AI126" s="91" t="n">
        <f aca="false">IFERROR(AH126/AH$5,0)</f>
        <v>0</v>
      </c>
      <c r="AK126" s="157"/>
      <c r="AL126" s="91"/>
      <c r="AM126" s="139"/>
      <c r="AN126" s="157" t="n">
        <v>0</v>
      </c>
      <c r="AO126" s="91" t="n">
        <f aca="false">IFERROR(AN126/AN$5,0)</f>
        <v>0</v>
      </c>
      <c r="AQ126" s="157"/>
      <c r="AR126" s="91"/>
      <c r="AS126" s="139"/>
      <c r="AT126" s="157" t="n">
        <v>0</v>
      </c>
      <c r="AU126" s="91" t="n">
        <f aca="false">IFERROR(AT126/AT$5,0)</f>
        <v>0</v>
      </c>
      <c r="AW126" s="157"/>
      <c r="AX126" s="91"/>
      <c r="AY126" s="139"/>
      <c r="AZ126" s="157" t="n">
        <v>0</v>
      </c>
      <c r="BA126" s="91" t="n">
        <f aca="false">IFERROR(AZ126/AZ$5,0)</f>
        <v>0</v>
      </c>
      <c r="BC126" s="157"/>
      <c r="BD126" s="91"/>
      <c r="BE126" s="139"/>
      <c r="BF126" s="157" t="n">
        <v>0</v>
      </c>
      <c r="BG126" s="91" t="n">
        <f aca="false">IFERROR(BF126/BF$5,0)</f>
        <v>0</v>
      </c>
      <c r="BI126" s="157"/>
      <c r="BJ126" s="91"/>
      <c r="BK126" s="139"/>
      <c r="BL126" s="157" t="n">
        <v>0</v>
      </c>
      <c r="BM126" s="91" t="n">
        <f aca="false">IFERROR(BL126/BL$5,0)</f>
        <v>0</v>
      </c>
      <c r="BO126" s="157"/>
      <c r="BP126" s="91"/>
      <c r="BQ126" s="139"/>
      <c r="BR126" s="157" t="n">
        <v>0</v>
      </c>
      <c r="BS126" s="91" t="n">
        <f aca="false">IFERROR(BR126/BR$5,0)</f>
        <v>0</v>
      </c>
      <c r="BT126" s="171"/>
      <c r="BU126" s="157"/>
      <c r="BV126" s="91"/>
      <c r="BW126" s="139"/>
      <c r="BX126" s="157" t="n">
        <v>0</v>
      </c>
      <c r="BY126" s="91" t="n">
        <f aca="false">IFERROR(BX126/BX$5,0)</f>
        <v>0</v>
      </c>
      <c r="CA126" s="172"/>
      <c r="CB126" s="108"/>
      <c r="CC126" s="139"/>
      <c r="CE126" s="157" t="n">
        <v>0</v>
      </c>
      <c r="CF126" s="91" t="n">
        <f aca="false">IFERROR(CE126/CE$5,0)</f>
        <v>0</v>
      </c>
      <c r="CH126" s="174"/>
      <c r="CI126" s="94"/>
    </row>
    <row r="127" customFormat="false" ht="14.25" hidden="false" customHeight="false" outlineLevel="1" collapsed="false">
      <c r="B127" s="169" t="s">
        <v>160</v>
      </c>
      <c r="D127" s="157" t="n">
        <f aca="false">SUMIFS('Dados Mov Financeira'!$N:$N,'Dados Mov Financeira'!$O:$O,'DRE 2024'!$B127,'Dados Mov Financeira'!$A:$A,'DRE 2024'!D$1,'Dados Mov Financeira'!$B:$B,'DRE 2024'!D$2)</f>
        <v>0</v>
      </c>
      <c r="E127" s="91" t="n">
        <f aca="false">IFERROR(D127/D$5,0)</f>
        <v>0</v>
      </c>
      <c r="G127" s="157" t="n">
        <f aca="false">SUMIFS('Dados Mov Financeira'!$N:$N,'Dados Mov Financeira'!$O:$O,'DRE 2024'!$B127,'Dados Mov Financeira'!$A:$A,'DRE 2024'!G$1,'Dados Mov Financeira'!$B:$B,'DRE 2024'!G$2)</f>
        <v>0</v>
      </c>
      <c r="H127" s="91" t="n">
        <f aca="false">IFERROR(G127/G$5,0)</f>
        <v>0</v>
      </c>
      <c r="I127" s="138" t="n">
        <f aca="false">IFERROR((G127/D127)-1,0)</f>
        <v>0</v>
      </c>
      <c r="J127" s="157" t="n">
        <f aca="false">SUMIFS('Dados Mov Financeira'!$N:$N,'Dados Mov Financeira'!$O:$O,'DRE 2024'!$B127,'Dados Mov Financeira'!$A:$A,'DRE 2024'!J$1,'Dados Mov Financeira'!$B:$B,'DRE 2024'!J$2)</f>
        <v>0</v>
      </c>
      <c r="K127" s="91" t="n">
        <f aca="false">IFERROR(J127/J$5,0)</f>
        <v>0</v>
      </c>
      <c r="M127" s="157" t="n">
        <f aca="false">SUMIFS('Dados Mov Financeira'!$N:$N,'Dados Mov Financeira'!$O:$O,'DRE 2024'!$B127,'Dados Mov Financeira'!$A:$A,'DRE 2024'!M$1,'Dados Mov Financeira'!$B:$B,'DRE 2024'!M$2)</f>
        <v>0</v>
      </c>
      <c r="N127" s="91" t="n">
        <f aca="false">IFERROR(M127/M$5,0)</f>
        <v>0</v>
      </c>
      <c r="O127" s="139" t="n">
        <f aca="false">IFERROR((M127/J127)-1,0)</f>
        <v>0</v>
      </c>
      <c r="P127" s="157" t="n">
        <f aca="false">SUMIFS('Dados Mov Financeira'!$N:$N,'Dados Mov Financeira'!$O:$O,'DRE 2024'!$B127,'Dados Mov Financeira'!$A:$A,'DRE 2024'!P$1,'Dados Mov Financeira'!$B:$B,'DRE 2024'!P$2)</f>
        <v>0</v>
      </c>
      <c r="Q127" s="91" t="n">
        <f aca="false">IFERROR(P127/P$5,0)</f>
        <v>0</v>
      </c>
      <c r="S127" s="157" t="n">
        <f aca="false">SUMIFS('Dados Mov Financeira'!$N:$N,'Dados Mov Financeira'!$O:$O,'DRE 2024'!$B127,'Dados Mov Financeira'!$A:$A,'DRE 2024'!S$1,'Dados Mov Financeira'!$B:$B,'DRE 2024'!S$2)</f>
        <v>0</v>
      </c>
      <c r="T127" s="91" t="n">
        <f aca="false">IFERROR(S127/S$5,0)</f>
        <v>0</v>
      </c>
      <c r="U127" s="139" t="n">
        <f aca="false">IFERROR((S127/P127)-1,0)</f>
        <v>0</v>
      </c>
      <c r="V127" s="157" t="n">
        <f aca="false">SUMIFS('Dados Mov Financeira'!$N:$N,'Dados Mov Financeira'!$O:$O,'DRE 2024'!$B127,'Dados Mov Financeira'!$A:$A,'DRE 2024'!V$1,'Dados Mov Financeira'!$B:$B,'DRE 2024'!V$2)</f>
        <v>0</v>
      </c>
      <c r="W127" s="91" t="n">
        <f aca="false">IFERROR(V127/V$5,0)</f>
        <v>0</v>
      </c>
      <c r="Y127" s="157" t="n">
        <f aca="false">SUMIFS('Dados Mov Financeira'!$N:$N,'Dados Mov Financeira'!$O:$O,'DRE 2024'!$B127,'Dados Mov Financeira'!$A:$A,'DRE 2024'!Y$1,'Dados Mov Financeira'!$B:$B,'DRE 2024'!Y$2)</f>
        <v>0</v>
      </c>
      <c r="Z127" s="91" t="n">
        <f aca="false">IFERROR(Y127/Y$5,0)</f>
        <v>0</v>
      </c>
      <c r="AA127" s="139" t="n">
        <f aca="false">IFERROR((Y127/V127)-1,0)</f>
        <v>0</v>
      </c>
      <c r="AB127" s="157" t="n">
        <f aca="false">SUMIFS('Dados Mov Financeira'!$N:$N,'Dados Mov Financeira'!$O:$O,'DRE 2024'!$B127,'Dados Mov Financeira'!$A:$A,'DRE 2024'!AB$1,'Dados Mov Financeira'!$B:$B,'DRE 2024'!AB$2)</f>
        <v>0</v>
      </c>
      <c r="AC127" s="91" t="n">
        <f aca="false">IFERROR(AB127/AB$5,0)</f>
        <v>0</v>
      </c>
      <c r="AE127" s="157" t="n">
        <f aca="false">SUMIFS('Dados Mov Financeira'!$N:$N,'Dados Mov Financeira'!$O:$O,'DRE 2024'!$B127,'Dados Mov Financeira'!$A:$A,'DRE 2024'!AE$1,'Dados Mov Financeira'!$B:$B,'DRE 2024'!AE$2)</f>
        <v>0</v>
      </c>
      <c r="AF127" s="91" t="n">
        <f aca="false">IFERROR(AE127/AE$5,0)</f>
        <v>0</v>
      </c>
      <c r="AG127" s="139" t="n">
        <f aca="false">IFERROR((AE127/AB127)-1,0)</f>
        <v>0</v>
      </c>
      <c r="AH127" s="157" t="n">
        <f aca="false">SUMIFS('Dados Mov Financeira'!$N:$N,'Dados Mov Financeira'!$O:$O,'DRE 2024'!$B127,'Dados Mov Financeira'!$A:$A,'DRE 2024'!AH$1,'Dados Mov Financeira'!$B:$B,'DRE 2024'!AH$2)</f>
        <v>0</v>
      </c>
      <c r="AI127" s="91" t="n">
        <f aca="false">IFERROR(AH127/AH$5,0)</f>
        <v>0</v>
      </c>
      <c r="AK127" s="157" t="n">
        <f aca="false">SUMIFS('Dados Mov Financeira'!$N:$N,'Dados Mov Financeira'!$O:$O,'DRE 2024'!$B127,'Dados Mov Financeira'!$A:$A,'DRE 2024'!AK$1,'Dados Mov Financeira'!$B:$B,'DRE 2024'!AK$2)</f>
        <v>0</v>
      </c>
      <c r="AL127" s="91" t="n">
        <f aca="false">IFERROR(AK127/AK$5,0)</f>
        <v>0</v>
      </c>
      <c r="AM127" s="139" t="n">
        <f aca="false">IFERROR((AK127/AH127)-1,0)</f>
        <v>0</v>
      </c>
      <c r="AN127" s="157" t="n">
        <f aca="false">$D127</f>
        <v>0</v>
      </c>
      <c r="AO127" s="91" t="n">
        <f aca="false">IFERROR(AN127/AN$5,0)</f>
        <v>0</v>
      </c>
      <c r="AQ127" s="157" t="n">
        <f aca="false">SUMIFS('Dados Mov Financeira'!$N:$N,'Dados Mov Financeira'!$O:$O,'DRE 2024'!$B127,'Dados Mov Financeira'!$A:$A,'DRE 2024'!AQ$1,'Dados Mov Financeira'!$B:$B,'DRE 2024'!AQ$2)</f>
        <v>0</v>
      </c>
      <c r="AR127" s="91" t="n">
        <f aca="false">IFERROR(AQ127/AQ$5,0)</f>
        <v>0</v>
      </c>
      <c r="AS127" s="139" t="n">
        <f aca="false">IFERROR((AQ127/AN127)-1,0)</f>
        <v>0</v>
      </c>
      <c r="AT127" s="157" t="n">
        <f aca="false">$D127</f>
        <v>0</v>
      </c>
      <c r="AU127" s="91" t="n">
        <f aca="false">IFERROR(AT127/AT$5,0)</f>
        <v>0</v>
      </c>
      <c r="AW127" s="157" t="n">
        <f aca="false">SUMIFS('Dados Mov Financeira'!$N:$N,'Dados Mov Financeira'!$O:$O,'DRE 2024'!$B127,'Dados Mov Financeira'!$A:$A,'DRE 2024'!AW$1,'Dados Mov Financeira'!$B:$B,'DRE 2024'!AW$2)</f>
        <v>0</v>
      </c>
      <c r="AX127" s="91" t="n">
        <f aca="false">IFERROR(AW127/AW$5,0)</f>
        <v>0</v>
      </c>
      <c r="AY127" s="139" t="n">
        <f aca="false">IFERROR((AW127/AT127)-1,0)</f>
        <v>0</v>
      </c>
      <c r="AZ127" s="157" t="n">
        <f aca="false">$D127</f>
        <v>0</v>
      </c>
      <c r="BA127" s="91" t="n">
        <f aca="false">IFERROR(AZ127/AZ$5,0)</f>
        <v>0</v>
      </c>
      <c r="BC127" s="157" t="n">
        <f aca="false">SUMIFS('Dados Mov Financeira'!$N:$N,'Dados Mov Financeira'!$O:$O,'DRE 2024'!$B127,'Dados Mov Financeira'!$A:$A,'DRE 2024'!BC$1,'Dados Mov Financeira'!$B:$B,'DRE 2024'!BC$2)</f>
        <v>0</v>
      </c>
      <c r="BD127" s="91" t="n">
        <f aca="false">IFERROR(BC127/BC$5,0)</f>
        <v>0</v>
      </c>
      <c r="BE127" s="139" t="n">
        <f aca="false">IFERROR((BC127/AZ127)-1,0)</f>
        <v>0</v>
      </c>
      <c r="BF127" s="157" t="n">
        <f aca="false">$D127</f>
        <v>0</v>
      </c>
      <c r="BG127" s="91" t="n">
        <f aca="false">IFERROR(BF127/BF$5,0)</f>
        <v>0</v>
      </c>
      <c r="BI127" s="157" t="n">
        <f aca="false">SUMIFS('Dados Mov Financeira'!$N:$N,'Dados Mov Financeira'!$O:$O,'DRE 2024'!$B127,'Dados Mov Financeira'!$A:$A,'DRE 2024'!BI$1,'Dados Mov Financeira'!$B:$B,'DRE 2024'!BI$2)</f>
        <v>0</v>
      </c>
      <c r="BJ127" s="91" t="n">
        <f aca="false">IFERROR(BI127/BI$5,0)</f>
        <v>0</v>
      </c>
      <c r="BK127" s="139" t="n">
        <f aca="false">IFERROR((BI127/BF127)-1,0)</f>
        <v>0</v>
      </c>
      <c r="BL127" s="157" t="n">
        <f aca="false">$D127</f>
        <v>0</v>
      </c>
      <c r="BM127" s="91" t="n">
        <f aca="false">IFERROR(BL127/BL$5,0)</f>
        <v>0</v>
      </c>
      <c r="BO127" s="157" t="n">
        <f aca="false">SUMIFS('Dados Mov Financeira'!$N:$N,'Dados Mov Financeira'!$O:$O,'DRE 2024'!$B127,'Dados Mov Financeira'!$A:$A,'DRE 2024'!BO$1,'Dados Mov Financeira'!$B:$B,'DRE 2024'!BO$2)</f>
        <v>0</v>
      </c>
      <c r="BP127" s="91" t="n">
        <f aca="false">IFERROR(BO127/BO$5,0)</f>
        <v>0</v>
      </c>
      <c r="BQ127" s="139" t="n">
        <f aca="false">IFERROR((BO127/BL127)-1,0)</f>
        <v>0</v>
      </c>
      <c r="BR127" s="157" t="n">
        <f aca="false">$D127</f>
        <v>0</v>
      </c>
      <c r="BS127" s="91" t="n">
        <f aca="false">IFERROR(BR127/BR$5,0)</f>
        <v>0</v>
      </c>
      <c r="BT127" s="171"/>
      <c r="BU127" s="157" t="n">
        <f aca="false">SUMIFS('Dados Mov Financeira'!$N:$N,'Dados Mov Financeira'!$O:$O,'DRE 2024'!$B127,'Dados Mov Financeira'!$A:$A,'DRE 2024'!BU$1,'Dados Mov Financeira'!$B:$B,'DRE 2024'!BU$2)</f>
        <v>0</v>
      </c>
      <c r="BV127" s="91" t="n">
        <f aca="false">IFERROR(BU127/BU$5,0)</f>
        <v>0</v>
      </c>
      <c r="BW127" s="139" t="n">
        <f aca="false">IFERROR((BU127/BR127)-1,0)</f>
        <v>0</v>
      </c>
      <c r="BX127" s="172" t="n">
        <f aca="false">SUM(D127,J127,P127,V127,AB127,AH127,AN127,AT127,AZ127,BF127,BL127,BR127)</f>
        <v>0</v>
      </c>
      <c r="BY127" s="108" t="n">
        <f aca="false">IFERROR(BX127/BX$5,0)</f>
        <v>0</v>
      </c>
      <c r="CA127" s="172" t="n">
        <f aca="false">SUM(G127,M127,S127,Y127,AE127,AK127,AQ127,AW127,BC127,BI127,BO127,BU127)</f>
        <v>0</v>
      </c>
      <c r="CB127" s="108" t="n">
        <f aca="false">IFERROR(CA127/CA$5,0)</f>
        <v>0</v>
      </c>
      <c r="CC127" s="139" t="n">
        <f aca="false">IFERROR((CA127/BX127)-1,0)</f>
        <v>0</v>
      </c>
      <c r="CE127" s="174" t="n">
        <f aca="false">BX127/$CF$1</f>
        <v>0</v>
      </c>
      <c r="CF127" s="94" t="n">
        <f aca="false">IFERROR(CE127/CE$5,0)</f>
        <v>0</v>
      </c>
      <c r="CH127" s="174" t="n">
        <f aca="false">CA127/$CI$1</f>
        <v>0</v>
      </c>
      <c r="CI127" s="94" t="n">
        <f aca="false">IFERROR(CH127/CH$5,0)</f>
        <v>0</v>
      </c>
    </row>
    <row r="128" customFormat="false" ht="14.25" hidden="false" customHeight="false" outlineLevel="1" collapsed="false">
      <c r="B128" s="169" t="s">
        <v>161</v>
      </c>
      <c r="D128" s="157" t="n">
        <f aca="false">SUMIFS('Dados Mov Financeira'!$N:$N,'Dados Mov Financeira'!$O:$O,'DRE 2024'!$B128,'Dados Mov Financeira'!$A:$A,'DRE 2024'!D$1,'Dados Mov Financeira'!$B:$B,'DRE 2024'!D$2)</f>
        <v>0</v>
      </c>
      <c r="E128" s="91" t="n">
        <f aca="false">IFERROR(D128/D$5,0)</f>
        <v>0</v>
      </c>
      <c r="G128" s="157" t="n">
        <f aca="false">SUMIFS('Dados Mov Financeira'!$N:$N,'Dados Mov Financeira'!$O:$O,'DRE 2024'!$B128,'Dados Mov Financeira'!$A:$A,'DRE 2024'!G$1,'Dados Mov Financeira'!$B:$B,'DRE 2024'!G$2)</f>
        <v>0</v>
      </c>
      <c r="H128" s="91" t="n">
        <f aca="false">IFERROR(G128/G$5,0)</f>
        <v>0</v>
      </c>
      <c r="I128" s="138" t="n">
        <f aca="false">IFERROR((G128/D128)-1,0)</f>
        <v>0</v>
      </c>
      <c r="J128" s="157" t="n">
        <f aca="false">SUMIFS('Dados Mov Financeira'!$N:$N,'Dados Mov Financeira'!$O:$O,'DRE 2024'!$B128,'Dados Mov Financeira'!$A:$A,'DRE 2024'!J$1,'Dados Mov Financeira'!$B:$B,'DRE 2024'!J$2)</f>
        <v>0</v>
      </c>
      <c r="K128" s="91" t="n">
        <f aca="false">IFERROR(J128/J$5,0)</f>
        <v>0</v>
      </c>
      <c r="M128" s="157" t="n">
        <f aca="false">SUMIFS('Dados Mov Financeira'!$N:$N,'Dados Mov Financeira'!$O:$O,'DRE 2024'!$B128,'Dados Mov Financeira'!$A:$A,'DRE 2024'!M$1,'Dados Mov Financeira'!$B:$B,'DRE 2024'!M$2)</f>
        <v>0</v>
      </c>
      <c r="N128" s="91" t="n">
        <f aca="false">IFERROR(M128/M$5,0)</f>
        <v>0</v>
      </c>
      <c r="O128" s="139" t="n">
        <f aca="false">IFERROR((M128/J128)-1,0)</f>
        <v>0</v>
      </c>
      <c r="P128" s="157" t="n">
        <f aca="false">SUMIFS('Dados Mov Financeira'!$N:$N,'Dados Mov Financeira'!$O:$O,'DRE 2024'!$B128,'Dados Mov Financeira'!$A:$A,'DRE 2024'!P$1,'Dados Mov Financeira'!$B:$B,'DRE 2024'!P$2)</f>
        <v>0</v>
      </c>
      <c r="Q128" s="91" t="n">
        <f aca="false">IFERROR(P128/P$5,0)</f>
        <v>0</v>
      </c>
      <c r="S128" s="157" t="n">
        <f aca="false">SUMIFS('Dados Mov Financeira'!$N:$N,'Dados Mov Financeira'!$O:$O,'DRE 2024'!$B128,'Dados Mov Financeira'!$A:$A,'DRE 2024'!S$1,'Dados Mov Financeira'!$B:$B,'DRE 2024'!S$2)</f>
        <v>0</v>
      </c>
      <c r="T128" s="91" t="n">
        <f aca="false">IFERROR(S128/S$5,0)</f>
        <v>0</v>
      </c>
      <c r="U128" s="139" t="n">
        <f aca="false">IFERROR((S128/P128)-1,0)</f>
        <v>0</v>
      </c>
      <c r="V128" s="157" t="n">
        <f aca="false">SUMIFS('Dados Mov Financeira'!$N:$N,'Dados Mov Financeira'!$O:$O,'DRE 2024'!$B128,'Dados Mov Financeira'!$A:$A,'DRE 2024'!V$1,'Dados Mov Financeira'!$B:$B,'DRE 2024'!V$2)</f>
        <v>0</v>
      </c>
      <c r="W128" s="91" t="n">
        <f aca="false">IFERROR(V128/V$5,0)</f>
        <v>0</v>
      </c>
      <c r="Y128" s="157" t="n">
        <f aca="false">SUMIFS('Dados Mov Financeira'!$N:$N,'Dados Mov Financeira'!$O:$O,'DRE 2024'!$B128,'Dados Mov Financeira'!$A:$A,'DRE 2024'!Y$1,'Dados Mov Financeira'!$B:$B,'DRE 2024'!Y$2)</f>
        <v>0</v>
      </c>
      <c r="Z128" s="91" t="n">
        <f aca="false">IFERROR(Y128/Y$5,0)</f>
        <v>0</v>
      </c>
      <c r="AA128" s="139" t="n">
        <f aca="false">IFERROR((Y128/V128)-1,0)</f>
        <v>0</v>
      </c>
      <c r="AB128" s="157" t="n">
        <f aca="false">SUMIFS('Dados Mov Financeira'!$N:$N,'Dados Mov Financeira'!$O:$O,'DRE 2024'!$B128,'Dados Mov Financeira'!$A:$A,'DRE 2024'!AB$1,'Dados Mov Financeira'!$B:$B,'DRE 2024'!AB$2)</f>
        <v>0</v>
      </c>
      <c r="AC128" s="91" t="n">
        <f aca="false">IFERROR(AB128/AB$5,0)</f>
        <v>0</v>
      </c>
      <c r="AE128" s="157" t="n">
        <f aca="false">SUMIFS('Dados Mov Financeira'!$N:$N,'Dados Mov Financeira'!$O:$O,'DRE 2024'!$B128,'Dados Mov Financeira'!$A:$A,'DRE 2024'!AE$1,'Dados Mov Financeira'!$B:$B,'DRE 2024'!AE$2)</f>
        <v>0</v>
      </c>
      <c r="AF128" s="91" t="n">
        <f aca="false">IFERROR(AE128/AE$5,0)</f>
        <v>0</v>
      </c>
      <c r="AG128" s="139" t="n">
        <f aca="false">IFERROR((AE128/AB128)-1,0)</f>
        <v>0</v>
      </c>
      <c r="AH128" s="157" t="n">
        <f aca="false">SUMIFS('Dados Mov Financeira'!$N:$N,'Dados Mov Financeira'!$O:$O,'DRE 2024'!$B128,'Dados Mov Financeira'!$A:$A,'DRE 2024'!AH$1,'Dados Mov Financeira'!$B:$B,'DRE 2024'!AH$2)</f>
        <v>0</v>
      </c>
      <c r="AI128" s="91" t="n">
        <f aca="false">IFERROR(AH128/AH$5,0)</f>
        <v>0</v>
      </c>
      <c r="AK128" s="157" t="n">
        <f aca="false">SUMIFS('Dados Mov Financeira'!$N:$N,'Dados Mov Financeira'!$O:$O,'DRE 2024'!$B128,'Dados Mov Financeira'!$A:$A,'DRE 2024'!AK$1,'Dados Mov Financeira'!$B:$B,'DRE 2024'!AK$2)</f>
        <v>0</v>
      </c>
      <c r="AL128" s="91" t="n">
        <f aca="false">IFERROR(AK128/AK$5,0)</f>
        <v>0</v>
      </c>
      <c r="AM128" s="139" t="n">
        <f aca="false">IFERROR((AK128/AH128)-1,0)</f>
        <v>0</v>
      </c>
      <c r="AN128" s="157" t="n">
        <f aca="false">$D128</f>
        <v>0</v>
      </c>
      <c r="AO128" s="91" t="n">
        <f aca="false">IFERROR(AN128/AN$5,0)</f>
        <v>0</v>
      </c>
      <c r="AQ128" s="157" t="n">
        <f aca="false">SUMIFS('Dados Mov Financeira'!$N:$N,'Dados Mov Financeira'!$O:$O,'DRE 2024'!$B128,'Dados Mov Financeira'!$A:$A,'DRE 2024'!AQ$1,'Dados Mov Financeira'!$B:$B,'DRE 2024'!AQ$2)</f>
        <v>0</v>
      </c>
      <c r="AR128" s="91" t="n">
        <f aca="false">IFERROR(AQ128/AQ$5,0)</f>
        <v>0</v>
      </c>
      <c r="AS128" s="139" t="n">
        <f aca="false">IFERROR((AQ128/AN128)-1,0)</f>
        <v>0</v>
      </c>
      <c r="AT128" s="157" t="n">
        <f aca="false">$D128</f>
        <v>0</v>
      </c>
      <c r="AU128" s="91" t="n">
        <f aca="false">IFERROR(AT128/AT$5,0)</f>
        <v>0</v>
      </c>
      <c r="AW128" s="157" t="n">
        <f aca="false">SUMIFS('Dados Mov Financeira'!$N:$N,'Dados Mov Financeira'!$O:$O,'DRE 2024'!$B128,'Dados Mov Financeira'!$A:$A,'DRE 2024'!AW$1,'Dados Mov Financeira'!$B:$B,'DRE 2024'!AW$2)</f>
        <v>0</v>
      </c>
      <c r="AX128" s="91" t="n">
        <f aca="false">IFERROR(AW128/AW$5,0)</f>
        <v>0</v>
      </c>
      <c r="AY128" s="139" t="n">
        <f aca="false">IFERROR((AW128/AT128)-1,0)</f>
        <v>0</v>
      </c>
      <c r="AZ128" s="157" t="n">
        <f aca="false">$D128</f>
        <v>0</v>
      </c>
      <c r="BA128" s="91" t="n">
        <f aca="false">IFERROR(AZ128/AZ$5,0)</f>
        <v>0</v>
      </c>
      <c r="BC128" s="157" t="n">
        <f aca="false">SUMIFS('Dados Mov Financeira'!$N:$N,'Dados Mov Financeira'!$O:$O,'DRE 2024'!$B128,'Dados Mov Financeira'!$A:$A,'DRE 2024'!BC$1,'Dados Mov Financeira'!$B:$B,'DRE 2024'!BC$2)</f>
        <v>0</v>
      </c>
      <c r="BD128" s="91" t="n">
        <f aca="false">IFERROR(BC128/BC$5,0)</f>
        <v>0</v>
      </c>
      <c r="BE128" s="139" t="n">
        <f aca="false">IFERROR((BC128/AZ128)-1,0)</f>
        <v>0</v>
      </c>
      <c r="BF128" s="157" t="n">
        <f aca="false">$D128</f>
        <v>0</v>
      </c>
      <c r="BG128" s="91" t="n">
        <f aca="false">IFERROR(BF128/BF$5,0)</f>
        <v>0</v>
      </c>
      <c r="BI128" s="157" t="n">
        <f aca="false">SUMIFS('Dados Mov Financeira'!$N:$N,'Dados Mov Financeira'!$O:$O,'DRE 2024'!$B128,'Dados Mov Financeira'!$A:$A,'DRE 2024'!BI$1,'Dados Mov Financeira'!$B:$B,'DRE 2024'!BI$2)</f>
        <v>0</v>
      </c>
      <c r="BJ128" s="91" t="n">
        <f aca="false">IFERROR(BI128/BI$5,0)</f>
        <v>0</v>
      </c>
      <c r="BK128" s="139" t="n">
        <f aca="false">IFERROR((BI128/BF128)-1,0)</f>
        <v>0</v>
      </c>
      <c r="BL128" s="157" t="n">
        <f aca="false">$D128</f>
        <v>0</v>
      </c>
      <c r="BM128" s="91" t="n">
        <f aca="false">IFERROR(BL128/BL$5,0)</f>
        <v>0</v>
      </c>
      <c r="BO128" s="157" t="n">
        <f aca="false">SUMIFS('Dados Mov Financeira'!$N:$N,'Dados Mov Financeira'!$O:$O,'DRE 2024'!$B128,'Dados Mov Financeira'!$A:$A,'DRE 2024'!BO$1,'Dados Mov Financeira'!$B:$B,'DRE 2024'!BO$2)</f>
        <v>0</v>
      </c>
      <c r="BP128" s="91" t="n">
        <f aca="false">IFERROR(BO128/BO$5,0)</f>
        <v>0</v>
      </c>
      <c r="BQ128" s="139" t="n">
        <f aca="false">IFERROR((BO128/BL128)-1,0)</f>
        <v>0</v>
      </c>
      <c r="BR128" s="157" t="n">
        <f aca="false">$D128</f>
        <v>0</v>
      </c>
      <c r="BS128" s="91" t="n">
        <f aca="false">IFERROR(BR128/BR$5,0)</f>
        <v>0</v>
      </c>
      <c r="BT128" s="171"/>
      <c r="BU128" s="157" t="n">
        <f aca="false">SUMIFS('Dados Mov Financeira'!$N:$N,'Dados Mov Financeira'!$O:$O,'DRE 2024'!$B128,'Dados Mov Financeira'!$A:$A,'DRE 2024'!BU$1,'Dados Mov Financeira'!$B:$B,'DRE 2024'!BU$2)</f>
        <v>0</v>
      </c>
      <c r="BV128" s="91" t="n">
        <f aca="false">IFERROR(BU128/BU$5,0)</f>
        <v>0</v>
      </c>
      <c r="BW128" s="139" t="n">
        <f aca="false">IFERROR((BU128/BR128)-1,0)</f>
        <v>0</v>
      </c>
      <c r="BX128" s="172" t="n">
        <f aca="false">SUM(D128,J128,P128,V128,AB128,AH128,AN128,AT128,AZ128,BF128,BL128,BR128)</f>
        <v>0</v>
      </c>
      <c r="BY128" s="108" t="n">
        <f aca="false">IFERROR(BX128/BX$5,0)</f>
        <v>0</v>
      </c>
      <c r="CA128" s="172" t="n">
        <f aca="false">SUM(G128,M128,S128,Y128,AE128,AK128,AQ128,AW128,BC128,BI128,BO128,BU128)</f>
        <v>0</v>
      </c>
      <c r="CB128" s="108" t="n">
        <f aca="false">IFERROR(CA128/CA$5,0)</f>
        <v>0</v>
      </c>
      <c r="CC128" s="139" t="n">
        <f aca="false">IFERROR((CA128/BX128)-1,0)</f>
        <v>0</v>
      </c>
      <c r="CE128" s="174" t="n">
        <f aca="false">BX128/$CF$1</f>
        <v>0</v>
      </c>
      <c r="CF128" s="94" t="n">
        <f aca="false">IFERROR(CE128/CE$5,0)</f>
        <v>0</v>
      </c>
      <c r="CH128" s="174" t="n">
        <f aca="false">CA128/$CI$1</f>
        <v>0</v>
      </c>
      <c r="CI128" s="94" t="n">
        <f aca="false">IFERROR(CH128/CH$5,0)</f>
        <v>0</v>
      </c>
    </row>
    <row r="129" s="128" customFormat="true" ht="9" hidden="false" customHeight="true" outlineLevel="0" collapsed="false">
      <c r="B129" s="135"/>
      <c r="C129" s="145"/>
      <c r="D129" s="161"/>
      <c r="E129" s="60"/>
      <c r="F129" s="145"/>
      <c r="G129" s="161"/>
      <c r="H129" s="60"/>
      <c r="I129" s="60"/>
      <c r="J129" s="161"/>
      <c r="K129" s="60"/>
      <c r="L129" s="145"/>
      <c r="M129" s="161"/>
      <c r="N129" s="60"/>
      <c r="O129" s="149"/>
      <c r="P129" s="161"/>
      <c r="Q129" s="60"/>
      <c r="R129" s="145"/>
      <c r="S129" s="161"/>
      <c r="T129" s="60"/>
      <c r="U129" s="149"/>
      <c r="V129" s="161"/>
      <c r="W129" s="60"/>
      <c r="X129" s="145"/>
      <c r="Y129" s="161"/>
      <c r="Z129" s="60"/>
      <c r="AA129" s="149"/>
      <c r="AB129" s="161"/>
      <c r="AC129" s="60"/>
      <c r="AD129" s="145"/>
      <c r="AE129" s="161"/>
      <c r="AF129" s="60"/>
      <c r="AG129" s="149"/>
      <c r="AH129" s="161"/>
      <c r="AI129" s="60"/>
      <c r="AJ129" s="145"/>
      <c r="AK129" s="161"/>
      <c r="AL129" s="60"/>
      <c r="AM129" s="149"/>
      <c r="AN129" s="161"/>
      <c r="AO129" s="60"/>
      <c r="AP129" s="145"/>
      <c r="AQ129" s="161"/>
      <c r="AR129" s="60"/>
      <c r="AS129" s="149"/>
      <c r="AT129" s="161"/>
      <c r="AU129" s="60"/>
      <c r="AV129" s="145"/>
      <c r="AW129" s="161"/>
      <c r="AX129" s="60"/>
      <c r="AY129" s="149"/>
      <c r="AZ129" s="161"/>
      <c r="BA129" s="60"/>
      <c r="BB129" s="145"/>
      <c r="BC129" s="161"/>
      <c r="BD129" s="60"/>
      <c r="BE129" s="149"/>
      <c r="BF129" s="161"/>
      <c r="BG129" s="60"/>
      <c r="BH129" s="145"/>
      <c r="BI129" s="161"/>
      <c r="BJ129" s="60"/>
      <c r="BK129" s="149"/>
      <c r="BL129" s="161"/>
      <c r="BM129" s="60"/>
      <c r="BN129" s="145"/>
      <c r="BO129" s="161"/>
      <c r="BP129" s="60"/>
      <c r="BQ129" s="149"/>
      <c r="BR129" s="161"/>
      <c r="BS129" s="60"/>
      <c r="BT129" s="149"/>
      <c r="BU129" s="161"/>
      <c r="BV129" s="60"/>
      <c r="BW129" s="149"/>
      <c r="BX129" s="161"/>
      <c r="BY129" s="60"/>
      <c r="BZ129" s="145"/>
      <c r="CA129" s="161"/>
      <c r="CB129" s="60"/>
      <c r="CC129" s="149"/>
      <c r="CD129" s="145"/>
      <c r="CE129" s="162"/>
      <c r="CF129" s="60"/>
      <c r="CG129" s="145"/>
      <c r="CH129" s="162"/>
      <c r="CI129" s="60"/>
    </row>
    <row r="130" s="150" customFormat="true" ht="14.25" hidden="true" customHeight="false" outlineLevel="0" collapsed="false">
      <c r="A130" s="126"/>
      <c r="B130" s="188" t="s">
        <v>162</v>
      </c>
      <c r="D130" s="189" t="n">
        <f aca="false">D115+D117</f>
        <v>13280.058</v>
      </c>
      <c r="E130" s="104" t="n">
        <f aca="false">IFERROR(D130/D$5,0)</f>
        <v>0.166000725</v>
      </c>
      <c r="G130" s="189" t="n">
        <f aca="false">G115+G117</f>
        <v>0</v>
      </c>
      <c r="H130" s="104" t="n">
        <f aca="false">IFERROR(G130/G$5,0)</f>
        <v>0</v>
      </c>
      <c r="I130" s="138" t="n">
        <f aca="false">IFERROR(G130/D130,0)</f>
        <v>0</v>
      </c>
      <c r="J130" s="189" t="n">
        <f aca="false">J115+J117</f>
        <v>10465.058</v>
      </c>
      <c r="K130" s="104" t="n">
        <f aca="false">IFERROR(J130/J$5,0)</f>
        <v>0.123118329411765</v>
      </c>
      <c r="M130" s="189" t="n">
        <f aca="false">M115+M117</f>
        <v>0</v>
      </c>
      <c r="N130" s="104" t="n">
        <f aca="false">IFERROR(M130/M$5,0)</f>
        <v>0</v>
      </c>
      <c r="O130" s="139" t="n">
        <f aca="false">IFERROR(M130/J130,0)</f>
        <v>0</v>
      </c>
      <c r="P130" s="189" t="n">
        <f aca="false">P115+P117</f>
        <v>12815.058</v>
      </c>
      <c r="Q130" s="104" t="n">
        <f aca="false">IFERROR(P130/P$5,0)</f>
        <v>0.142389533333333</v>
      </c>
      <c r="S130" s="189" t="n">
        <f aca="false">S115+S117</f>
        <v>0</v>
      </c>
      <c r="T130" s="104" t="n">
        <f aca="false">IFERROR(S130/S$5,0)</f>
        <v>0</v>
      </c>
      <c r="U130" s="139" t="n">
        <f aca="false">IFERROR(S130/P130,0)</f>
        <v>0</v>
      </c>
      <c r="V130" s="189" t="n">
        <f aca="false">V115+V117</f>
        <v>17485.058</v>
      </c>
      <c r="W130" s="104" t="n">
        <f aca="false">IFERROR(V130/V$5,0)</f>
        <v>0.17485058</v>
      </c>
      <c r="Y130" s="189" t="n">
        <f aca="false">Y115+Y117</f>
        <v>0</v>
      </c>
      <c r="Z130" s="104" t="n">
        <f aca="false">IFERROR(Y130/Y$5,0)</f>
        <v>0</v>
      </c>
      <c r="AA130" s="139" t="n">
        <f aca="false">IFERROR(Y130/V130,0)</f>
        <v>0</v>
      </c>
      <c r="AB130" s="189" t="n">
        <f aca="false">AB115+AB117</f>
        <v>23255.058</v>
      </c>
      <c r="AC130" s="104" t="n">
        <f aca="false">IFERROR(AB130/AB$5,0)</f>
        <v>0.211409618181818</v>
      </c>
      <c r="AE130" s="189" t="n">
        <f aca="false">AE115+AE117</f>
        <v>0</v>
      </c>
      <c r="AF130" s="104" t="n">
        <f aca="false">IFERROR(AE130/AE$5,0)</f>
        <v>0</v>
      </c>
      <c r="AG130" s="139" t="n">
        <f aca="false">IFERROR(AE130/AB130,0)</f>
        <v>0</v>
      </c>
      <c r="AH130" s="189" t="n">
        <f aca="false">AH115+AH117</f>
        <v>29345.058</v>
      </c>
      <c r="AI130" s="104" t="n">
        <f aca="false">IFERROR(AH130/AH$5,0)</f>
        <v>0.24454215</v>
      </c>
      <c r="AK130" s="189" t="n">
        <f aca="false">AK115+AK117</f>
        <v>0</v>
      </c>
      <c r="AL130" s="104" t="n">
        <f aca="false">IFERROR(AK130/AK$5,0)</f>
        <v>0</v>
      </c>
      <c r="AM130" s="139" t="n">
        <f aca="false">IFERROR(AK130/AH130,0)</f>
        <v>0</v>
      </c>
      <c r="AN130" s="189" t="n">
        <f aca="false">AN115+AN117</f>
        <v>34225.058</v>
      </c>
      <c r="AO130" s="104" t="n">
        <f aca="false">IFERROR(AN130/AN$5,0)</f>
        <v>0.263269676923077</v>
      </c>
      <c r="AQ130" s="189" t="n">
        <f aca="false">AQ115+AQ117</f>
        <v>0</v>
      </c>
      <c r="AR130" s="104" t="n">
        <f aca="false">IFERROR(AQ130/AQ$5,0)</f>
        <v>0</v>
      </c>
      <c r="AS130" s="139" t="n">
        <f aca="false">IFERROR(AQ130/AN130,0)</f>
        <v>0</v>
      </c>
      <c r="AT130" s="189" t="n">
        <f aca="false">AT115+AT117</f>
        <v>38505.058</v>
      </c>
      <c r="AU130" s="104" t="n">
        <f aca="false">IFERROR(AT130/AT$5,0)</f>
        <v>0.275036128571429</v>
      </c>
      <c r="AW130" s="189" t="n">
        <f aca="false">AW115+AW117</f>
        <v>0</v>
      </c>
      <c r="AX130" s="104" t="n">
        <f aca="false">IFERROR(AW130/AW$5,0)</f>
        <v>0</v>
      </c>
      <c r="AY130" s="139" t="n">
        <f aca="false">IFERROR(AW130/AT130,0)</f>
        <v>0</v>
      </c>
      <c r="AZ130" s="189" t="n">
        <f aca="false">AZ115+AZ117</f>
        <v>45635.058</v>
      </c>
      <c r="BA130" s="104" t="n">
        <f aca="false">IFERROR(AZ130/AZ$5,0)</f>
        <v>0.30423372</v>
      </c>
      <c r="BC130" s="189" t="n">
        <f aca="false">BC115+BC117</f>
        <v>0</v>
      </c>
      <c r="BD130" s="104" t="n">
        <f aca="false">IFERROR(BC130/BC$5,0)</f>
        <v>0</v>
      </c>
      <c r="BE130" s="139" t="n">
        <f aca="false">IFERROR(BC130/AZ130,0)</f>
        <v>0</v>
      </c>
      <c r="BF130" s="189" t="n">
        <f aca="false">BF115+BF117</f>
        <v>46085.058</v>
      </c>
      <c r="BG130" s="104" t="n">
        <f aca="false">IFERROR(BF130/BF$5,0)</f>
        <v>0.30723372</v>
      </c>
      <c r="BI130" s="189" t="n">
        <f aca="false">BI115+BI117</f>
        <v>0</v>
      </c>
      <c r="BJ130" s="104" t="n">
        <f aca="false">IFERROR(BI130/BI$5,0)</f>
        <v>0</v>
      </c>
      <c r="BK130" s="139" t="n">
        <f aca="false">IFERROR(BI130/BF130,0)</f>
        <v>0</v>
      </c>
      <c r="BL130" s="189" t="n">
        <f aca="false">BL115+BL117</f>
        <v>42785.058</v>
      </c>
      <c r="BM130" s="104" t="n">
        <f aca="false">IFERROR(BL130/BL$5,0)</f>
        <v>0.28523372</v>
      </c>
      <c r="BO130" s="189" t="n">
        <f aca="false">BO115+BO117</f>
        <v>0</v>
      </c>
      <c r="BP130" s="104" t="n">
        <f aca="false">IFERROR(BO130/BO$5,0)</f>
        <v>0</v>
      </c>
      <c r="BQ130" s="139" t="n">
        <f aca="false">IFERROR(BO130/BL130,0)</f>
        <v>0</v>
      </c>
      <c r="BR130" s="189" t="n">
        <f aca="false">BR115+BR117</f>
        <v>42785.058</v>
      </c>
      <c r="BS130" s="104" t="n">
        <f aca="false">IFERROR(BR130/BR$5,0)</f>
        <v>0.28523372</v>
      </c>
      <c r="BT130" s="140"/>
      <c r="BU130" s="189" t="n">
        <f aca="false">BU115+BU117</f>
        <v>-6500</v>
      </c>
      <c r="BV130" s="104" t="n">
        <f aca="false">IFERROR(BU130/BU$5,0)</f>
        <v>0</v>
      </c>
      <c r="BW130" s="139" t="n">
        <f aca="false">IFERROR(BU130/BR130,0)</f>
        <v>-0.151922196763178</v>
      </c>
      <c r="BX130" s="189" t="n">
        <f aca="false">BX115+BX117</f>
        <v>360665.696</v>
      </c>
      <c r="BY130" s="104" t="n">
        <f aca="false">IFERROR(BX130/BX$5,0)</f>
        <v>0.247880203436426</v>
      </c>
      <c r="CA130" s="189" t="n">
        <f aca="false">CA115+CA117</f>
        <v>-6500</v>
      </c>
      <c r="CB130" s="104" t="n">
        <f aca="false">IFERROR(CA130/CA$5,0)</f>
        <v>0</v>
      </c>
      <c r="CC130" s="139" t="n">
        <f aca="false">IFERROR(CA130/BX130,0)</f>
        <v>-0.0180222296494757</v>
      </c>
      <c r="CE130" s="189" t="n">
        <f aca="false">CE115+CE117</f>
        <v>30055.4746666667</v>
      </c>
      <c r="CF130" s="104" t="n">
        <f aca="false">IFERROR(CE130/CE$5,0)</f>
        <v>0.247880203436426</v>
      </c>
      <c r="CH130" s="189" t="n">
        <f aca="false">CH115+CH117</f>
        <v>-541.666666666667</v>
      </c>
      <c r="CI130" s="104" t="n">
        <f aca="false">IFERROR(CH130/CH$5,0)</f>
        <v>0</v>
      </c>
    </row>
    <row r="131" customFormat="false" ht="13.5" hidden="true" customHeight="false" outlineLevel="0" collapsed="false">
      <c r="B131" s="197" t="s">
        <v>163</v>
      </c>
      <c r="D131" s="173" t="n">
        <f aca="false">-D44/(E42)</f>
        <v>55418.6802406293</v>
      </c>
      <c r="E131" s="95" t="n">
        <f aca="false">IFERROR(D131/D$5,0)</f>
        <v>0.692733503007867</v>
      </c>
      <c r="J131" s="173" t="n">
        <f aca="false">-J44/(K42)</f>
        <v>62188.6157199641</v>
      </c>
      <c r="K131" s="95" t="n">
        <f aca="false">IFERROR(J131/J$5,0)</f>
        <v>0.731630773176048</v>
      </c>
      <c r="P131" s="173" t="n">
        <f aca="false">-P44/(Q42)</f>
        <v>62093.9941930801</v>
      </c>
      <c r="Q131" s="95" t="n">
        <f aca="false">IFERROR(P131/P$5,0)</f>
        <v>0.689933268812001</v>
      </c>
      <c r="S131" s="173" t="e">
        <f aca="false">-S44/(T42)</f>
        <v>#DIV/0!</v>
      </c>
      <c r="T131" s="95" t="n">
        <f aca="false">IFERROR(S131/S$5,0)</f>
        <v>0</v>
      </c>
      <c r="V131" s="173" t="n">
        <f aca="false">-V44/(W42)</f>
        <v>61989.0043478261</v>
      </c>
      <c r="W131" s="95" t="n">
        <f aca="false">IFERROR(V131/V$5,0)</f>
        <v>0.619890043478261</v>
      </c>
      <c r="Y131" s="173" t="e">
        <f aca="false">-Y44/(Z42)</f>
        <v>#DIV/0!</v>
      </c>
      <c r="Z131" s="95" t="n">
        <f aca="false">IFERROR(Y131/Y$5,0)</f>
        <v>0</v>
      </c>
      <c r="AB131" s="173" t="n">
        <f aca="false">-AB44/(AC42)</f>
        <v>60588.05524435</v>
      </c>
      <c r="AC131" s="95" t="n">
        <f aca="false">IFERROR(AB131/AB$5,0)</f>
        <v>0.550800502221364</v>
      </c>
      <c r="AH131" s="173" t="n">
        <f aca="false">-AH44/(AI42)</f>
        <v>59139.1814725199</v>
      </c>
      <c r="AI131" s="95" t="n">
        <f aca="false">IFERROR(AH131/AH$5,0)</f>
        <v>0.492826512270999</v>
      </c>
      <c r="AN131" s="173" t="n">
        <f aca="false">-AN44/(AO42)</f>
        <v>59084.1960471788</v>
      </c>
      <c r="AO131" s="95" t="n">
        <f aca="false">IFERROR(AN131/AN$5,0)</f>
        <v>0.45449381574753</v>
      </c>
      <c r="AQ131" s="173" t="e">
        <f aca="false">-AQ44/(AR42)</f>
        <v>#DIV/0!</v>
      </c>
      <c r="AR131" s="95" t="n">
        <f aca="false">IFERROR(AQ131/AQ$5,0)</f>
        <v>0</v>
      </c>
      <c r="AT131" s="173" t="n">
        <f aca="false">-AT44/(AU42)</f>
        <v>61896.4340770791</v>
      </c>
      <c r="AU131" s="95" t="n">
        <f aca="false">IFERROR(AT131/AT$5,0)</f>
        <v>0.442117386264851</v>
      </c>
      <c r="AW131" s="173" t="e">
        <f aca="false">-AW44/(AX42)</f>
        <v>#DIV/0!</v>
      </c>
      <c r="AX131" s="95" t="n">
        <f aca="false">IFERROR(AW131/AW$5,0)</f>
        <v>0</v>
      </c>
      <c r="AZ131" s="173" t="n">
        <f aca="false">-AZ44/(BA42)</f>
        <v>57683.6318273769</v>
      </c>
      <c r="BA131" s="95" t="n">
        <f aca="false">IFERROR(AZ131/AZ$5,0)</f>
        <v>0.384557545515846</v>
      </c>
      <c r="BF131" s="173" t="n">
        <f aca="false">-BF44/(BG42)</f>
        <v>57335.6742627346</v>
      </c>
      <c r="BG131" s="95" t="n">
        <f aca="false">IFERROR(BF131/BF$5,0)</f>
        <v>0.382237828418231</v>
      </c>
      <c r="BL131" s="173" t="n">
        <f aca="false">-BL44/(BM42)</f>
        <v>63971.063002681</v>
      </c>
      <c r="BM131" s="95" t="n">
        <f aca="false">IFERROR(BL131/BL$5,0)</f>
        <v>0.426473753351206</v>
      </c>
      <c r="BR131" s="173" t="n">
        <f aca="false">-BR44/(BS42)</f>
        <v>63971.063002681</v>
      </c>
      <c r="BS131" s="95" t="n">
        <f aca="false">IFERROR(BR131/BR$5,0)</f>
        <v>0.426473753351206</v>
      </c>
      <c r="BT131" s="158"/>
      <c r="BU131" s="158"/>
      <c r="BX131" s="173" t="n">
        <f aca="false">-BX44/(BY42)</f>
        <v>714726.771366301</v>
      </c>
      <c r="BY131" s="95" t="n">
        <f aca="false">IFERROR(BX131/BX$5,0)</f>
        <v>0.491221148705361</v>
      </c>
      <c r="CE131" s="173" t="n">
        <f aca="false">-CE44/(CF42)</f>
        <v>59560.5642805251</v>
      </c>
      <c r="CF131" s="95" t="n">
        <f aca="false">IFERROR(CE131/CE$5,0)</f>
        <v>0.491221148705361</v>
      </c>
    </row>
    <row r="132" customFormat="false" ht="13.5" hidden="true" customHeight="false" outlineLevel="0" collapsed="false">
      <c r="B132" s="197" t="s">
        <v>164</v>
      </c>
      <c r="D132" s="173" t="n">
        <f aca="false">-(D44-D106+D117)/E42</f>
        <v>55418.6802406293</v>
      </c>
      <c r="E132" s="95" t="n">
        <f aca="false">IFERROR(D132/D$5,0)</f>
        <v>0.692733503007867</v>
      </c>
      <c r="J132" s="173" t="n">
        <f aca="false">-(J44-J106+J117)/K42</f>
        <v>62188.6157199641</v>
      </c>
      <c r="K132" s="95" t="n">
        <f aca="false">IFERROR(J132/J$5,0)</f>
        <v>0.731630773176048</v>
      </c>
      <c r="P132" s="173" t="n">
        <f aca="false">-(P44-P106+P117)/Q42</f>
        <v>62093.9941930801</v>
      </c>
      <c r="Q132" s="95" t="n">
        <f aca="false">IFERROR(P132/P$5,0)</f>
        <v>0.689933268812001</v>
      </c>
      <c r="S132" s="173" t="e">
        <f aca="false">-(S44-S106+S117)/T42</f>
        <v>#DIV/0!</v>
      </c>
      <c r="T132" s="95" t="n">
        <f aca="false">IFERROR(S132/S$5,0)</f>
        <v>0</v>
      </c>
      <c r="V132" s="173" t="n">
        <f aca="false">-(V44-V106+V117)/W42</f>
        <v>61989.0043478261</v>
      </c>
      <c r="W132" s="95" t="n">
        <f aca="false">IFERROR(V132/V$5,0)</f>
        <v>0.619890043478261</v>
      </c>
      <c r="Y132" s="173" t="e">
        <f aca="false">-(Y44-Y106+Y117)/Z42</f>
        <v>#DIV/0!</v>
      </c>
      <c r="Z132" s="95" t="n">
        <f aca="false">IFERROR(Y132/Y$5,0)</f>
        <v>0</v>
      </c>
      <c r="AB132" s="173" t="n">
        <f aca="false">-(AB44-AB106+AB117)/AC42</f>
        <v>60588.05524435</v>
      </c>
      <c r="AC132" s="95" t="n">
        <f aca="false">IFERROR(AB132/AB$5,0)</f>
        <v>0.550800502221364</v>
      </c>
      <c r="AH132" s="173" t="n">
        <f aca="false">-(AH44-AH106+AH117)/AI42</f>
        <v>59139.1814725199</v>
      </c>
      <c r="AI132" s="95" t="n">
        <f aca="false">IFERROR(AH132/AH$5,0)</f>
        <v>0.492826512270999</v>
      </c>
      <c r="AN132" s="173" t="n">
        <f aca="false">-(AN44-AN106+AN117)/AO42</f>
        <v>59084.1960471788</v>
      </c>
      <c r="AO132" s="95" t="n">
        <f aca="false">IFERROR(AN132/AN$5,0)</f>
        <v>0.45449381574753</v>
      </c>
      <c r="AQ132" s="173" t="e">
        <f aca="false">-(AQ44-AQ106+AQ117)/AR42</f>
        <v>#DIV/0!</v>
      </c>
      <c r="AR132" s="95" t="n">
        <f aca="false">IFERROR(AQ132/AQ$5,0)</f>
        <v>0</v>
      </c>
      <c r="AT132" s="173" t="n">
        <f aca="false">-(AT44-AT106+AT117)/AU42</f>
        <v>61896.4340770791</v>
      </c>
      <c r="AU132" s="95" t="n">
        <f aca="false">IFERROR(AT132/AT$5,0)</f>
        <v>0.442117386264851</v>
      </c>
      <c r="AW132" s="173" t="e">
        <f aca="false">-(AW44-AW106+AW117)/AX42</f>
        <v>#DIV/0!</v>
      </c>
      <c r="AX132" s="95" t="n">
        <f aca="false">IFERROR(AW132/AW$5,0)</f>
        <v>0</v>
      </c>
      <c r="AZ132" s="173" t="n">
        <f aca="false">-(AZ44-AZ106+AZ117)/BA42</f>
        <v>57683.6318273769</v>
      </c>
      <c r="BA132" s="95" t="n">
        <f aca="false">IFERROR(AZ132/AZ$5,0)</f>
        <v>0.384557545515846</v>
      </c>
      <c r="BF132" s="173" t="n">
        <f aca="false">-(BF44-BF106+BF117)/BG42</f>
        <v>57335.6742627346</v>
      </c>
      <c r="BG132" s="95" t="n">
        <f aca="false">IFERROR(BF132/BF$5,0)</f>
        <v>0.382237828418231</v>
      </c>
      <c r="BL132" s="173" t="n">
        <f aca="false">-(BL44-BL106+BL117)/BM42</f>
        <v>63971.063002681</v>
      </c>
      <c r="BM132" s="95" t="n">
        <f aca="false">IFERROR(BL132/BL$5,0)</f>
        <v>0.426473753351206</v>
      </c>
      <c r="BR132" s="173" t="n">
        <f aca="false">-(BR44-BR106+BR117)/BS42</f>
        <v>63971.063002681</v>
      </c>
      <c r="BS132" s="95" t="n">
        <f aca="false">IFERROR(BR132/BR$5,0)</f>
        <v>0.426473753351206</v>
      </c>
      <c r="BT132" s="158"/>
      <c r="BU132" s="158"/>
      <c r="BX132" s="173" t="n">
        <f aca="false">-(BX44-BX106+BX117)/BY42</f>
        <v>714726.771366301</v>
      </c>
      <c r="BY132" s="95" t="n">
        <f aca="false">IFERROR(BX132/BX$5,0)</f>
        <v>0.491221148705361</v>
      </c>
      <c r="CE132" s="173" t="n">
        <f aca="false">-(CE44-CE106+CE117)/CF42</f>
        <v>59560.5642805251</v>
      </c>
      <c r="CF132" s="95" t="n">
        <f aca="false">IFERROR(CE132/CE$5,0)</f>
        <v>0.491221148705361</v>
      </c>
    </row>
  </sheetData>
  <mergeCells count="28"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T4:AU4"/>
    <mergeCell ref="AW4:AX4"/>
    <mergeCell ref="AZ4:BA4"/>
    <mergeCell ref="BC4:BD4"/>
    <mergeCell ref="BF4:BG4"/>
    <mergeCell ref="BI4:BJ4"/>
    <mergeCell ref="BL4:BM4"/>
    <mergeCell ref="BO4:BP4"/>
    <mergeCell ref="BR4:BS4"/>
    <mergeCell ref="BU4:BV4"/>
    <mergeCell ref="BX4:BY4"/>
    <mergeCell ref="CA4:CB4"/>
    <mergeCell ref="CE4:CF4"/>
    <mergeCell ref="CH4:CI4"/>
  </mergeCells>
  <conditionalFormatting sqref="CC44:CC102">
    <cfRule type="cellIs" priority="2" operator="lessThan" aboveAverage="0" equalAverage="0" bottom="0" percent="0" rank="0" text="" dxfId="29">
      <formula>0</formula>
    </cfRule>
  </conditionalFormatting>
  <conditionalFormatting sqref="CC34:CC39">
    <cfRule type="cellIs" priority="3" operator="lessThan" aboveAverage="0" equalAverage="0" bottom="0" percent="0" rank="0" text="" dxfId="30">
      <formula>0</formula>
    </cfRule>
  </conditionalFormatting>
  <conditionalFormatting sqref="CC117:CC128">
    <cfRule type="cellIs" priority="4" operator="lessThan" aboveAverage="0" equalAverage="0" bottom="0" percent="0" rank="0" text="" dxfId="31">
      <formula>0</formula>
    </cfRule>
  </conditionalFormatting>
  <conditionalFormatting sqref="CC130">
    <cfRule type="cellIs" priority="5" operator="lessThan" aboveAverage="0" equalAverage="0" bottom="0" percent="0" rank="0" text="" dxfId="32">
      <formula>1</formula>
    </cfRule>
  </conditionalFormatting>
  <conditionalFormatting sqref="CC115">
    <cfRule type="cellIs" priority="6" operator="lessThan" aboveAverage="0" equalAverage="0" bottom="0" percent="0" rank="0" text="" dxfId="33">
      <formula>1</formula>
    </cfRule>
  </conditionalFormatting>
  <conditionalFormatting sqref="CC104">
    <cfRule type="cellIs" priority="7" operator="lessThan" aboveAverage="0" equalAverage="0" bottom="0" percent="0" rank="0" text="" dxfId="34">
      <formula>1</formula>
    </cfRule>
  </conditionalFormatting>
  <conditionalFormatting sqref="CC42">
    <cfRule type="cellIs" priority="8" operator="lessThan" aboveAverage="0" equalAverage="0" bottom="0" percent="0" rank="0" text="" dxfId="35">
      <formula>1</formula>
    </cfRule>
  </conditionalFormatting>
  <conditionalFormatting sqref="CC21">
    <cfRule type="cellIs" priority="9" operator="lessThan" aboveAverage="0" equalAverage="0" bottom="0" percent="0" rank="0" text="" dxfId="36">
      <formula>1</formula>
    </cfRule>
  </conditionalFormatting>
  <conditionalFormatting sqref="CC32">
    <cfRule type="cellIs" priority="10" operator="lessThan" aboveAverage="0" equalAverage="0" bottom="0" percent="0" rank="0" text="" dxfId="37">
      <formula>1</formula>
    </cfRule>
  </conditionalFormatting>
  <conditionalFormatting sqref="CC5:CC7">
    <cfRule type="cellIs" priority="11" operator="lessThan" aboveAverage="0" equalAverage="0" bottom="0" percent="0" rank="0" text="" dxfId="38">
      <formula>1</formula>
    </cfRule>
  </conditionalFormatting>
  <conditionalFormatting sqref="CC9:CC19">
    <cfRule type="cellIs" priority="12" operator="lessThan" aboveAverage="0" equalAverage="0" bottom="0" percent="0" rank="0" text="" dxfId="39">
      <formula>0</formula>
    </cfRule>
  </conditionalFormatting>
  <conditionalFormatting sqref="BW44:BW102">
    <cfRule type="cellIs" priority="13" operator="lessThan" aboveAverage="0" equalAverage="0" bottom="0" percent="0" rank="0" text="" dxfId="40">
      <formula>0</formula>
    </cfRule>
  </conditionalFormatting>
  <conditionalFormatting sqref="BW34:BW39">
    <cfRule type="cellIs" priority="14" operator="lessThan" aboveAverage="0" equalAverage="0" bottom="0" percent="0" rank="0" text="" dxfId="41">
      <formula>0</formula>
    </cfRule>
  </conditionalFormatting>
  <conditionalFormatting sqref="BW117:BW128">
    <cfRule type="cellIs" priority="15" operator="lessThan" aboveAverage="0" equalAverage="0" bottom="0" percent="0" rank="0" text="" dxfId="42">
      <formula>0</formula>
    </cfRule>
  </conditionalFormatting>
  <conditionalFormatting sqref="BW130">
    <cfRule type="cellIs" priority="16" operator="lessThan" aboveAverage="0" equalAverage="0" bottom="0" percent="0" rank="0" text="" dxfId="43">
      <formula>1</formula>
    </cfRule>
  </conditionalFormatting>
  <conditionalFormatting sqref="BW115">
    <cfRule type="cellIs" priority="17" operator="lessThan" aboveAverage="0" equalAverage="0" bottom="0" percent="0" rank="0" text="" dxfId="44">
      <formula>1</formula>
    </cfRule>
  </conditionalFormatting>
  <conditionalFormatting sqref="BW104">
    <cfRule type="cellIs" priority="18" operator="lessThan" aboveAverage="0" equalAverage="0" bottom="0" percent="0" rank="0" text="" dxfId="45">
      <formula>1</formula>
    </cfRule>
  </conditionalFormatting>
  <conditionalFormatting sqref="BW42">
    <cfRule type="cellIs" priority="19" operator="lessThan" aboveAverage="0" equalAverage="0" bottom="0" percent="0" rank="0" text="" dxfId="46">
      <formula>1</formula>
    </cfRule>
  </conditionalFormatting>
  <conditionalFormatting sqref="BW21">
    <cfRule type="cellIs" priority="20" operator="lessThan" aboveAverage="0" equalAverage="0" bottom="0" percent="0" rank="0" text="" dxfId="47">
      <formula>1</formula>
    </cfRule>
  </conditionalFormatting>
  <conditionalFormatting sqref="BW32">
    <cfRule type="cellIs" priority="21" operator="lessThan" aboveAverage="0" equalAverage="0" bottom="0" percent="0" rank="0" text="" dxfId="48">
      <formula>1</formula>
    </cfRule>
  </conditionalFormatting>
  <conditionalFormatting sqref="BW5:BW7">
    <cfRule type="cellIs" priority="22" operator="lessThan" aboveAverage="0" equalAverage="0" bottom="0" percent="0" rank="0" text="" dxfId="49">
      <formula>1</formula>
    </cfRule>
  </conditionalFormatting>
  <conditionalFormatting sqref="BW9:BW19">
    <cfRule type="cellIs" priority="23" operator="lessThan" aboveAverage="0" equalAverage="0" bottom="0" percent="0" rank="0" text="" dxfId="50">
      <formula>0</formula>
    </cfRule>
  </conditionalFormatting>
  <conditionalFormatting sqref="BQ44:BQ102">
    <cfRule type="cellIs" priority="24" operator="lessThan" aboveAverage="0" equalAverage="0" bottom="0" percent="0" rank="0" text="" dxfId="51">
      <formula>0</formula>
    </cfRule>
  </conditionalFormatting>
  <conditionalFormatting sqref="BQ34:BQ39">
    <cfRule type="cellIs" priority="25" operator="lessThan" aboveAverage="0" equalAverage="0" bottom="0" percent="0" rank="0" text="" dxfId="52">
      <formula>0</formula>
    </cfRule>
  </conditionalFormatting>
  <conditionalFormatting sqref="BQ117:BQ128">
    <cfRule type="cellIs" priority="26" operator="lessThan" aboveAverage="0" equalAverage="0" bottom="0" percent="0" rank="0" text="" dxfId="53">
      <formula>0</formula>
    </cfRule>
  </conditionalFormatting>
  <conditionalFormatting sqref="BQ130">
    <cfRule type="cellIs" priority="27" operator="lessThan" aboveAverage="0" equalAverage="0" bottom="0" percent="0" rank="0" text="" dxfId="54">
      <formula>1</formula>
    </cfRule>
  </conditionalFormatting>
  <conditionalFormatting sqref="BQ115">
    <cfRule type="cellIs" priority="28" operator="lessThan" aboveAverage="0" equalAverage="0" bottom="0" percent="0" rank="0" text="" dxfId="55">
      <formula>1</formula>
    </cfRule>
  </conditionalFormatting>
  <conditionalFormatting sqref="BQ104">
    <cfRule type="cellIs" priority="29" operator="lessThan" aboveAverage="0" equalAverage="0" bottom="0" percent="0" rank="0" text="" dxfId="56">
      <formula>1</formula>
    </cfRule>
  </conditionalFormatting>
  <conditionalFormatting sqref="BQ42">
    <cfRule type="cellIs" priority="30" operator="lessThan" aboveAverage="0" equalAverage="0" bottom="0" percent="0" rank="0" text="" dxfId="57">
      <formula>1</formula>
    </cfRule>
  </conditionalFormatting>
  <conditionalFormatting sqref="BQ21">
    <cfRule type="cellIs" priority="31" operator="lessThan" aboveAverage="0" equalAverage="0" bottom="0" percent="0" rank="0" text="" dxfId="58">
      <formula>1</formula>
    </cfRule>
  </conditionalFormatting>
  <conditionalFormatting sqref="BQ32">
    <cfRule type="cellIs" priority="32" operator="lessThan" aboveAverage="0" equalAverage="0" bottom="0" percent="0" rank="0" text="" dxfId="59">
      <formula>1</formula>
    </cfRule>
  </conditionalFormatting>
  <conditionalFormatting sqref="BQ5:BQ7">
    <cfRule type="cellIs" priority="33" operator="lessThan" aboveAverage="0" equalAverage="0" bottom="0" percent="0" rank="0" text="" dxfId="60">
      <formula>1</formula>
    </cfRule>
  </conditionalFormatting>
  <conditionalFormatting sqref="BQ9:BQ19">
    <cfRule type="cellIs" priority="34" operator="lessThan" aboveAverage="0" equalAverage="0" bottom="0" percent="0" rank="0" text="" dxfId="61">
      <formula>0</formula>
    </cfRule>
  </conditionalFormatting>
  <conditionalFormatting sqref="BK44:BK102">
    <cfRule type="cellIs" priority="35" operator="lessThan" aboveAverage="0" equalAverage="0" bottom="0" percent="0" rank="0" text="" dxfId="62">
      <formula>0</formula>
    </cfRule>
  </conditionalFormatting>
  <conditionalFormatting sqref="BK34:BK39">
    <cfRule type="cellIs" priority="36" operator="lessThan" aboveAverage="0" equalAverage="0" bottom="0" percent="0" rank="0" text="" dxfId="63">
      <formula>0</formula>
    </cfRule>
  </conditionalFormatting>
  <conditionalFormatting sqref="BK117:BK128">
    <cfRule type="cellIs" priority="37" operator="lessThan" aboveAverage="0" equalAverage="0" bottom="0" percent="0" rank="0" text="" dxfId="64">
      <formula>0</formula>
    </cfRule>
  </conditionalFormatting>
  <conditionalFormatting sqref="BK130">
    <cfRule type="cellIs" priority="38" operator="lessThan" aboveAverage="0" equalAverage="0" bottom="0" percent="0" rank="0" text="" dxfId="65">
      <formula>1</formula>
    </cfRule>
  </conditionalFormatting>
  <conditionalFormatting sqref="BK115">
    <cfRule type="cellIs" priority="39" operator="lessThan" aboveAverage="0" equalAverage="0" bottom="0" percent="0" rank="0" text="" dxfId="66">
      <formula>1</formula>
    </cfRule>
  </conditionalFormatting>
  <conditionalFormatting sqref="BK104">
    <cfRule type="cellIs" priority="40" operator="lessThan" aboveAverage="0" equalAverage="0" bottom="0" percent="0" rank="0" text="" dxfId="67">
      <formula>1</formula>
    </cfRule>
  </conditionalFormatting>
  <conditionalFormatting sqref="BK42">
    <cfRule type="cellIs" priority="41" operator="lessThan" aboveAverage="0" equalAverage="0" bottom="0" percent="0" rank="0" text="" dxfId="68">
      <formula>1</formula>
    </cfRule>
  </conditionalFormatting>
  <conditionalFormatting sqref="BK21">
    <cfRule type="cellIs" priority="42" operator="lessThan" aboveAverage="0" equalAverage="0" bottom="0" percent="0" rank="0" text="" dxfId="69">
      <formula>1</formula>
    </cfRule>
  </conditionalFormatting>
  <conditionalFormatting sqref="BK32">
    <cfRule type="cellIs" priority="43" operator="lessThan" aboveAverage="0" equalAverage="0" bottom="0" percent="0" rank="0" text="" dxfId="70">
      <formula>1</formula>
    </cfRule>
  </conditionalFormatting>
  <conditionalFormatting sqref="BK5:BK7">
    <cfRule type="cellIs" priority="44" operator="lessThan" aboveAverage="0" equalAverage="0" bottom="0" percent="0" rank="0" text="" dxfId="71">
      <formula>1</formula>
    </cfRule>
  </conditionalFormatting>
  <conditionalFormatting sqref="BK9:BK19">
    <cfRule type="cellIs" priority="45" operator="lessThan" aboveAverage="0" equalAverage="0" bottom="0" percent="0" rank="0" text="" dxfId="72">
      <formula>0</formula>
    </cfRule>
  </conditionalFormatting>
  <conditionalFormatting sqref="BE44:BE102">
    <cfRule type="cellIs" priority="46" operator="lessThan" aboveAverage="0" equalAverage="0" bottom="0" percent="0" rank="0" text="" dxfId="73">
      <formula>0</formula>
    </cfRule>
  </conditionalFormatting>
  <conditionalFormatting sqref="BE34:BE39">
    <cfRule type="cellIs" priority="47" operator="lessThan" aboveAverage="0" equalAverage="0" bottom="0" percent="0" rank="0" text="" dxfId="74">
      <formula>0</formula>
    </cfRule>
  </conditionalFormatting>
  <conditionalFormatting sqref="BE117:BE128">
    <cfRule type="cellIs" priority="48" operator="lessThan" aboveAverage="0" equalAverage="0" bottom="0" percent="0" rank="0" text="" dxfId="75">
      <formula>0</formula>
    </cfRule>
  </conditionalFormatting>
  <conditionalFormatting sqref="BE130">
    <cfRule type="cellIs" priority="49" operator="lessThan" aboveAverage="0" equalAverage="0" bottom="0" percent="0" rank="0" text="" dxfId="76">
      <formula>1</formula>
    </cfRule>
  </conditionalFormatting>
  <conditionalFormatting sqref="BE115">
    <cfRule type="cellIs" priority="50" operator="lessThan" aboveAverage="0" equalAverage="0" bottom="0" percent="0" rank="0" text="" dxfId="77">
      <formula>1</formula>
    </cfRule>
  </conditionalFormatting>
  <conditionalFormatting sqref="BE104">
    <cfRule type="cellIs" priority="51" operator="lessThan" aboveAverage="0" equalAverage="0" bottom="0" percent="0" rank="0" text="" dxfId="78">
      <formula>1</formula>
    </cfRule>
  </conditionalFormatting>
  <conditionalFormatting sqref="BE42">
    <cfRule type="cellIs" priority="52" operator="lessThan" aboveAverage="0" equalAverage="0" bottom="0" percent="0" rank="0" text="" dxfId="79">
      <formula>1</formula>
    </cfRule>
  </conditionalFormatting>
  <conditionalFormatting sqref="BE21">
    <cfRule type="cellIs" priority="53" operator="lessThan" aboveAverage="0" equalAverage="0" bottom="0" percent="0" rank="0" text="" dxfId="80">
      <formula>1</formula>
    </cfRule>
  </conditionalFormatting>
  <conditionalFormatting sqref="BE32">
    <cfRule type="cellIs" priority="54" operator="lessThan" aboveAverage="0" equalAverage="0" bottom="0" percent="0" rank="0" text="" dxfId="81">
      <formula>1</formula>
    </cfRule>
  </conditionalFormatting>
  <conditionalFormatting sqref="BE5:BE7">
    <cfRule type="cellIs" priority="55" operator="lessThan" aboveAverage="0" equalAverage="0" bottom="0" percent="0" rank="0" text="" dxfId="82">
      <formula>1</formula>
    </cfRule>
  </conditionalFormatting>
  <conditionalFormatting sqref="BE9:BE19">
    <cfRule type="cellIs" priority="56" operator="lessThan" aboveAverage="0" equalAverage="0" bottom="0" percent="0" rank="0" text="" dxfId="83">
      <formula>0</formula>
    </cfRule>
  </conditionalFormatting>
  <conditionalFormatting sqref="AY44:AY102">
    <cfRule type="cellIs" priority="57" operator="lessThan" aboveAverage="0" equalAverage="0" bottom="0" percent="0" rank="0" text="" dxfId="84">
      <formula>0</formula>
    </cfRule>
  </conditionalFormatting>
  <conditionalFormatting sqref="AY34:AY39">
    <cfRule type="cellIs" priority="58" operator="lessThan" aboveAverage="0" equalAverage="0" bottom="0" percent="0" rank="0" text="" dxfId="85">
      <formula>0</formula>
    </cfRule>
  </conditionalFormatting>
  <conditionalFormatting sqref="AY117:AY128">
    <cfRule type="cellIs" priority="59" operator="lessThan" aboveAverage="0" equalAverage="0" bottom="0" percent="0" rank="0" text="" dxfId="86">
      <formula>0</formula>
    </cfRule>
  </conditionalFormatting>
  <conditionalFormatting sqref="AY130">
    <cfRule type="cellIs" priority="60" operator="lessThan" aboveAverage="0" equalAverage="0" bottom="0" percent="0" rank="0" text="" dxfId="87">
      <formula>1</formula>
    </cfRule>
  </conditionalFormatting>
  <conditionalFormatting sqref="AY115">
    <cfRule type="cellIs" priority="61" operator="lessThan" aboveAverage="0" equalAverage="0" bottom="0" percent="0" rank="0" text="" dxfId="88">
      <formula>1</formula>
    </cfRule>
  </conditionalFormatting>
  <conditionalFormatting sqref="AY104">
    <cfRule type="cellIs" priority="62" operator="lessThan" aboveAverage="0" equalAverage="0" bottom="0" percent="0" rank="0" text="" dxfId="89">
      <formula>1</formula>
    </cfRule>
  </conditionalFormatting>
  <conditionalFormatting sqref="AY42">
    <cfRule type="cellIs" priority="63" operator="lessThan" aboveAverage="0" equalAverage="0" bottom="0" percent="0" rank="0" text="" dxfId="90">
      <formula>1</formula>
    </cfRule>
  </conditionalFormatting>
  <conditionalFormatting sqref="AY21">
    <cfRule type="cellIs" priority="64" operator="lessThan" aboveAverage="0" equalAverage="0" bottom="0" percent="0" rank="0" text="" dxfId="91">
      <formula>1</formula>
    </cfRule>
  </conditionalFormatting>
  <conditionalFormatting sqref="AY32">
    <cfRule type="cellIs" priority="65" operator="lessThan" aboveAverage="0" equalAverage="0" bottom="0" percent="0" rank="0" text="" dxfId="92">
      <formula>1</formula>
    </cfRule>
  </conditionalFormatting>
  <conditionalFormatting sqref="AY5:AY7">
    <cfRule type="cellIs" priority="66" operator="lessThan" aboveAverage="0" equalAverage="0" bottom="0" percent="0" rank="0" text="" dxfId="93">
      <formula>1</formula>
    </cfRule>
  </conditionalFormatting>
  <conditionalFormatting sqref="AY9:AY19">
    <cfRule type="cellIs" priority="67" operator="lessThan" aboveAverage="0" equalAverage="0" bottom="0" percent="0" rank="0" text="" dxfId="94">
      <formula>0</formula>
    </cfRule>
  </conditionalFormatting>
  <conditionalFormatting sqref="AS44:AS102">
    <cfRule type="cellIs" priority="68" operator="lessThan" aboveAverage="0" equalAverage="0" bottom="0" percent="0" rank="0" text="" dxfId="95">
      <formula>0</formula>
    </cfRule>
  </conditionalFormatting>
  <conditionalFormatting sqref="AS34:AS39">
    <cfRule type="cellIs" priority="69" operator="lessThan" aboveAverage="0" equalAverage="0" bottom="0" percent="0" rank="0" text="" dxfId="96">
      <formula>0</formula>
    </cfRule>
  </conditionalFormatting>
  <conditionalFormatting sqref="AS117:AS128">
    <cfRule type="cellIs" priority="70" operator="lessThan" aboveAverage="0" equalAverage="0" bottom="0" percent="0" rank="0" text="" dxfId="97">
      <formula>0</formula>
    </cfRule>
  </conditionalFormatting>
  <conditionalFormatting sqref="AS130">
    <cfRule type="cellIs" priority="71" operator="lessThan" aboveAverage="0" equalAverage="0" bottom="0" percent="0" rank="0" text="" dxfId="98">
      <formula>1</formula>
    </cfRule>
  </conditionalFormatting>
  <conditionalFormatting sqref="AS115">
    <cfRule type="cellIs" priority="72" operator="lessThan" aboveAverage="0" equalAverage="0" bottom="0" percent="0" rank="0" text="" dxfId="99">
      <formula>1</formula>
    </cfRule>
  </conditionalFormatting>
  <conditionalFormatting sqref="AS104">
    <cfRule type="cellIs" priority="73" operator="lessThan" aboveAverage="0" equalAverage="0" bottom="0" percent="0" rank="0" text="" dxfId="100">
      <formula>1</formula>
    </cfRule>
  </conditionalFormatting>
  <conditionalFormatting sqref="AS42">
    <cfRule type="cellIs" priority="74" operator="lessThan" aboveAverage="0" equalAverage="0" bottom="0" percent="0" rank="0" text="" dxfId="101">
      <formula>1</formula>
    </cfRule>
  </conditionalFormatting>
  <conditionalFormatting sqref="AS21">
    <cfRule type="cellIs" priority="75" operator="lessThan" aboveAverage="0" equalAverage="0" bottom="0" percent="0" rank="0" text="" dxfId="102">
      <formula>1</formula>
    </cfRule>
  </conditionalFormatting>
  <conditionalFormatting sqref="AS32">
    <cfRule type="cellIs" priority="76" operator="lessThan" aboveAverage="0" equalAverage="0" bottom="0" percent="0" rank="0" text="" dxfId="103">
      <formula>1</formula>
    </cfRule>
  </conditionalFormatting>
  <conditionalFormatting sqref="AS5:AS7">
    <cfRule type="cellIs" priority="77" operator="lessThan" aboveAverage="0" equalAverage="0" bottom="0" percent="0" rank="0" text="" dxfId="104">
      <formula>1</formula>
    </cfRule>
  </conditionalFormatting>
  <conditionalFormatting sqref="AS9:AS19">
    <cfRule type="cellIs" priority="78" operator="lessThan" aboveAverage="0" equalAverage="0" bottom="0" percent="0" rank="0" text="" dxfId="105">
      <formula>0</formula>
    </cfRule>
  </conditionalFormatting>
  <conditionalFormatting sqref="AM44:AM102">
    <cfRule type="cellIs" priority="79" operator="lessThan" aboveAverage="0" equalAverage="0" bottom="0" percent="0" rank="0" text="" dxfId="106">
      <formula>0</formula>
    </cfRule>
  </conditionalFormatting>
  <conditionalFormatting sqref="AM34:AM39">
    <cfRule type="cellIs" priority="80" operator="lessThan" aboveAverage="0" equalAverage="0" bottom="0" percent="0" rank="0" text="" dxfId="107">
      <formula>0</formula>
    </cfRule>
  </conditionalFormatting>
  <conditionalFormatting sqref="AM117:AM128">
    <cfRule type="cellIs" priority="81" operator="lessThan" aboveAverage="0" equalAverage="0" bottom="0" percent="0" rank="0" text="" dxfId="108">
      <formula>0</formula>
    </cfRule>
  </conditionalFormatting>
  <conditionalFormatting sqref="AM130">
    <cfRule type="cellIs" priority="82" operator="lessThan" aboveAverage="0" equalAverage="0" bottom="0" percent="0" rank="0" text="" dxfId="109">
      <formula>1</formula>
    </cfRule>
  </conditionalFormatting>
  <conditionalFormatting sqref="AM115">
    <cfRule type="cellIs" priority="83" operator="lessThan" aboveAverage="0" equalAverage="0" bottom="0" percent="0" rank="0" text="" dxfId="110">
      <formula>1</formula>
    </cfRule>
  </conditionalFormatting>
  <conditionalFormatting sqref="AM104">
    <cfRule type="cellIs" priority="84" operator="lessThan" aboveAverage="0" equalAverage="0" bottom="0" percent="0" rank="0" text="" dxfId="111">
      <formula>1</formula>
    </cfRule>
  </conditionalFormatting>
  <conditionalFormatting sqref="AM42">
    <cfRule type="cellIs" priority="85" operator="lessThan" aboveAverage="0" equalAverage="0" bottom="0" percent="0" rank="0" text="" dxfId="112">
      <formula>1</formula>
    </cfRule>
  </conditionalFormatting>
  <conditionalFormatting sqref="AM21">
    <cfRule type="cellIs" priority="86" operator="lessThan" aboveAverage="0" equalAverage="0" bottom="0" percent="0" rank="0" text="" dxfId="113">
      <formula>1</formula>
    </cfRule>
  </conditionalFormatting>
  <conditionalFormatting sqref="AM32">
    <cfRule type="cellIs" priority="87" operator="lessThan" aboveAverage="0" equalAverage="0" bottom="0" percent="0" rank="0" text="" dxfId="114">
      <formula>1</formula>
    </cfRule>
  </conditionalFormatting>
  <conditionalFormatting sqref="AM5:AM7">
    <cfRule type="cellIs" priority="88" operator="lessThan" aboveAverage="0" equalAverage="0" bottom="0" percent="0" rank="0" text="" dxfId="115">
      <formula>1</formula>
    </cfRule>
  </conditionalFormatting>
  <conditionalFormatting sqref="AM9:AM19">
    <cfRule type="cellIs" priority="89" operator="lessThan" aboveAverage="0" equalAverage="0" bottom="0" percent="0" rank="0" text="" dxfId="116">
      <formula>0</formula>
    </cfRule>
  </conditionalFormatting>
  <conditionalFormatting sqref="AG44:AG102">
    <cfRule type="cellIs" priority="90" operator="lessThan" aboveAverage="0" equalAverage="0" bottom="0" percent="0" rank="0" text="" dxfId="117">
      <formula>0</formula>
    </cfRule>
  </conditionalFormatting>
  <conditionalFormatting sqref="AG34:AG39">
    <cfRule type="cellIs" priority="91" operator="lessThan" aboveAverage="0" equalAverage="0" bottom="0" percent="0" rank="0" text="" dxfId="118">
      <formula>0</formula>
    </cfRule>
  </conditionalFormatting>
  <conditionalFormatting sqref="AG117:AG128">
    <cfRule type="cellIs" priority="92" operator="lessThan" aboveAverage="0" equalAverage="0" bottom="0" percent="0" rank="0" text="" dxfId="119">
      <formula>0</formula>
    </cfRule>
  </conditionalFormatting>
  <conditionalFormatting sqref="AG130">
    <cfRule type="cellIs" priority="93" operator="lessThan" aboveAverage="0" equalAverage="0" bottom="0" percent="0" rank="0" text="" dxfId="120">
      <formula>1</formula>
    </cfRule>
  </conditionalFormatting>
  <conditionalFormatting sqref="AG115">
    <cfRule type="cellIs" priority="94" operator="lessThan" aboveAverage="0" equalAverage="0" bottom="0" percent="0" rank="0" text="" dxfId="121">
      <formula>1</formula>
    </cfRule>
  </conditionalFormatting>
  <conditionalFormatting sqref="AG104">
    <cfRule type="cellIs" priority="95" operator="lessThan" aboveAverage="0" equalAverage="0" bottom="0" percent="0" rank="0" text="" dxfId="122">
      <formula>1</formula>
    </cfRule>
  </conditionalFormatting>
  <conditionalFormatting sqref="AG42">
    <cfRule type="cellIs" priority="96" operator="lessThan" aboveAverage="0" equalAverage="0" bottom="0" percent="0" rank="0" text="" dxfId="123">
      <formula>1</formula>
    </cfRule>
  </conditionalFormatting>
  <conditionalFormatting sqref="AG21">
    <cfRule type="cellIs" priority="97" operator="lessThan" aboveAverage="0" equalAverage="0" bottom="0" percent="0" rank="0" text="" dxfId="124">
      <formula>1</formula>
    </cfRule>
  </conditionalFormatting>
  <conditionalFormatting sqref="AG32">
    <cfRule type="cellIs" priority="98" operator="lessThan" aboveAverage="0" equalAverage="0" bottom="0" percent="0" rank="0" text="" dxfId="125">
      <formula>1</formula>
    </cfRule>
  </conditionalFormatting>
  <conditionalFormatting sqref="AG5:AG7">
    <cfRule type="cellIs" priority="99" operator="lessThan" aboveAverage="0" equalAverage="0" bottom="0" percent="0" rank="0" text="" dxfId="126">
      <formula>1</formula>
    </cfRule>
  </conditionalFormatting>
  <conditionalFormatting sqref="AG9:AG19">
    <cfRule type="cellIs" priority="100" operator="lessThan" aboveAverage="0" equalAverage="0" bottom="0" percent="0" rank="0" text="" dxfId="127">
      <formula>0</formula>
    </cfRule>
  </conditionalFormatting>
  <conditionalFormatting sqref="AA44:AA102">
    <cfRule type="cellIs" priority="101" operator="lessThan" aboveAverage="0" equalAverage="0" bottom="0" percent="0" rank="0" text="" dxfId="128">
      <formula>0</formula>
    </cfRule>
  </conditionalFormatting>
  <conditionalFormatting sqref="AA34:AA39">
    <cfRule type="cellIs" priority="102" operator="lessThan" aboveAverage="0" equalAverage="0" bottom="0" percent="0" rank="0" text="" dxfId="129">
      <formula>0</formula>
    </cfRule>
  </conditionalFormatting>
  <conditionalFormatting sqref="AA117:AA128">
    <cfRule type="cellIs" priority="103" operator="lessThan" aboveAverage="0" equalAverage="0" bottom="0" percent="0" rank="0" text="" dxfId="130">
      <formula>0</formula>
    </cfRule>
  </conditionalFormatting>
  <conditionalFormatting sqref="AA130">
    <cfRule type="cellIs" priority="104" operator="lessThan" aboveAverage="0" equalAverage="0" bottom="0" percent="0" rank="0" text="" dxfId="131">
      <formula>1</formula>
    </cfRule>
  </conditionalFormatting>
  <conditionalFormatting sqref="AA115">
    <cfRule type="cellIs" priority="105" operator="lessThan" aboveAverage="0" equalAverage="0" bottom="0" percent="0" rank="0" text="" dxfId="132">
      <formula>1</formula>
    </cfRule>
  </conditionalFormatting>
  <conditionalFormatting sqref="AA104">
    <cfRule type="cellIs" priority="106" operator="lessThan" aboveAverage="0" equalAverage="0" bottom="0" percent="0" rank="0" text="" dxfId="133">
      <formula>1</formula>
    </cfRule>
  </conditionalFormatting>
  <conditionalFormatting sqref="AA42">
    <cfRule type="cellIs" priority="107" operator="lessThan" aboveAverage="0" equalAverage="0" bottom="0" percent="0" rank="0" text="" dxfId="134">
      <formula>1</formula>
    </cfRule>
  </conditionalFormatting>
  <conditionalFormatting sqref="AA21">
    <cfRule type="cellIs" priority="108" operator="lessThan" aboveAverage="0" equalAverage="0" bottom="0" percent="0" rank="0" text="" dxfId="135">
      <formula>1</formula>
    </cfRule>
  </conditionalFormatting>
  <conditionalFormatting sqref="AA32">
    <cfRule type="cellIs" priority="109" operator="lessThan" aboveAverage="0" equalAverage="0" bottom="0" percent="0" rank="0" text="" dxfId="136">
      <formula>1</formula>
    </cfRule>
  </conditionalFormatting>
  <conditionalFormatting sqref="AA5:AA7">
    <cfRule type="cellIs" priority="110" operator="lessThan" aboveAverage="0" equalAverage="0" bottom="0" percent="0" rank="0" text="" dxfId="137">
      <formula>1</formula>
    </cfRule>
  </conditionalFormatting>
  <conditionalFormatting sqref="AA9:AA19">
    <cfRule type="cellIs" priority="111" operator="lessThan" aboveAverage="0" equalAverage="0" bottom="0" percent="0" rank="0" text="" dxfId="138">
      <formula>0</formula>
    </cfRule>
  </conditionalFormatting>
  <conditionalFormatting sqref="U44:U102">
    <cfRule type="cellIs" priority="112" operator="lessThan" aboveAverage="0" equalAverage="0" bottom="0" percent="0" rank="0" text="" dxfId="139">
      <formula>0</formula>
    </cfRule>
  </conditionalFormatting>
  <conditionalFormatting sqref="U34:U39">
    <cfRule type="cellIs" priority="113" operator="lessThan" aboveAverage="0" equalAverage="0" bottom="0" percent="0" rank="0" text="" dxfId="140">
      <formula>0</formula>
    </cfRule>
  </conditionalFormatting>
  <conditionalFormatting sqref="U117:U128">
    <cfRule type="cellIs" priority="114" operator="lessThan" aboveAverage="0" equalAverage="0" bottom="0" percent="0" rank="0" text="" dxfId="141">
      <formula>0</formula>
    </cfRule>
  </conditionalFormatting>
  <conditionalFormatting sqref="U130">
    <cfRule type="cellIs" priority="115" operator="lessThan" aboveAverage="0" equalAverage="0" bottom="0" percent="0" rank="0" text="" dxfId="142">
      <formula>1</formula>
    </cfRule>
  </conditionalFormatting>
  <conditionalFormatting sqref="U115">
    <cfRule type="cellIs" priority="116" operator="lessThan" aboveAverage="0" equalAverage="0" bottom="0" percent="0" rank="0" text="" dxfId="143">
      <formula>1</formula>
    </cfRule>
  </conditionalFormatting>
  <conditionalFormatting sqref="U104">
    <cfRule type="cellIs" priority="117" operator="lessThan" aboveAverage="0" equalAverage="0" bottom="0" percent="0" rank="0" text="" dxfId="144">
      <formula>1</formula>
    </cfRule>
  </conditionalFormatting>
  <conditionalFormatting sqref="U42">
    <cfRule type="cellIs" priority="118" operator="lessThan" aboveAverage="0" equalAverage="0" bottom="0" percent="0" rank="0" text="" dxfId="145">
      <formula>1</formula>
    </cfRule>
  </conditionalFormatting>
  <conditionalFormatting sqref="U21">
    <cfRule type="cellIs" priority="119" operator="lessThan" aboveAverage="0" equalAverage="0" bottom="0" percent="0" rank="0" text="" dxfId="146">
      <formula>1</formula>
    </cfRule>
  </conditionalFormatting>
  <conditionalFormatting sqref="U32">
    <cfRule type="cellIs" priority="120" operator="lessThan" aboveAverage="0" equalAverage="0" bottom="0" percent="0" rank="0" text="" dxfId="147">
      <formula>1</formula>
    </cfRule>
  </conditionalFormatting>
  <conditionalFormatting sqref="U5:U7">
    <cfRule type="cellIs" priority="121" operator="lessThan" aboveAverage="0" equalAverage="0" bottom="0" percent="0" rank="0" text="" dxfId="148">
      <formula>1</formula>
    </cfRule>
  </conditionalFormatting>
  <conditionalFormatting sqref="U9:U19">
    <cfRule type="cellIs" priority="122" operator="lessThan" aboveAverage="0" equalAverage="0" bottom="0" percent="0" rank="0" text="" dxfId="149">
      <formula>0</formula>
    </cfRule>
  </conditionalFormatting>
  <conditionalFormatting sqref="O44:O102">
    <cfRule type="cellIs" priority="123" operator="lessThan" aboveAverage="0" equalAverage="0" bottom="0" percent="0" rank="0" text="" dxfId="150">
      <formula>0</formula>
    </cfRule>
  </conditionalFormatting>
  <conditionalFormatting sqref="O34:O39">
    <cfRule type="cellIs" priority="124" operator="lessThan" aboveAverage="0" equalAverage="0" bottom="0" percent="0" rank="0" text="" dxfId="151">
      <formula>0</formula>
    </cfRule>
  </conditionalFormatting>
  <conditionalFormatting sqref="O117:O128">
    <cfRule type="cellIs" priority="125" operator="lessThan" aboveAverage="0" equalAverage="0" bottom="0" percent="0" rank="0" text="" dxfId="152">
      <formula>0</formula>
    </cfRule>
  </conditionalFormatting>
  <conditionalFormatting sqref="O130">
    <cfRule type="cellIs" priority="126" operator="lessThan" aboveAverage="0" equalAverage="0" bottom="0" percent="0" rank="0" text="" dxfId="153">
      <formula>1</formula>
    </cfRule>
  </conditionalFormatting>
  <conditionalFormatting sqref="O115">
    <cfRule type="cellIs" priority="127" operator="lessThan" aboveAverage="0" equalAverage="0" bottom="0" percent="0" rank="0" text="" dxfId="154">
      <formula>1</formula>
    </cfRule>
  </conditionalFormatting>
  <conditionalFormatting sqref="O104">
    <cfRule type="cellIs" priority="128" operator="lessThan" aboveAverage="0" equalAverage="0" bottom="0" percent="0" rank="0" text="" dxfId="155">
      <formula>1</formula>
    </cfRule>
  </conditionalFormatting>
  <conditionalFormatting sqref="O42">
    <cfRule type="cellIs" priority="129" operator="lessThan" aboveAverage="0" equalAverage="0" bottom="0" percent="0" rank="0" text="" dxfId="156">
      <formula>1</formula>
    </cfRule>
  </conditionalFormatting>
  <conditionalFormatting sqref="O21">
    <cfRule type="cellIs" priority="130" operator="lessThan" aboveAverage="0" equalAverage="0" bottom="0" percent="0" rank="0" text="" dxfId="157">
      <formula>1</formula>
    </cfRule>
  </conditionalFormatting>
  <conditionalFormatting sqref="O32">
    <cfRule type="cellIs" priority="131" operator="lessThan" aboveAverage="0" equalAverage="0" bottom="0" percent="0" rank="0" text="" dxfId="158">
      <formula>1</formula>
    </cfRule>
  </conditionalFormatting>
  <conditionalFormatting sqref="O5:O7">
    <cfRule type="cellIs" priority="132" operator="lessThan" aboveAverage="0" equalAverage="0" bottom="0" percent="0" rank="0" text="" dxfId="159">
      <formula>1</formula>
    </cfRule>
  </conditionalFormatting>
  <conditionalFormatting sqref="O9:O19">
    <cfRule type="cellIs" priority="133" operator="lessThan" aboveAverage="0" equalAverage="0" bottom="0" percent="0" rank="0" text="" dxfId="160">
      <formula>0</formula>
    </cfRule>
  </conditionalFormatting>
  <conditionalFormatting sqref="I44:I102">
    <cfRule type="cellIs" priority="134" operator="lessThan" aboveAverage="0" equalAverage="0" bottom="0" percent="0" rank="0" text="" dxfId="161">
      <formula>0</formula>
    </cfRule>
  </conditionalFormatting>
  <conditionalFormatting sqref="I34:I39">
    <cfRule type="cellIs" priority="135" operator="lessThan" aboveAverage="0" equalAverage="0" bottom="0" percent="0" rank="0" text="" dxfId="162">
      <formula>0</formula>
    </cfRule>
  </conditionalFormatting>
  <conditionalFormatting sqref="I117:I128">
    <cfRule type="cellIs" priority="136" operator="lessThan" aboveAverage="0" equalAverage="0" bottom="0" percent="0" rank="0" text="" dxfId="163">
      <formula>0</formula>
    </cfRule>
  </conditionalFormatting>
  <conditionalFormatting sqref="I130">
    <cfRule type="cellIs" priority="137" operator="lessThan" aboveAverage="0" equalAverage="0" bottom="0" percent="0" rank="0" text="" dxfId="164">
      <formula>1</formula>
    </cfRule>
  </conditionalFormatting>
  <conditionalFormatting sqref="I115">
    <cfRule type="cellIs" priority="138" operator="lessThan" aboveAverage="0" equalAverage="0" bottom="0" percent="0" rank="0" text="" dxfId="165">
      <formula>1</formula>
    </cfRule>
  </conditionalFormatting>
  <conditionalFormatting sqref="I104">
    <cfRule type="cellIs" priority="139" operator="lessThan" aboveAverage="0" equalAverage="0" bottom="0" percent="0" rank="0" text="" dxfId="166">
      <formula>1</formula>
    </cfRule>
  </conditionalFormatting>
  <conditionalFormatting sqref="I42">
    <cfRule type="cellIs" priority="140" operator="lessThan" aboveAverage="0" equalAverage="0" bottom="0" percent="0" rank="0" text="" dxfId="167">
      <formula>1</formula>
    </cfRule>
  </conditionalFormatting>
  <conditionalFormatting sqref="I21">
    <cfRule type="cellIs" priority="141" operator="lessThan" aboveAverage="0" equalAverage="0" bottom="0" percent="0" rank="0" text="" dxfId="168">
      <formula>1</formula>
    </cfRule>
  </conditionalFormatting>
  <conditionalFormatting sqref="I32">
    <cfRule type="cellIs" priority="142" operator="lessThan" aboveAverage="0" equalAverage="0" bottom="0" percent="0" rank="0" text="" dxfId="169">
      <formula>1</formula>
    </cfRule>
  </conditionalFormatting>
  <conditionalFormatting sqref="I5:I7">
    <cfRule type="cellIs" priority="143" operator="lessThan" aboveAverage="0" equalAverage="0" bottom="0" percent="0" rank="0" text="" dxfId="170">
      <formula>1</formula>
    </cfRule>
  </conditionalFormatting>
  <conditionalFormatting sqref="I9:I19 I23:I30 O23:O30 U23:U30 AA23:AA30 AG23:AG30 AM23:AM30 AS23:AS30 AY23:AY30 BE23:BE30 BK23:BK30 BQ23:BQ30 BW23:BW30 CC23:CC30 I106:I113 O106:O113 U106:U113 AA106:AA113 AG106:AG113 AM106:AM113 AS106:AS113 AY106:AY113 BE106:BE113 BK106:BK113 BQ106:BQ113 BW106:BW113 CC106:CC113">
    <cfRule type="cellIs" priority="144" operator="lessThan" aboveAverage="0" equalAverage="0" bottom="0" percent="0" rank="0" text="" dxfId="171">
      <formula>0</formula>
    </cfRule>
  </conditionalFormatting>
  <conditionalFormatting sqref="CD42:CI42">
    <cfRule type="cellIs" priority="145" operator="lessThan" aboveAverage="0" equalAverage="0" bottom="0" percent="0" rank="0" text="" dxfId="172">
      <formula>0</formula>
    </cfRule>
  </conditionalFormatting>
  <conditionalFormatting sqref="CD32:CI32">
    <cfRule type="cellIs" priority="146" operator="lessThan" aboveAverage="0" equalAverage="0" bottom="0" percent="0" rank="0" text="" dxfId="173">
      <formula>0</formula>
    </cfRule>
  </conditionalFormatting>
  <conditionalFormatting sqref="CD106:CI106">
    <cfRule type="cellIs" priority="147" operator="lessThan" aboveAverage="0" equalAverage="0" bottom="0" percent="0" rank="0" text="" dxfId="174">
      <formula>0</formula>
    </cfRule>
  </conditionalFormatting>
  <conditionalFormatting sqref="CD130:CI130">
    <cfRule type="cellIs" priority="148" operator="lessThan" aboveAverage="0" equalAverage="0" bottom="0" percent="0" rank="0" text="" dxfId="175">
      <formula>0</formula>
    </cfRule>
  </conditionalFormatting>
  <conditionalFormatting sqref="CD104:CI104">
    <cfRule type="cellIs" priority="149" operator="lessThan" aboveAverage="0" equalAverage="0" bottom="0" percent="0" rank="0" text="" dxfId="176">
      <formula>0</formula>
    </cfRule>
  </conditionalFormatting>
  <conditionalFormatting sqref="CD115:CI115">
    <cfRule type="cellIs" priority="150" operator="lessThan" aboveAverage="0" equalAverage="0" bottom="0" percent="0" rank="0" text="" dxfId="177">
      <formula>0</formula>
    </cfRule>
  </conditionalFormatting>
  <conditionalFormatting sqref="CD117:CI117">
    <cfRule type="cellIs" priority="151" operator="lessThan" aboveAverage="0" equalAverage="0" bottom="0" percent="0" rank="0" text="" dxfId="178">
      <formula>0</formula>
    </cfRule>
  </conditionalFormatting>
  <conditionalFormatting sqref="BX42:CB42">
    <cfRule type="cellIs" priority="152" operator="lessThan" aboveAverage="0" equalAverage="0" bottom="0" percent="0" rank="0" text="" dxfId="179">
      <formula>0</formula>
    </cfRule>
  </conditionalFormatting>
  <conditionalFormatting sqref="BX32:CB32">
    <cfRule type="cellIs" priority="153" operator="lessThan" aboveAverage="0" equalAverage="0" bottom="0" percent="0" rank="0" text="" dxfId="180">
      <formula>0</formula>
    </cfRule>
  </conditionalFormatting>
  <conditionalFormatting sqref="BX106:CB106">
    <cfRule type="cellIs" priority="154" operator="lessThan" aboveAverage="0" equalAverage="0" bottom="0" percent="0" rank="0" text="" dxfId="181">
      <formula>0</formula>
    </cfRule>
  </conditionalFormatting>
  <conditionalFormatting sqref="BX115:CB115">
    <cfRule type="cellIs" priority="155" operator="lessThan" aboveAverage="0" equalAverage="0" bottom="0" percent="0" rank="0" text="" dxfId="182">
      <formula>0</formula>
    </cfRule>
  </conditionalFormatting>
  <conditionalFormatting sqref="BX130:CB130">
    <cfRule type="cellIs" priority="156" operator="lessThan" aboveAverage="0" equalAverage="0" bottom="0" percent="0" rank="0" text="" dxfId="183">
      <formula>0</formula>
    </cfRule>
  </conditionalFormatting>
  <conditionalFormatting sqref="BX117:CB117">
    <cfRule type="cellIs" priority="157" operator="lessThan" aboveAverage="0" equalAverage="0" bottom="0" percent="0" rank="0" text="" dxfId="184">
      <formula>0</formula>
    </cfRule>
  </conditionalFormatting>
  <conditionalFormatting sqref="BX104:CB104">
    <cfRule type="cellIs" priority="158" operator="lessThan" aboveAverage="0" equalAverage="0" bottom="0" percent="0" rank="0" text="" dxfId="185">
      <formula>0</formula>
    </cfRule>
  </conditionalFormatting>
  <conditionalFormatting sqref="BR32:BV32">
    <cfRule type="cellIs" priority="159" operator="lessThan" aboveAverage="0" equalAverage="0" bottom="0" percent="0" rank="0" text="" dxfId="186">
      <formula>0</formula>
    </cfRule>
  </conditionalFormatting>
  <conditionalFormatting sqref="BR130:BV130">
    <cfRule type="cellIs" priority="160" operator="lessThan" aboveAverage="0" equalAverage="0" bottom="0" percent="0" rank="0" text="" dxfId="187">
      <formula>0</formula>
    </cfRule>
  </conditionalFormatting>
  <conditionalFormatting sqref="BR104:BV104">
    <cfRule type="cellIs" priority="161" operator="lessThan" aboveAverage="0" equalAverage="0" bottom="0" percent="0" rank="0" text="" dxfId="188">
      <formula>0</formula>
    </cfRule>
  </conditionalFormatting>
  <conditionalFormatting sqref="BR106:BV106">
    <cfRule type="cellIs" priority="162" operator="lessThan" aboveAverage="0" equalAverage="0" bottom="0" percent="0" rank="0" text="" dxfId="189">
      <formula>0</formula>
    </cfRule>
  </conditionalFormatting>
  <conditionalFormatting sqref="BR115:BV115">
    <cfRule type="cellIs" priority="163" operator="lessThan" aboveAverage="0" equalAverage="0" bottom="0" percent="0" rank="0" text="" dxfId="190">
      <formula>0</formula>
    </cfRule>
  </conditionalFormatting>
  <conditionalFormatting sqref="BR117:BV117">
    <cfRule type="cellIs" priority="164" operator="lessThan" aboveAverage="0" equalAverage="0" bottom="0" percent="0" rank="0" text="" dxfId="191">
      <formula>0</formula>
    </cfRule>
  </conditionalFormatting>
  <conditionalFormatting sqref="BR42:BV42">
    <cfRule type="cellIs" priority="165" operator="lessThan" aboveAverage="0" equalAverage="0" bottom="0" percent="0" rank="0" text="" dxfId="192">
      <formula>0</formula>
    </cfRule>
  </conditionalFormatting>
  <conditionalFormatting sqref="BF32:BJ32">
    <cfRule type="cellIs" priority="166" operator="lessThan" aboveAverage="0" equalAverage="0" bottom="0" percent="0" rank="0" text="" dxfId="193">
      <formula>0</formula>
    </cfRule>
  </conditionalFormatting>
  <conditionalFormatting sqref="BF130:BJ130">
    <cfRule type="cellIs" priority="167" operator="lessThan" aboveAverage="0" equalAverage="0" bottom="0" percent="0" rank="0" text="" dxfId="194">
      <formula>0</formula>
    </cfRule>
  </conditionalFormatting>
  <conditionalFormatting sqref="BF104:BJ104">
    <cfRule type="cellIs" priority="168" operator="lessThan" aboveAverage="0" equalAverage="0" bottom="0" percent="0" rank="0" text="" dxfId="195">
      <formula>0</formula>
    </cfRule>
  </conditionalFormatting>
  <conditionalFormatting sqref="BF106:BJ106">
    <cfRule type="cellIs" priority="169" operator="lessThan" aboveAverage="0" equalAverage="0" bottom="0" percent="0" rank="0" text="" dxfId="196">
      <formula>0</formula>
    </cfRule>
  </conditionalFormatting>
  <conditionalFormatting sqref="BF115:BJ115">
    <cfRule type="cellIs" priority="170" operator="lessThan" aboveAverage="0" equalAverage="0" bottom="0" percent="0" rank="0" text="" dxfId="197">
      <formula>0</formula>
    </cfRule>
  </conditionalFormatting>
  <conditionalFormatting sqref="BF117:BJ117">
    <cfRule type="cellIs" priority="171" operator="lessThan" aboveAverage="0" equalAverage="0" bottom="0" percent="0" rank="0" text="" dxfId="198">
      <formula>0</formula>
    </cfRule>
  </conditionalFormatting>
  <conditionalFormatting sqref="BF42:BJ42">
    <cfRule type="cellIs" priority="172" operator="lessThan" aboveAverage="0" equalAverage="0" bottom="0" percent="0" rank="0" text="" dxfId="199">
      <formula>0</formula>
    </cfRule>
  </conditionalFormatting>
  <conditionalFormatting sqref="BL32:BP32">
    <cfRule type="cellIs" priority="173" operator="lessThan" aboveAverage="0" equalAverage="0" bottom="0" percent="0" rank="0" text="" dxfId="200">
      <formula>0</formula>
    </cfRule>
  </conditionalFormatting>
  <conditionalFormatting sqref="BL130:BP130">
    <cfRule type="cellIs" priority="174" operator="lessThan" aboveAverage="0" equalAverage="0" bottom="0" percent="0" rank="0" text="" dxfId="201">
      <formula>0</formula>
    </cfRule>
  </conditionalFormatting>
  <conditionalFormatting sqref="BL104:BP104">
    <cfRule type="cellIs" priority="175" operator="lessThan" aboveAverage="0" equalAverage="0" bottom="0" percent="0" rank="0" text="" dxfId="202">
      <formula>0</formula>
    </cfRule>
  </conditionalFormatting>
  <conditionalFormatting sqref="BL106:BP106">
    <cfRule type="cellIs" priority="176" operator="lessThan" aboveAverage="0" equalAverage="0" bottom="0" percent="0" rank="0" text="" dxfId="203">
      <formula>0</formula>
    </cfRule>
  </conditionalFormatting>
  <conditionalFormatting sqref="BL115:BP115">
    <cfRule type="cellIs" priority="177" operator="lessThan" aboveAverage="0" equalAverage="0" bottom="0" percent="0" rank="0" text="" dxfId="204">
      <formula>0</formula>
    </cfRule>
  </conditionalFormatting>
  <conditionalFormatting sqref="BL117:BP117">
    <cfRule type="cellIs" priority="178" operator="lessThan" aboveAverage="0" equalAverage="0" bottom="0" percent="0" rank="0" text="" dxfId="205">
      <formula>0</formula>
    </cfRule>
  </conditionalFormatting>
  <conditionalFormatting sqref="BL42:BP42">
    <cfRule type="cellIs" priority="179" operator="lessThan" aboveAverage="0" equalAverage="0" bottom="0" percent="0" rank="0" text="" dxfId="206">
      <formula>0</formula>
    </cfRule>
  </conditionalFormatting>
  <conditionalFormatting sqref="AZ32:BD32">
    <cfRule type="cellIs" priority="180" operator="lessThan" aboveAverage="0" equalAverage="0" bottom="0" percent="0" rank="0" text="" dxfId="207">
      <formula>0</formula>
    </cfRule>
  </conditionalFormatting>
  <conditionalFormatting sqref="AZ130:BD130">
    <cfRule type="cellIs" priority="181" operator="lessThan" aboveAverage="0" equalAverage="0" bottom="0" percent="0" rank="0" text="" dxfId="208">
      <formula>0</formula>
    </cfRule>
  </conditionalFormatting>
  <conditionalFormatting sqref="AZ104:BD104">
    <cfRule type="cellIs" priority="182" operator="lessThan" aboveAverage="0" equalAverage="0" bottom="0" percent="0" rank="0" text="" dxfId="209">
      <formula>0</formula>
    </cfRule>
  </conditionalFormatting>
  <conditionalFormatting sqref="AZ106:BD106">
    <cfRule type="cellIs" priority="183" operator="lessThan" aboveAverage="0" equalAverage="0" bottom="0" percent="0" rank="0" text="" dxfId="210">
      <formula>0</formula>
    </cfRule>
  </conditionalFormatting>
  <conditionalFormatting sqref="AZ115:BD115">
    <cfRule type="cellIs" priority="184" operator="lessThan" aboveAverage="0" equalAverage="0" bottom="0" percent="0" rank="0" text="" dxfId="211">
      <formula>0</formula>
    </cfRule>
  </conditionalFormatting>
  <conditionalFormatting sqref="AZ117:BD117">
    <cfRule type="cellIs" priority="185" operator="lessThan" aboveAverage="0" equalAverage="0" bottom="0" percent="0" rank="0" text="" dxfId="212">
      <formula>0</formula>
    </cfRule>
  </conditionalFormatting>
  <conditionalFormatting sqref="AZ42:BD42">
    <cfRule type="cellIs" priority="186" operator="lessThan" aboveAverage="0" equalAverage="0" bottom="0" percent="0" rank="0" text="" dxfId="213">
      <formula>0</formula>
    </cfRule>
  </conditionalFormatting>
  <conditionalFormatting sqref="AT32:AX32">
    <cfRule type="cellIs" priority="187" operator="lessThan" aboveAverage="0" equalAverage="0" bottom="0" percent="0" rank="0" text="" dxfId="214">
      <formula>0</formula>
    </cfRule>
  </conditionalFormatting>
  <conditionalFormatting sqref="AT130:AX130">
    <cfRule type="cellIs" priority="188" operator="lessThan" aboveAverage="0" equalAverage="0" bottom="0" percent="0" rank="0" text="" dxfId="215">
      <formula>0</formula>
    </cfRule>
  </conditionalFormatting>
  <conditionalFormatting sqref="AT104:AX104">
    <cfRule type="cellIs" priority="189" operator="lessThan" aboveAverage="0" equalAverage="0" bottom="0" percent="0" rank="0" text="" dxfId="216">
      <formula>0</formula>
    </cfRule>
  </conditionalFormatting>
  <conditionalFormatting sqref="AT106:AX106">
    <cfRule type="cellIs" priority="190" operator="lessThan" aboveAverage="0" equalAverage="0" bottom="0" percent="0" rank="0" text="" dxfId="217">
      <formula>0</formula>
    </cfRule>
  </conditionalFormatting>
  <conditionalFormatting sqref="AT115:AX115">
    <cfRule type="cellIs" priority="191" operator="lessThan" aboveAverage="0" equalAverage="0" bottom="0" percent="0" rank="0" text="" dxfId="218">
      <formula>0</formula>
    </cfRule>
  </conditionalFormatting>
  <conditionalFormatting sqref="AT117:AX117">
    <cfRule type="cellIs" priority="192" operator="lessThan" aboveAverage="0" equalAverage="0" bottom="0" percent="0" rank="0" text="" dxfId="219">
      <formula>0</formula>
    </cfRule>
  </conditionalFormatting>
  <conditionalFormatting sqref="AT42:AX42">
    <cfRule type="cellIs" priority="193" operator="lessThan" aboveAverage="0" equalAverage="0" bottom="0" percent="0" rank="0" text="" dxfId="220">
      <formula>0</formula>
    </cfRule>
  </conditionalFormatting>
  <conditionalFormatting sqref="AN32:AR32">
    <cfRule type="cellIs" priority="194" operator="lessThan" aboveAverage="0" equalAverage="0" bottom="0" percent="0" rank="0" text="" dxfId="221">
      <formula>0</formula>
    </cfRule>
  </conditionalFormatting>
  <conditionalFormatting sqref="AN130:AR130">
    <cfRule type="cellIs" priority="195" operator="lessThan" aboveAverage="0" equalAverage="0" bottom="0" percent="0" rank="0" text="" dxfId="222">
      <formula>0</formula>
    </cfRule>
  </conditionalFormatting>
  <conditionalFormatting sqref="AN104:AR104">
    <cfRule type="cellIs" priority="196" operator="lessThan" aboveAverage="0" equalAverage="0" bottom="0" percent="0" rank="0" text="" dxfId="223">
      <formula>0</formula>
    </cfRule>
  </conditionalFormatting>
  <conditionalFormatting sqref="AN106:AR106">
    <cfRule type="cellIs" priority="197" operator="lessThan" aboveAverage="0" equalAverage="0" bottom="0" percent="0" rank="0" text="" dxfId="224">
      <formula>0</formula>
    </cfRule>
  </conditionalFormatting>
  <conditionalFormatting sqref="AN115:AR115">
    <cfRule type="cellIs" priority="198" operator="lessThan" aboveAverage="0" equalAverage="0" bottom="0" percent="0" rank="0" text="" dxfId="225">
      <formula>0</formula>
    </cfRule>
  </conditionalFormatting>
  <conditionalFormatting sqref="AN117:AR117">
    <cfRule type="cellIs" priority="199" operator="lessThan" aboveAverage="0" equalAverage="0" bottom="0" percent="0" rank="0" text="" dxfId="226">
      <formula>0</formula>
    </cfRule>
  </conditionalFormatting>
  <conditionalFormatting sqref="AN42:AR42">
    <cfRule type="cellIs" priority="200" operator="lessThan" aboveAverage="0" equalAverage="0" bottom="0" percent="0" rank="0" text="" dxfId="227">
      <formula>0</formula>
    </cfRule>
  </conditionalFormatting>
  <conditionalFormatting sqref="AH32:AL32">
    <cfRule type="cellIs" priority="201" operator="lessThan" aboveAverage="0" equalAverage="0" bottom="0" percent="0" rank="0" text="" dxfId="228">
      <formula>0</formula>
    </cfRule>
  </conditionalFormatting>
  <conditionalFormatting sqref="AH130:AL130">
    <cfRule type="cellIs" priority="202" operator="lessThan" aboveAverage="0" equalAverage="0" bottom="0" percent="0" rank="0" text="" dxfId="229">
      <formula>0</formula>
    </cfRule>
  </conditionalFormatting>
  <conditionalFormatting sqref="AH104:AL104">
    <cfRule type="cellIs" priority="203" operator="lessThan" aboveAverage="0" equalAverage="0" bottom="0" percent="0" rank="0" text="" dxfId="230">
      <formula>0</formula>
    </cfRule>
  </conditionalFormatting>
  <conditionalFormatting sqref="AH106:AL106">
    <cfRule type="cellIs" priority="204" operator="lessThan" aboveAverage="0" equalAverage="0" bottom="0" percent="0" rank="0" text="" dxfId="231">
      <formula>0</formula>
    </cfRule>
  </conditionalFormatting>
  <conditionalFormatting sqref="AH115:AL115">
    <cfRule type="cellIs" priority="205" operator="lessThan" aboveAverage="0" equalAverage="0" bottom="0" percent="0" rank="0" text="" dxfId="232">
      <formula>0</formula>
    </cfRule>
  </conditionalFormatting>
  <conditionalFormatting sqref="AH117:AL117">
    <cfRule type="cellIs" priority="206" operator="lessThan" aboveAverage="0" equalAverage="0" bottom="0" percent="0" rank="0" text="" dxfId="233">
      <formula>0</formula>
    </cfRule>
  </conditionalFormatting>
  <conditionalFormatting sqref="AH42:AL42">
    <cfRule type="cellIs" priority="207" operator="lessThan" aboveAverage="0" equalAverage="0" bottom="0" percent="0" rank="0" text="" dxfId="234">
      <formula>0</formula>
    </cfRule>
  </conditionalFormatting>
  <conditionalFormatting sqref="AB32:AF32">
    <cfRule type="cellIs" priority="208" operator="lessThan" aboveAverage="0" equalAverage="0" bottom="0" percent="0" rank="0" text="" dxfId="235">
      <formula>0</formula>
    </cfRule>
  </conditionalFormatting>
  <conditionalFormatting sqref="AB130:AF130">
    <cfRule type="cellIs" priority="209" operator="lessThan" aboveAverage="0" equalAverage="0" bottom="0" percent="0" rank="0" text="" dxfId="236">
      <formula>0</formula>
    </cfRule>
  </conditionalFormatting>
  <conditionalFormatting sqref="AB104:AF104">
    <cfRule type="cellIs" priority="210" operator="lessThan" aboveAverage="0" equalAverage="0" bottom="0" percent="0" rank="0" text="" dxfId="237">
      <formula>0</formula>
    </cfRule>
  </conditionalFormatting>
  <conditionalFormatting sqref="AB106:AF106">
    <cfRule type="cellIs" priority="211" operator="lessThan" aboveAverage="0" equalAverage="0" bottom="0" percent="0" rank="0" text="" dxfId="238">
      <formula>0</formula>
    </cfRule>
  </conditionalFormatting>
  <conditionalFormatting sqref="AB115:AF115">
    <cfRule type="cellIs" priority="212" operator="lessThan" aboveAverage="0" equalAverage="0" bottom="0" percent="0" rank="0" text="" dxfId="239">
      <formula>0</formula>
    </cfRule>
  </conditionalFormatting>
  <conditionalFormatting sqref="AB117:AF117">
    <cfRule type="cellIs" priority="213" operator="lessThan" aboveAverage="0" equalAverage="0" bottom="0" percent="0" rank="0" text="" dxfId="240">
      <formula>0</formula>
    </cfRule>
  </conditionalFormatting>
  <conditionalFormatting sqref="AB42:AF42">
    <cfRule type="cellIs" priority="214" operator="lessThan" aboveAverage="0" equalAverage="0" bottom="0" percent="0" rank="0" text="" dxfId="241">
      <formula>0</formula>
    </cfRule>
  </conditionalFormatting>
  <conditionalFormatting sqref="V32:Z32">
    <cfRule type="cellIs" priority="215" operator="lessThan" aboveAverage="0" equalAverage="0" bottom="0" percent="0" rank="0" text="" dxfId="242">
      <formula>0</formula>
    </cfRule>
  </conditionalFormatting>
  <conditionalFormatting sqref="V130:Z130">
    <cfRule type="cellIs" priority="216" operator="lessThan" aboveAverage="0" equalAverage="0" bottom="0" percent="0" rank="0" text="" dxfId="243">
      <formula>0</formula>
    </cfRule>
  </conditionalFormatting>
  <conditionalFormatting sqref="V104:Z104">
    <cfRule type="cellIs" priority="217" operator="lessThan" aboveAverage="0" equalAverage="0" bottom="0" percent="0" rank="0" text="" dxfId="244">
      <formula>0</formula>
    </cfRule>
  </conditionalFormatting>
  <conditionalFormatting sqref="V106:Z106">
    <cfRule type="cellIs" priority="218" operator="lessThan" aboveAverage="0" equalAverage="0" bottom="0" percent="0" rank="0" text="" dxfId="245">
      <formula>0</formula>
    </cfRule>
  </conditionalFormatting>
  <conditionalFormatting sqref="V115:Z115">
    <cfRule type="cellIs" priority="219" operator="lessThan" aboveAverage="0" equalAverage="0" bottom="0" percent="0" rank="0" text="" dxfId="246">
      <formula>0</formula>
    </cfRule>
  </conditionalFormatting>
  <conditionalFormatting sqref="V117:Z117">
    <cfRule type="cellIs" priority="220" operator="lessThan" aboveAverage="0" equalAverage="0" bottom="0" percent="0" rank="0" text="" dxfId="247">
      <formula>0</formula>
    </cfRule>
  </conditionalFormatting>
  <conditionalFormatting sqref="V42:Z42">
    <cfRule type="cellIs" priority="221" operator="lessThan" aboveAverage="0" equalAverage="0" bottom="0" percent="0" rank="0" text="" dxfId="248">
      <formula>0</formula>
    </cfRule>
  </conditionalFormatting>
  <conditionalFormatting sqref="P32:T32">
    <cfRule type="cellIs" priority="222" operator="lessThan" aboveAverage="0" equalAverage="0" bottom="0" percent="0" rank="0" text="" dxfId="249">
      <formula>0</formula>
    </cfRule>
  </conditionalFormatting>
  <conditionalFormatting sqref="P130:T130">
    <cfRule type="cellIs" priority="223" operator="lessThan" aboveAverage="0" equalAverage="0" bottom="0" percent="0" rank="0" text="" dxfId="250">
      <formula>0</formula>
    </cfRule>
  </conditionalFormatting>
  <conditionalFormatting sqref="P104:T104">
    <cfRule type="cellIs" priority="224" operator="lessThan" aboveAverage="0" equalAverage="0" bottom="0" percent="0" rank="0" text="" dxfId="251">
      <formula>0</formula>
    </cfRule>
  </conditionalFormatting>
  <conditionalFormatting sqref="P106:T106">
    <cfRule type="cellIs" priority="225" operator="lessThan" aboveAverage="0" equalAverage="0" bottom="0" percent="0" rank="0" text="" dxfId="252">
      <formula>0</formula>
    </cfRule>
  </conditionalFormatting>
  <conditionalFormatting sqref="P115:T115">
    <cfRule type="cellIs" priority="226" operator="lessThan" aboveAverage="0" equalAverage="0" bottom="0" percent="0" rank="0" text="" dxfId="253">
      <formula>0</formula>
    </cfRule>
  </conditionalFormatting>
  <conditionalFormatting sqref="P117:T117">
    <cfRule type="cellIs" priority="227" operator="lessThan" aboveAverage="0" equalAverage="0" bottom="0" percent="0" rank="0" text="" dxfId="254">
      <formula>0</formula>
    </cfRule>
  </conditionalFormatting>
  <conditionalFormatting sqref="P42:T42">
    <cfRule type="cellIs" priority="228" operator="lessThan" aboveAverage="0" equalAverage="0" bottom="0" percent="0" rank="0" text="" dxfId="255">
      <formula>0</formula>
    </cfRule>
  </conditionalFormatting>
  <conditionalFormatting sqref="J32:N32">
    <cfRule type="cellIs" priority="229" operator="lessThan" aboveAverage="0" equalAverage="0" bottom="0" percent="0" rank="0" text="" dxfId="256">
      <formula>0</formula>
    </cfRule>
  </conditionalFormatting>
  <conditionalFormatting sqref="J130:N130">
    <cfRule type="cellIs" priority="230" operator="lessThan" aboveAverage="0" equalAverage="0" bottom="0" percent="0" rank="0" text="" dxfId="257">
      <formula>0</formula>
    </cfRule>
  </conditionalFormatting>
  <conditionalFormatting sqref="J104:N104">
    <cfRule type="cellIs" priority="231" operator="lessThan" aboveAverage="0" equalAverage="0" bottom="0" percent="0" rank="0" text="" dxfId="258">
      <formula>0</formula>
    </cfRule>
  </conditionalFormatting>
  <conditionalFormatting sqref="J106:N106">
    <cfRule type="cellIs" priority="232" operator="lessThan" aboveAverage="0" equalAverage="0" bottom="0" percent="0" rank="0" text="" dxfId="259">
      <formula>0</formula>
    </cfRule>
  </conditionalFormatting>
  <conditionalFormatting sqref="J115:N115">
    <cfRule type="cellIs" priority="233" operator="lessThan" aboveAverage="0" equalAverage="0" bottom="0" percent="0" rank="0" text="" dxfId="260">
      <formula>0</formula>
    </cfRule>
  </conditionalFormatting>
  <conditionalFormatting sqref="J117:N117">
    <cfRule type="cellIs" priority="234" operator="lessThan" aboveAverage="0" equalAverage="0" bottom="0" percent="0" rank="0" text="" dxfId="261">
      <formula>0</formula>
    </cfRule>
  </conditionalFormatting>
  <conditionalFormatting sqref="J42:N42">
    <cfRule type="cellIs" priority="235" operator="lessThan" aboveAverage="0" equalAverage="0" bottom="0" percent="0" rank="0" text="" dxfId="262">
      <formula>0</formula>
    </cfRule>
  </conditionalFormatting>
  <conditionalFormatting sqref="B32:H32">
    <cfRule type="cellIs" priority="236" operator="lessThan" aboveAverage="0" equalAverage="0" bottom="0" percent="0" rank="0" text="" dxfId="263">
      <formula>0</formula>
    </cfRule>
  </conditionalFormatting>
  <conditionalFormatting sqref="B130:H130">
    <cfRule type="cellIs" priority="237" operator="lessThan" aboveAverage="0" equalAverage="0" bottom="0" percent="0" rank="0" text="" dxfId="264">
      <formula>0</formula>
    </cfRule>
  </conditionalFormatting>
  <conditionalFormatting sqref="B104:H104">
    <cfRule type="cellIs" priority="238" operator="lessThan" aboveAverage="0" equalAverage="0" bottom="0" percent="0" rank="0" text="" dxfId="265">
      <formula>0</formula>
    </cfRule>
  </conditionalFormatting>
  <conditionalFormatting sqref="B106:H106">
    <cfRule type="cellIs" priority="239" operator="lessThan" aboveAverage="0" equalAverage="0" bottom="0" percent="0" rank="0" text="" dxfId="266">
      <formula>0</formula>
    </cfRule>
  </conditionalFormatting>
  <conditionalFormatting sqref="B115:H115">
    <cfRule type="cellIs" priority="240" operator="lessThan" aboveAverage="0" equalAverage="0" bottom="0" percent="0" rank="0" text="" dxfId="267">
      <formula>0</formula>
    </cfRule>
  </conditionalFormatting>
  <conditionalFormatting sqref="B117:H117">
    <cfRule type="cellIs" priority="241" operator="lessThan" aboveAverage="0" equalAverage="0" bottom="0" percent="0" rank="0" text="" dxfId="268">
      <formula>0</formula>
    </cfRule>
  </conditionalFormatting>
  <conditionalFormatting sqref="B42:H42">
    <cfRule type="cellIs" priority="242" operator="lessThan" aboveAverage="0" equalAverage="0" bottom="0" percent="0" rank="0" text="" dxfId="269">
      <formula>0</formula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89" activePane="bottomRight" state="frozen"/>
      <selection pane="topLeft" activeCell="A1" activeCellId="0" sqref="A1"/>
      <selection pane="topRight" activeCell="E1" activeCellId="0" sqref="E1"/>
      <selection pane="bottomLeft" activeCell="A289" activeCellId="0" sqref="A289"/>
      <selection pane="bottomRight" activeCell="O2" activeCellId="0" sqref="O2:O308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6.56"/>
    <col collapsed="false" customWidth="true" hidden="false" outlineLevel="0" max="2" min="2" style="198" width="6.34"/>
    <col collapsed="false" customWidth="true" hidden="false" outlineLevel="0" max="3" min="3" style="199" width="10.56"/>
    <col collapsed="false" customWidth="true" hidden="false" outlineLevel="0" max="4" min="4" style="198" width="17.66"/>
    <col collapsed="false" customWidth="true" hidden="false" outlineLevel="0" max="5" min="5" style="198" width="13.22"/>
    <col collapsed="false" customWidth="true" hidden="false" outlineLevel="0" max="6" min="6" style="198" width="15"/>
    <col collapsed="false" customWidth="true" hidden="false" outlineLevel="0" max="7" min="7" style="200" width="6.67"/>
    <col collapsed="false" customWidth="true" hidden="false" outlineLevel="0" max="8" min="8" style="201" width="9.66"/>
    <col collapsed="false" customWidth="true" hidden="false" outlineLevel="0" max="9" min="9" style="198" width="16.55"/>
    <col collapsed="false" customWidth="true" hidden="false" outlineLevel="0" max="10" min="10" style="202" width="7.22"/>
    <col collapsed="false" customWidth="true" hidden="false" outlineLevel="0" max="11" min="11" style="203" width="7.55"/>
    <col collapsed="false" customWidth="true" hidden="false" outlineLevel="0" max="12" min="12" style="0" width="7.45"/>
    <col collapsed="false" customWidth="true" hidden="false" outlineLevel="0" max="13" min="13" style="0" width="8.67"/>
    <col collapsed="false" customWidth="true" hidden="false" outlineLevel="0" max="14" min="14" style="204" width="8.45"/>
    <col collapsed="false" customWidth="true" hidden="false" outlineLevel="0" max="15" min="15" style="0" width="18"/>
  </cols>
  <sheetData>
    <row r="1" s="218" customFormat="true" ht="14.25" hidden="false" customHeight="false" outlineLevel="0" collapsed="false">
      <c r="A1" s="205" t="s">
        <v>3</v>
      </c>
      <c r="B1" s="206" t="s">
        <v>184</v>
      </c>
      <c r="C1" s="207" t="s">
        <v>185</v>
      </c>
      <c r="D1" s="208" t="s">
        <v>186</v>
      </c>
      <c r="E1" s="208" t="s">
        <v>187</v>
      </c>
      <c r="F1" s="208" t="s">
        <v>188</v>
      </c>
      <c r="G1" s="209"/>
      <c r="H1" s="210" t="s">
        <v>189</v>
      </c>
      <c r="I1" s="211" t="s">
        <v>190</v>
      </c>
      <c r="J1" s="212" t="s">
        <v>191</v>
      </c>
      <c r="K1" s="213" t="s">
        <v>192</v>
      </c>
      <c r="L1" s="214" t="s">
        <v>193</v>
      </c>
      <c r="M1" s="215" t="s">
        <v>194</v>
      </c>
      <c r="N1" s="216" t="s">
        <v>195</v>
      </c>
      <c r="O1" s="217" t="s">
        <v>196</v>
      </c>
    </row>
    <row r="2" customFormat="false" ht="14.25" hidden="false" customHeight="false" outlineLevel="0" collapsed="false">
      <c r="A2" s="219"/>
      <c r="C2" s="220"/>
      <c r="N2" s="221"/>
    </row>
    <row r="3" customFormat="false" ht="14.25" hidden="false" customHeight="false" outlineLevel="0" collapsed="false">
      <c r="A3" s="219"/>
      <c r="C3" s="220"/>
      <c r="N3" s="221"/>
    </row>
    <row r="4" customFormat="false" ht="14.25" hidden="false" customHeight="false" outlineLevel="0" collapsed="false">
      <c r="A4" s="219"/>
      <c r="C4" s="220"/>
      <c r="N4" s="221"/>
    </row>
    <row r="5" customFormat="false" ht="14.25" hidden="false" customHeight="false" outlineLevel="0" collapsed="false">
      <c r="A5" s="219"/>
      <c r="C5" s="220"/>
      <c r="N5" s="221"/>
    </row>
    <row r="6" customFormat="false" ht="14.25" hidden="false" customHeight="false" outlineLevel="0" collapsed="false">
      <c r="A6" s="219"/>
      <c r="C6" s="220"/>
      <c r="N6" s="221"/>
    </row>
    <row r="7" customFormat="false" ht="15" hidden="false" customHeight="false" outlineLevel="0" collapsed="false">
      <c r="A7" s="219"/>
      <c r="C7" s="222"/>
      <c r="D7" s="223"/>
      <c r="F7" s="223"/>
      <c r="L7" s="223"/>
      <c r="N7" s="221"/>
    </row>
    <row r="8" customFormat="false" ht="15" hidden="false" customHeight="false" outlineLevel="0" collapsed="false">
      <c r="A8" s="219"/>
      <c r="C8" s="222"/>
      <c r="D8" s="223"/>
      <c r="F8" s="223"/>
      <c r="L8" s="223"/>
      <c r="N8" s="221"/>
    </row>
    <row r="9" customFormat="false" ht="15" hidden="false" customHeight="false" outlineLevel="0" collapsed="false">
      <c r="A9" s="219"/>
      <c r="C9" s="222"/>
      <c r="D9" s="223"/>
      <c r="F9" s="223"/>
      <c r="L9" s="223"/>
      <c r="N9" s="221"/>
    </row>
    <row r="10" customFormat="false" ht="14.25" hidden="false" customHeight="false" outlineLevel="0" collapsed="false">
      <c r="A10" s="219"/>
      <c r="C10" s="220"/>
      <c r="N10" s="221"/>
    </row>
    <row r="11" customFormat="false" ht="14.25" hidden="false" customHeight="false" outlineLevel="0" collapsed="false">
      <c r="A11" s="219"/>
      <c r="C11" s="220"/>
      <c r="N11" s="221"/>
    </row>
    <row r="12" customFormat="false" ht="14.25" hidden="false" customHeight="false" outlineLevel="0" collapsed="false">
      <c r="A12" s="219"/>
      <c r="C12" s="220"/>
      <c r="N12" s="221"/>
    </row>
    <row r="13" customFormat="false" ht="15" hidden="false" customHeight="false" outlineLevel="0" collapsed="false">
      <c r="A13" s="219"/>
      <c r="C13" s="222"/>
      <c r="D13" s="223"/>
      <c r="F13" s="223"/>
      <c r="L13" s="223"/>
      <c r="N13" s="221"/>
    </row>
    <row r="14" customFormat="false" ht="14.25" hidden="false" customHeight="false" outlineLevel="0" collapsed="false">
      <c r="A14" s="219"/>
      <c r="C14" s="220"/>
      <c r="N14" s="221"/>
    </row>
    <row r="15" customFormat="false" ht="14.25" hidden="false" customHeight="false" outlineLevel="0" collapsed="false">
      <c r="A15" s="219"/>
      <c r="C15" s="220"/>
      <c r="N15" s="221"/>
    </row>
    <row r="16" customFormat="false" ht="14.25" hidden="false" customHeight="false" outlineLevel="0" collapsed="false">
      <c r="A16" s="219"/>
      <c r="C16" s="220"/>
      <c r="N16" s="221"/>
    </row>
    <row r="17" customFormat="false" ht="14.25" hidden="false" customHeight="false" outlineLevel="0" collapsed="false">
      <c r="A17" s="219"/>
      <c r="C17" s="220"/>
      <c r="N17" s="221"/>
    </row>
    <row r="18" customFormat="false" ht="15" hidden="false" customHeight="false" outlineLevel="0" collapsed="false">
      <c r="A18" s="219"/>
      <c r="C18" s="222"/>
      <c r="D18" s="223"/>
      <c r="L18" s="223"/>
      <c r="N18" s="221"/>
    </row>
    <row r="19" customFormat="false" ht="15" hidden="false" customHeight="false" outlineLevel="0" collapsed="false">
      <c r="A19" s="219"/>
      <c r="C19" s="222"/>
      <c r="D19" s="223"/>
      <c r="L19" s="223"/>
      <c r="N19" s="221"/>
    </row>
    <row r="20" customFormat="false" ht="14.25" hidden="false" customHeight="false" outlineLevel="0" collapsed="false">
      <c r="A20" s="219"/>
      <c r="C20" s="220"/>
      <c r="N20" s="221"/>
    </row>
    <row r="21" customFormat="false" ht="14.25" hidden="false" customHeight="false" outlineLevel="0" collapsed="false">
      <c r="A21" s="219"/>
      <c r="C21" s="220"/>
      <c r="N21" s="221"/>
    </row>
    <row r="22" customFormat="false" ht="14.25" hidden="false" customHeight="false" outlineLevel="0" collapsed="false">
      <c r="A22" s="219"/>
      <c r="C22" s="220"/>
      <c r="N22" s="221"/>
    </row>
    <row r="23" customFormat="false" ht="14.25" hidden="false" customHeight="false" outlineLevel="0" collapsed="false">
      <c r="A23" s="219"/>
      <c r="C23" s="220"/>
      <c r="N23" s="221"/>
    </row>
    <row r="24" customFormat="false" ht="14.25" hidden="false" customHeight="false" outlineLevel="0" collapsed="false">
      <c r="A24" s="219"/>
      <c r="C24" s="220"/>
      <c r="N24" s="221"/>
    </row>
    <row r="25" customFormat="false" ht="15" hidden="false" customHeight="false" outlineLevel="0" collapsed="false">
      <c r="A25" s="219"/>
      <c r="C25" s="222"/>
      <c r="D25" s="223"/>
      <c r="L25" s="223"/>
      <c r="N25" s="221"/>
    </row>
    <row r="26" customFormat="false" ht="14.25" hidden="false" customHeight="false" outlineLevel="0" collapsed="false">
      <c r="A26" s="219"/>
      <c r="C26" s="220"/>
      <c r="N26" s="221"/>
    </row>
    <row r="27" customFormat="false" ht="14.25" hidden="false" customHeight="false" outlineLevel="0" collapsed="false">
      <c r="A27" s="219"/>
      <c r="C27" s="220"/>
      <c r="N27" s="221"/>
    </row>
    <row r="28" customFormat="false" ht="14.25" hidden="false" customHeight="false" outlineLevel="0" collapsed="false">
      <c r="A28" s="219"/>
      <c r="C28" s="220"/>
      <c r="N28" s="221"/>
    </row>
    <row r="29" customFormat="false" ht="14.25" hidden="false" customHeight="false" outlineLevel="0" collapsed="false">
      <c r="A29" s="219"/>
      <c r="C29" s="220"/>
      <c r="N29" s="221"/>
    </row>
    <row r="30" customFormat="false" ht="14.25" hidden="false" customHeight="false" outlineLevel="0" collapsed="false">
      <c r="A30" s="219"/>
      <c r="C30" s="220"/>
      <c r="N30" s="221"/>
    </row>
    <row r="31" customFormat="false" ht="14.25" hidden="false" customHeight="false" outlineLevel="0" collapsed="false">
      <c r="A31" s="219"/>
      <c r="C31" s="220"/>
      <c r="N31" s="221"/>
    </row>
    <row r="32" customFormat="false" ht="15" hidden="false" customHeight="false" outlineLevel="0" collapsed="false">
      <c r="A32" s="219"/>
      <c r="C32" s="222"/>
      <c r="D32" s="223"/>
      <c r="L32" s="223"/>
      <c r="N32" s="221"/>
    </row>
    <row r="33" customFormat="false" ht="15" hidden="false" customHeight="false" outlineLevel="0" collapsed="false">
      <c r="A33" s="219"/>
      <c r="C33" s="222"/>
      <c r="D33" s="223"/>
      <c r="L33" s="223"/>
      <c r="N33" s="221"/>
    </row>
    <row r="34" customFormat="false" ht="15" hidden="false" customHeight="false" outlineLevel="0" collapsed="false">
      <c r="A34" s="219"/>
      <c r="C34" s="222"/>
      <c r="D34" s="223"/>
      <c r="L34" s="223"/>
      <c r="N34" s="221"/>
    </row>
    <row r="35" customFormat="false" ht="15" hidden="false" customHeight="false" outlineLevel="0" collapsed="false">
      <c r="A35" s="219"/>
      <c r="C35" s="222"/>
      <c r="D35" s="223"/>
      <c r="L35" s="223"/>
      <c r="N35" s="221"/>
    </row>
    <row r="36" customFormat="false" ht="15" hidden="false" customHeight="false" outlineLevel="0" collapsed="false">
      <c r="A36" s="219"/>
      <c r="C36" s="222"/>
      <c r="D36" s="223"/>
      <c r="F36" s="223"/>
      <c r="L36" s="223"/>
      <c r="N36" s="221"/>
    </row>
    <row r="37" customFormat="false" ht="14.25" hidden="false" customHeight="false" outlineLevel="0" collapsed="false">
      <c r="A37" s="219"/>
      <c r="C37" s="220"/>
      <c r="N37" s="221"/>
    </row>
    <row r="38" customFormat="false" ht="14.25" hidden="false" customHeight="false" outlineLevel="0" collapsed="false">
      <c r="A38" s="219"/>
      <c r="C38" s="220"/>
      <c r="N38" s="221"/>
    </row>
    <row r="39" customFormat="false" ht="14.25" hidden="false" customHeight="false" outlineLevel="0" collapsed="false">
      <c r="A39" s="219"/>
      <c r="C39" s="220"/>
      <c r="N39" s="221"/>
    </row>
    <row r="40" customFormat="false" ht="14.25" hidden="false" customHeight="false" outlineLevel="0" collapsed="false">
      <c r="A40" s="219"/>
      <c r="C40" s="220"/>
      <c r="N40" s="221"/>
    </row>
    <row r="41" customFormat="false" ht="14.25" hidden="false" customHeight="false" outlineLevel="0" collapsed="false">
      <c r="A41" s="219"/>
      <c r="C41" s="220"/>
      <c r="N41" s="221"/>
    </row>
    <row r="42" customFormat="false" ht="14.25" hidden="false" customHeight="false" outlineLevel="0" collapsed="false">
      <c r="A42" s="219"/>
      <c r="C42" s="220"/>
      <c r="N42" s="221"/>
    </row>
    <row r="43" customFormat="false" ht="14.25" hidden="false" customHeight="false" outlineLevel="0" collapsed="false">
      <c r="A43" s="219"/>
      <c r="C43" s="220"/>
      <c r="N43" s="221"/>
    </row>
    <row r="44" customFormat="false" ht="14.25" hidden="false" customHeight="false" outlineLevel="0" collapsed="false">
      <c r="A44" s="219"/>
      <c r="C44" s="220"/>
      <c r="N44" s="221"/>
    </row>
    <row r="45" customFormat="false" ht="15" hidden="false" customHeight="false" outlineLevel="0" collapsed="false">
      <c r="A45" s="219"/>
      <c r="C45" s="222"/>
      <c r="D45" s="223"/>
      <c r="L45" s="223"/>
      <c r="N45" s="221"/>
    </row>
    <row r="46" customFormat="false" ht="15" hidden="false" customHeight="false" outlineLevel="0" collapsed="false">
      <c r="A46" s="219"/>
      <c r="C46" s="222"/>
      <c r="D46" s="223"/>
      <c r="L46" s="223"/>
      <c r="N46" s="221"/>
    </row>
    <row r="47" customFormat="false" ht="15" hidden="false" customHeight="false" outlineLevel="0" collapsed="false">
      <c r="A47" s="219"/>
      <c r="C47" s="222"/>
      <c r="D47" s="223"/>
      <c r="L47" s="223"/>
      <c r="N47" s="221"/>
    </row>
    <row r="48" customFormat="false" ht="14.25" hidden="false" customHeight="false" outlineLevel="0" collapsed="false">
      <c r="A48" s="219"/>
      <c r="C48" s="220"/>
      <c r="N48" s="221"/>
    </row>
    <row r="49" customFormat="false" ht="15" hidden="false" customHeight="false" outlineLevel="0" collapsed="false">
      <c r="A49" s="219"/>
      <c r="C49" s="222"/>
      <c r="D49" s="223"/>
      <c r="F49" s="223"/>
      <c r="L49" s="223"/>
      <c r="N49" s="221"/>
    </row>
    <row r="50" customFormat="false" ht="14.25" hidden="false" customHeight="false" outlineLevel="0" collapsed="false">
      <c r="A50" s="219"/>
      <c r="C50" s="220"/>
      <c r="N50" s="221"/>
    </row>
    <row r="51" customFormat="false" ht="15" hidden="false" customHeight="false" outlineLevel="0" collapsed="false">
      <c r="A51" s="219"/>
      <c r="C51" s="222"/>
      <c r="D51" s="223"/>
      <c r="L51" s="223"/>
      <c r="N51" s="221"/>
    </row>
    <row r="52" customFormat="false" ht="14.25" hidden="false" customHeight="false" outlineLevel="0" collapsed="false">
      <c r="A52" s="219"/>
      <c r="C52" s="220"/>
      <c r="N52" s="221"/>
    </row>
    <row r="53" customFormat="false" ht="15" hidden="false" customHeight="false" outlineLevel="0" collapsed="false">
      <c r="A53" s="219"/>
      <c r="C53" s="222"/>
      <c r="D53" s="223"/>
      <c r="F53" s="223"/>
      <c r="L53" s="223"/>
      <c r="N53" s="221"/>
    </row>
    <row r="54" customFormat="false" ht="14.25" hidden="false" customHeight="false" outlineLevel="0" collapsed="false">
      <c r="A54" s="219"/>
      <c r="C54" s="220"/>
      <c r="N54" s="221"/>
    </row>
    <row r="55" customFormat="false" ht="14.25" hidden="false" customHeight="false" outlineLevel="0" collapsed="false">
      <c r="A55" s="219"/>
      <c r="C55" s="220"/>
      <c r="N55" s="221"/>
    </row>
    <row r="56" customFormat="false" ht="14.25" hidden="false" customHeight="false" outlineLevel="0" collapsed="false">
      <c r="A56" s="219"/>
      <c r="C56" s="220"/>
      <c r="N56" s="221"/>
    </row>
    <row r="57" customFormat="false" ht="14.25" hidden="false" customHeight="false" outlineLevel="0" collapsed="false">
      <c r="A57" s="219"/>
      <c r="C57" s="220"/>
      <c r="N57" s="221"/>
    </row>
    <row r="58" customFormat="false" ht="14.25" hidden="false" customHeight="false" outlineLevel="0" collapsed="false">
      <c r="A58" s="219"/>
      <c r="C58" s="220"/>
      <c r="N58" s="221"/>
    </row>
    <row r="59" customFormat="false" ht="15" hidden="false" customHeight="false" outlineLevel="0" collapsed="false">
      <c r="A59" s="219"/>
      <c r="C59" s="222"/>
      <c r="D59" s="223"/>
      <c r="L59" s="223"/>
      <c r="N59" s="221"/>
    </row>
    <row r="60" customFormat="false" ht="14.25" hidden="false" customHeight="false" outlineLevel="0" collapsed="false">
      <c r="A60" s="219"/>
      <c r="C60" s="220"/>
      <c r="N60" s="221"/>
    </row>
    <row r="61" customFormat="false" ht="15" hidden="false" customHeight="false" outlineLevel="0" collapsed="false">
      <c r="A61" s="219"/>
      <c r="C61" s="222"/>
      <c r="D61" s="223"/>
      <c r="L61" s="223"/>
      <c r="N61" s="221"/>
    </row>
    <row r="62" customFormat="false" ht="14.25" hidden="false" customHeight="false" outlineLevel="0" collapsed="false">
      <c r="A62" s="219"/>
      <c r="C62" s="220"/>
      <c r="N62" s="221"/>
    </row>
    <row r="63" customFormat="false" ht="14.25" hidden="false" customHeight="false" outlineLevel="0" collapsed="false">
      <c r="A63" s="219"/>
      <c r="C63" s="220"/>
      <c r="N63" s="221"/>
    </row>
    <row r="64" customFormat="false" ht="14.25" hidden="false" customHeight="false" outlineLevel="0" collapsed="false">
      <c r="A64" s="219"/>
      <c r="C64" s="220"/>
      <c r="N64" s="221"/>
    </row>
    <row r="65" customFormat="false" ht="14.25" hidden="false" customHeight="false" outlineLevel="0" collapsed="false">
      <c r="A65" s="219"/>
      <c r="C65" s="220"/>
      <c r="N65" s="221"/>
    </row>
    <row r="66" customFormat="false" ht="14.25" hidden="false" customHeight="false" outlineLevel="0" collapsed="false">
      <c r="A66" s="219"/>
      <c r="C66" s="220"/>
      <c r="N66" s="221"/>
    </row>
    <row r="67" customFormat="false" ht="14.25" hidden="false" customHeight="false" outlineLevel="0" collapsed="false">
      <c r="A67" s="219"/>
      <c r="C67" s="220"/>
      <c r="N67" s="221"/>
    </row>
    <row r="68" customFormat="false" ht="15" hidden="false" customHeight="false" outlineLevel="0" collapsed="false">
      <c r="A68" s="219"/>
      <c r="C68" s="222"/>
      <c r="D68" s="223"/>
      <c r="L68" s="223"/>
      <c r="N68" s="221"/>
    </row>
    <row r="69" customFormat="false" ht="14.25" hidden="false" customHeight="false" outlineLevel="0" collapsed="false">
      <c r="A69" s="219"/>
      <c r="C69" s="220"/>
      <c r="N69" s="221"/>
    </row>
    <row r="70" customFormat="false" ht="15" hidden="false" customHeight="false" outlineLevel="0" collapsed="false">
      <c r="A70" s="219"/>
      <c r="C70" s="222"/>
      <c r="D70" s="223"/>
      <c r="L70" s="223"/>
      <c r="N70" s="221"/>
    </row>
    <row r="71" customFormat="false" ht="14.25" hidden="false" customHeight="false" outlineLevel="0" collapsed="false">
      <c r="A71" s="219"/>
      <c r="C71" s="220"/>
      <c r="N71" s="221"/>
    </row>
    <row r="72" customFormat="false" ht="14.25" hidden="false" customHeight="false" outlineLevel="0" collapsed="false">
      <c r="A72" s="219"/>
      <c r="C72" s="220"/>
      <c r="N72" s="221"/>
    </row>
    <row r="73" customFormat="false" ht="14.25" hidden="false" customHeight="false" outlineLevel="0" collapsed="false">
      <c r="A73" s="219"/>
      <c r="C73" s="220"/>
      <c r="N73" s="221"/>
    </row>
    <row r="74" customFormat="false" ht="15" hidden="false" customHeight="false" outlineLevel="0" collapsed="false">
      <c r="A74" s="219"/>
      <c r="C74" s="222"/>
      <c r="D74" s="223"/>
      <c r="L74" s="223"/>
      <c r="N74" s="221"/>
    </row>
    <row r="75" customFormat="false" ht="14.25" hidden="false" customHeight="false" outlineLevel="0" collapsed="false">
      <c r="A75" s="219"/>
      <c r="C75" s="220"/>
      <c r="N75" s="221"/>
    </row>
    <row r="76" customFormat="false" ht="14.25" hidden="false" customHeight="false" outlineLevel="0" collapsed="false">
      <c r="A76" s="219"/>
      <c r="C76" s="220"/>
      <c r="N76" s="221"/>
    </row>
    <row r="77" customFormat="false" ht="15" hidden="false" customHeight="false" outlineLevel="0" collapsed="false">
      <c r="A77" s="219"/>
      <c r="C77" s="222"/>
      <c r="D77" s="223"/>
      <c r="L77" s="223"/>
      <c r="M77" s="224"/>
      <c r="N77" s="221"/>
    </row>
    <row r="78" customFormat="false" ht="14.25" hidden="false" customHeight="false" outlineLevel="0" collapsed="false">
      <c r="A78" s="219"/>
      <c r="C78" s="220"/>
      <c r="N78" s="221"/>
    </row>
    <row r="79" customFormat="false" ht="15" hidden="false" customHeight="false" outlineLevel="0" collapsed="false">
      <c r="A79" s="219"/>
      <c r="C79" s="222"/>
      <c r="D79" s="223"/>
      <c r="L79" s="223"/>
      <c r="N79" s="221"/>
    </row>
    <row r="80" customFormat="false" ht="14.25" hidden="false" customHeight="false" outlineLevel="0" collapsed="false">
      <c r="A80" s="219"/>
      <c r="C80" s="220"/>
      <c r="N80" s="221"/>
    </row>
    <row r="81" customFormat="false" ht="15" hidden="false" customHeight="false" outlineLevel="0" collapsed="false">
      <c r="A81" s="219"/>
      <c r="C81" s="222"/>
      <c r="D81" s="223"/>
      <c r="L81" s="223"/>
      <c r="M81" s="224"/>
      <c r="N81" s="221"/>
    </row>
    <row r="82" customFormat="false" ht="14.25" hidden="false" customHeight="false" outlineLevel="0" collapsed="false">
      <c r="A82" s="219"/>
      <c r="C82" s="220"/>
      <c r="N82" s="221"/>
    </row>
    <row r="83" customFormat="false" ht="15" hidden="false" customHeight="false" outlineLevel="0" collapsed="false">
      <c r="A83" s="219"/>
      <c r="C83" s="222"/>
      <c r="D83" s="223"/>
      <c r="L83" s="223"/>
      <c r="N83" s="221"/>
    </row>
    <row r="84" customFormat="false" ht="14.25" hidden="false" customHeight="false" outlineLevel="0" collapsed="false">
      <c r="A84" s="219"/>
      <c r="C84" s="220"/>
      <c r="N84" s="221"/>
    </row>
    <row r="85" customFormat="false" ht="15" hidden="false" customHeight="false" outlineLevel="0" collapsed="false">
      <c r="A85" s="219"/>
      <c r="C85" s="222"/>
      <c r="D85" s="223"/>
      <c r="L85" s="223"/>
      <c r="N85" s="221"/>
    </row>
    <row r="86" customFormat="false" ht="15" hidden="false" customHeight="false" outlineLevel="0" collapsed="false">
      <c r="A86" s="219"/>
      <c r="C86" s="222"/>
      <c r="D86" s="223"/>
      <c r="L86" s="223"/>
      <c r="N86" s="221"/>
    </row>
    <row r="87" customFormat="false" ht="15" hidden="false" customHeight="false" outlineLevel="0" collapsed="false">
      <c r="A87" s="219"/>
      <c r="C87" s="222"/>
      <c r="D87" s="223"/>
      <c r="L87" s="223"/>
      <c r="N87" s="221"/>
    </row>
    <row r="88" customFormat="false" ht="14.25" hidden="false" customHeight="false" outlineLevel="0" collapsed="false">
      <c r="A88" s="219"/>
      <c r="C88" s="220"/>
      <c r="N88" s="221"/>
    </row>
    <row r="89" customFormat="false" ht="15" hidden="false" customHeight="false" outlineLevel="0" collapsed="false">
      <c r="A89" s="219"/>
      <c r="C89" s="222"/>
      <c r="D89" s="223"/>
      <c r="L89" s="223"/>
      <c r="N89" s="221"/>
    </row>
    <row r="90" customFormat="false" ht="14.25" hidden="false" customHeight="false" outlineLevel="0" collapsed="false">
      <c r="A90" s="219"/>
      <c r="C90" s="220"/>
      <c r="N90" s="221"/>
    </row>
    <row r="91" customFormat="false" ht="15" hidden="false" customHeight="false" outlineLevel="0" collapsed="false">
      <c r="A91" s="219"/>
      <c r="C91" s="222"/>
      <c r="D91" s="223"/>
      <c r="F91" s="223"/>
      <c r="L91" s="223"/>
      <c r="N91" s="221"/>
    </row>
    <row r="92" customFormat="false" ht="14.25" hidden="false" customHeight="false" outlineLevel="0" collapsed="false">
      <c r="A92" s="219"/>
      <c r="C92" s="220"/>
      <c r="N92" s="221"/>
    </row>
    <row r="93" customFormat="false" ht="14.25" hidden="false" customHeight="false" outlineLevel="0" collapsed="false">
      <c r="A93" s="219"/>
      <c r="C93" s="222"/>
      <c r="N93" s="221"/>
    </row>
    <row r="94" customFormat="false" ht="14.25" hidden="false" customHeight="false" outlineLevel="0" collapsed="false">
      <c r="A94" s="219"/>
      <c r="C94" s="222"/>
      <c r="N94" s="221"/>
    </row>
    <row r="95" customFormat="false" ht="14.25" hidden="false" customHeight="false" outlineLevel="0" collapsed="false">
      <c r="A95" s="219"/>
      <c r="C95" s="222"/>
      <c r="N95" s="221"/>
    </row>
    <row r="96" customFormat="false" ht="14.25" hidden="false" customHeight="false" outlineLevel="0" collapsed="false">
      <c r="A96" s="219"/>
      <c r="C96" s="222"/>
      <c r="N96" s="221"/>
    </row>
    <row r="97" customFormat="false" ht="14.25" hidden="false" customHeight="false" outlineLevel="0" collapsed="false">
      <c r="A97" s="219"/>
      <c r="C97" s="222"/>
      <c r="N97" s="221"/>
    </row>
    <row r="98" customFormat="false" ht="14.25" hidden="false" customHeight="false" outlineLevel="0" collapsed="false">
      <c r="A98" s="219"/>
      <c r="C98" s="222"/>
      <c r="N98" s="221"/>
    </row>
    <row r="99" customFormat="false" ht="14.25" hidden="false" customHeight="false" outlineLevel="0" collapsed="false">
      <c r="A99" s="219"/>
      <c r="C99" s="222"/>
      <c r="N99" s="221"/>
    </row>
    <row r="100" customFormat="false" ht="14.25" hidden="false" customHeight="false" outlineLevel="0" collapsed="false">
      <c r="A100" s="219"/>
      <c r="C100" s="222"/>
      <c r="N100" s="221"/>
    </row>
    <row r="101" customFormat="false" ht="14.25" hidden="false" customHeight="false" outlineLevel="0" collapsed="false">
      <c r="A101" s="219"/>
      <c r="C101" s="222"/>
      <c r="N101" s="221"/>
    </row>
    <row r="102" customFormat="false" ht="14.25" hidden="false" customHeight="false" outlineLevel="0" collapsed="false">
      <c r="A102" s="219"/>
      <c r="C102" s="222"/>
      <c r="N102" s="221"/>
    </row>
    <row r="103" customFormat="false" ht="15" hidden="false" customHeight="false" outlineLevel="0" collapsed="false">
      <c r="A103" s="219"/>
      <c r="C103" s="222"/>
      <c r="D103" s="223"/>
      <c r="L103" s="223"/>
      <c r="N103" s="221"/>
    </row>
    <row r="104" customFormat="false" ht="14.25" hidden="false" customHeight="false" outlineLevel="0" collapsed="false">
      <c r="A104" s="219"/>
      <c r="C104" s="220"/>
      <c r="N104" s="221"/>
    </row>
    <row r="105" customFormat="false" ht="14.25" hidden="false" customHeight="false" outlineLevel="0" collapsed="false">
      <c r="A105" s="219"/>
      <c r="C105" s="220"/>
      <c r="L105" s="225"/>
      <c r="N105" s="221"/>
    </row>
    <row r="106" customFormat="false" ht="14.25" hidden="false" customHeight="false" outlineLevel="0" collapsed="false">
      <c r="A106" s="219"/>
      <c r="C106" s="220"/>
      <c r="L106" s="225"/>
      <c r="N106" s="221"/>
    </row>
    <row r="107" customFormat="false" ht="14.25" hidden="false" customHeight="false" outlineLevel="0" collapsed="false">
      <c r="A107" s="219"/>
      <c r="C107" s="220"/>
      <c r="L107" s="225"/>
      <c r="N107" s="221"/>
    </row>
    <row r="108" customFormat="false" ht="14.25" hidden="false" customHeight="false" outlineLevel="0" collapsed="false">
      <c r="A108" s="219"/>
      <c r="C108" s="220"/>
      <c r="L108" s="225"/>
      <c r="N108" s="221"/>
    </row>
    <row r="109" customFormat="false" ht="14.25" hidden="false" customHeight="false" outlineLevel="0" collapsed="false">
      <c r="A109" s="219"/>
      <c r="C109" s="220"/>
      <c r="L109" s="225"/>
      <c r="N109" s="221"/>
    </row>
    <row r="110" customFormat="false" ht="14.25" hidden="false" customHeight="false" outlineLevel="0" collapsed="false">
      <c r="A110" s="219"/>
      <c r="C110" s="220"/>
      <c r="L110" s="225"/>
      <c r="N110" s="221"/>
    </row>
    <row r="111" customFormat="false" ht="14.25" hidden="false" customHeight="false" outlineLevel="0" collapsed="false">
      <c r="A111" s="219"/>
      <c r="C111" s="220"/>
      <c r="L111" s="225"/>
      <c r="N111" s="221"/>
    </row>
    <row r="112" customFormat="false" ht="14.25" hidden="false" customHeight="false" outlineLevel="0" collapsed="false">
      <c r="A112" s="219"/>
      <c r="C112" s="220"/>
      <c r="L112" s="225"/>
      <c r="N112" s="221"/>
    </row>
    <row r="113" customFormat="false" ht="14.25" hidden="false" customHeight="false" outlineLevel="0" collapsed="false">
      <c r="A113" s="219"/>
      <c r="C113" s="220"/>
      <c r="N113" s="221"/>
    </row>
    <row r="114" customFormat="false" ht="14.25" hidden="false" customHeight="false" outlineLevel="0" collapsed="false">
      <c r="A114" s="219"/>
      <c r="C114" s="222"/>
      <c r="N114" s="221"/>
    </row>
    <row r="115" customFormat="false" ht="14.25" hidden="false" customHeight="false" outlineLevel="0" collapsed="false">
      <c r="A115" s="219"/>
      <c r="C115" s="222"/>
      <c r="N115" s="221"/>
    </row>
    <row r="116" customFormat="false" ht="14.25" hidden="false" customHeight="false" outlineLevel="0" collapsed="false">
      <c r="A116" s="219"/>
      <c r="C116" s="222"/>
      <c r="N116" s="221"/>
    </row>
    <row r="117" customFormat="false" ht="14.25" hidden="false" customHeight="false" outlineLevel="0" collapsed="false">
      <c r="A117" s="219"/>
      <c r="C117" s="222"/>
      <c r="N117" s="221"/>
    </row>
    <row r="118" customFormat="false" ht="14.25" hidden="false" customHeight="false" outlineLevel="0" collapsed="false">
      <c r="A118" s="219"/>
      <c r="C118" s="222"/>
      <c r="N118" s="221"/>
    </row>
    <row r="119" customFormat="false" ht="15" hidden="false" customHeight="false" outlineLevel="0" collapsed="false">
      <c r="A119" s="219"/>
      <c r="C119" s="222"/>
      <c r="D119" s="223"/>
      <c r="F119" s="223"/>
      <c r="L119" s="223"/>
      <c r="N119" s="221"/>
    </row>
    <row r="120" customFormat="false" ht="14.25" hidden="false" customHeight="false" outlineLevel="0" collapsed="false">
      <c r="A120" s="219"/>
      <c r="C120" s="220"/>
      <c r="N120" s="221"/>
    </row>
    <row r="121" customFormat="false" ht="14.25" hidden="false" customHeight="false" outlineLevel="0" collapsed="false">
      <c r="A121" s="219"/>
      <c r="C121" s="222"/>
      <c r="N121" s="221"/>
    </row>
    <row r="122" customFormat="false" ht="14.25" hidden="false" customHeight="false" outlineLevel="0" collapsed="false">
      <c r="A122" s="219"/>
      <c r="C122" s="222"/>
      <c r="N122" s="221"/>
    </row>
    <row r="123" customFormat="false" ht="14.25" hidden="false" customHeight="false" outlineLevel="0" collapsed="false">
      <c r="A123" s="219"/>
      <c r="C123" s="222"/>
      <c r="N123" s="221"/>
    </row>
    <row r="124" customFormat="false" ht="14.25" hidden="false" customHeight="false" outlineLevel="0" collapsed="false">
      <c r="A124" s="219"/>
      <c r="C124" s="222"/>
      <c r="N124" s="221"/>
    </row>
    <row r="125" customFormat="false" ht="14.25" hidden="false" customHeight="false" outlineLevel="0" collapsed="false">
      <c r="A125" s="219"/>
      <c r="C125" s="222"/>
      <c r="N125" s="221"/>
    </row>
    <row r="126" customFormat="false" ht="14.25" hidden="false" customHeight="false" outlineLevel="0" collapsed="false">
      <c r="A126" s="219"/>
      <c r="C126" s="222"/>
      <c r="N126" s="221"/>
    </row>
    <row r="127" customFormat="false" ht="14.25" hidden="false" customHeight="false" outlineLevel="0" collapsed="false">
      <c r="A127" s="219"/>
      <c r="C127" s="222"/>
      <c r="N127" s="221"/>
    </row>
    <row r="128" customFormat="false" ht="14.25" hidden="false" customHeight="false" outlineLevel="0" collapsed="false">
      <c r="A128" s="219"/>
      <c r="C128" s="222"/>
      <c r="N128" s="221"/>
    </row>
    <row r="129" customFormat="false" ht="14.25" hidden="false" customHeight="false" outlineLevel="0" collapsed="false">
      <c r="A129" s="219"/>
      <c r="C129" s="222"/>
      <c r="N129" s="221"/>
    </row>
    <row r="130" customFormat="false" ht="14.25" hidden="false" customHeight="false" outlineLevel="0" collapsed="false">
      <c r="A130" s="219"/>
      <c r="C130" s="222"/>
      <c r="N130" s="221"/>
    </row>
    <row r="131" customFormat="false" ht="14.25" hidden="false" customHeight="false" outlineLevel="0" collapsed="false">
      <c r="A131" s="219"/>
      <c r="C131" s="222"/>
      <c r="N131" s="221"/>
    </row>
    <row r="132" customFormat="false" ht="14.25" hidden="false" customHeight="false" outlineLevel="0" collapsed="false">
      <c r="A132" s="219"/>
      <c r="C132" s="222"/>
      <c r="N132" s="221"/>
    </row>
    <row r="133" customFormat="false" ht="14.25" hidden="false" customHeight="false" outlineLevel="0" collapsed="false">
      <c r="A133" s="219"/>
      <c r="C133" s="222"/>
      <c r="N133" s="221"/>
    </row>
    <row r="134" customFormat="false" ht="14.25" hidden="false" customHeight="false" outlineLevel="0" collapsed="false">
      <c r="A134" s="219"/>
      <c r="C134" s="222"/>
      <c r="N134" s="221"/>
    </row>
    <row r="135" customFormat="false" ht="14.25" hidden="false" customHeight="false" outlineLevel="0" collapsed="false">
      <c r="A135" s="219"/>
      <c r="C135" s="222"/>
      <c r="N135" s="221"/>
    </row>
    <row r="136" customFormat="false" ht="14.25" hidden="false" customHeight="false" outlineLevel="0" collapsed="false">
      <c r="A136" s="219"/>
      <c r="C136" s="222"/>
      <c r="N136" s="221"/>
    </row>
    <row r="137" customFormat="false" ht="14.25" hidden="false" customHeight="false" outlineLevel="0" collapsed="false">
      <c r="A137" s="219"/>
      <c r="C137" s="222"/>
      <c r="N137" s="221"/>
    </row>
    <row r="138" customFormat="false" ht="14.25" hidden="false" customHeight="false" outlineLevel="0" collapsed="false">
      <c r="A138" s="219"/>
      <c r="C138" s="222"/>
      <c r="N138" s="221"/>
    </row>
    <row r="139" customFormat="false" ht="14.25" hidden="false" customHeight="false" outlineLevel="0" collapsed="false">
      <c r="A139" s="219"/>
      <c r="C139" s="222"/>
      <c r="N139" s="221"/>
    </row>
    <row r="140" customFormat="false" ht="14.25" hidden="false" customHeight="false" outlineLevel="0" collapsed="false">
      <c r="A140" s="219"/>
      <c r="C140" s="222"/>
      <c r="N140" s="221"/>
    </row>
    <row r="141" customFormat="false" ht="14.25" hidden="false" customHeight="false" outlineLevel="0" collapsed="false">
      <c r="A141" s="219"/>
      <c r="C141" s="222"/>
      <c r="N141" s="221"/>
    </row>
    <row r="142" customFormat="false" ht="14.25" hidden="false" customHeight="false" outlineLevel="0" collapsed="false">
      <c r="A142" s="219"/>
      <c r="C142" s="222"/>
      <c r="N142" s="221"/>
    </row>
    <row r="143" customFormat="false" ht="14.25" hidden="false" customHeight="false" outlineLevel="0" collapsed="false">
      <c r="A143" s="219"/>
      <c r="C143" s="222"/>
      <c r="N143" s="221"/>
    </row>
    <row r="144" customFormat="false" ht="14.25" hidden="false" customHeight="false" outlineLevel="0" collapsed="false">
      <c r="A144" s="219"/>
      <c r="C144" s="222"/>
      <c r="N144" s="221"/>
    </row>
    <row r="145" customFormat="false" ht="14.25" hidden="false" customHeight="false" outlineLevel="0" collapsed="false">
      <c r="A145" s="219"/>
      <c r="C145" s="222"/>
      <c r="N145" s="221"/>
    </row>
    <row r="146" customFormat="false" ht="14.25" hidden="false" customHeight="false" outlineLevel="0" collapsed="false">
      <c r="A146" s="219"/>
      <c r="C146" s="222"/>
      <c r="N146" s="221"/>
    </row>
    <row r="147" customFormat="false" ht="14.25" hidden="false" customHeight="false" outlineLevel="0" collapsed="false">
      <c r="A147" s="219"/>
      <c r="C147" s="220"/>
      <c r="N147" s="221"/>
    </row>
    <row r="148" customFormat="false" ht="14.25" hidden="false" customHeight="false" outlineLevel="0" collapsed="false">
      <c r="A148" s="219"/>
      <c r="C148" s="220"/>
      <c r="N148" s="221"/>
    </row>
    <row r="149" customFormat="false" ht="14.25" hidden="false" customHeight="false" outlineLevel="0" collapsed="false">
      <c r="A149" s="219"/>
      <c r="C149" s="220"/>
      <c r="N149" s="221"/>
    </row>
    <row r="150" customFormat="false" ht="14.25" hidden="false" customHeight="false" outlineLevel="0" collapsed="false">
      <c r="A150" s="219"/>
      <c r="C150" s="220"/>
      <c r="N150" s="221"/>
    </row>
    <row r="151" customFormat="false" ht="14.25" hidden="false" customHeight="false" outlineLevel="0" collapsed="false">
      <c r="A151" s="219"/>
      <c r="C151" s="220"/>
      <c r="N151" s="221"/>
    </row>
    <row r="152" customFormat="false" ht="14.25" hidden="false" customHeight="false" outlineLevel="0" collapsed="false">
      <c r="A152" s="219"/>
      <c r="C152" s="220"/>
      <c r="L152" s="225"/>
      <c r="N152" s="221"/>
    </row>
    <row r="153" customFormat="false" ht="14.25" hidden="false" customHeight="false" outlineLevel="0" collapsed="false">
      <c r="A153" s="219"/>
      <c r="C153" s="220"/>
      <c r="L153" s="225"/>
      <c r="N153" s="221"/>
    </row>
    <row r="154" customFormat="false" ht="14.25" hidden="false" customHeight="false" outlineLevel="0" collapsed="false">
      <c r="A154" s="219"/>
      <c r="C154" s="220"/>
      <c r="L154" s="225"/>
      <c r="N154" s="221"/>
    </row>
    <row r="155" customFormat="false" ht="14.25" hidden="false" customHeight="false" outlineLevel="0" collapsed="false">
      <c r="A155" s="219"/>
      <c r="C155" s="220"/>
      <c r="L155" s="225"/>
      <c r="N155" s="221"/>
    </row>
    <row r="156" customFormat="false" ht="14.25" hidden="false" customHeight="false" outlineLevel="0" collapsed="false">
      <c r="A156" s="219"/>
      <c r="C156" s="220"/>
      <c r="L156" s="225"/>
      <c r="N156" s="221"/>
    </row>
    <row r="157" customFormat="false" ht="14.25" hidden="false" customHeight="false" outlineLevel="0" collapsed="false">
      <c r="A157" s="219"/>
      <c r="C157" s="220"/>
      <c r="L157" s="225"/>
      <c r="N157" s="221"/>
    </row>
    <row r="158" customFormat="false" ht="14.25" hidden="false" customHeight="false" outlineLevel="0" collapsed="false">
      <c r="A158" s="219"/>
      <c r="C158" s="220"/>
      <c r="L158" s="225"/>
      <c r="N158" s="221"/>
    </row>
    <row r="159" customFormat="false" ht="14.25" hidden="false" customHeight="false" outlineLevel="0" collapsed="false">
      <c r="A159" s="219"/>
      <c r="C159" s="220"/>
      <c r="L159" s="225"/>
      <c r="N159" s="221"/>
    </row>
    <row r="160" customFormat="false" ht="14.25" hidden="false" customHeight="false" outlineLevel="0" collapsed="false">
      <c r="A160" s="219"/>
      <c r="C160" s="220"/>
      <c r="N160" s="221"/>
    </row>
    <row r="161" customFormat="false" ht="14.25" hidden="false" customHeight="false" outlineLevel="0" collapsed="false">
      <c r="A161" s="219"/>
      <c r="C161" s="220"/>
      <c r="N161" s="221"/>
    </row>
    <row r="162" customFormat="false" ht="14.25" hidden="false" customHeight="false" outlineLevel="0" collapsed="false">
      <c r="A162" s="219"/>
      <c r="C162" s="220"/>
      <c r="N162" s="221"/>
    </row>
    <row r="163" customFormat="false" ht="14.25" hidden="false" customHeight="false" outlineLevel="0" collapsed="false">
      <c r="A163" s="219"/>
      <c r="C163" s="222"/>
      <c r="N163" s="221"/>
    </row>
    <row r="164" customFormat="false" ht="14.25" hidden="false" customHeight="false" outlineLevel="0" collapsed="false">
      <c r="A164" s="219"/>
      <c r="C164" s="222"/>
      <c r="N164" s="221"/>
    </row>
    <row r="165" customFormat="false" ht="14.25" hidden="false" customHeight="false" outlineLevel="0" collapsed="false">
      <c r="A165" s="219"/>
      <c r="C165" s="222"/>
      <c r="N165" s="221"/>
    </row>
    <row r="166" customFormat="false" ht="14.25" hidden="false" customHeight="false" outlineLevel="0" collapsed="false">
      <c r="A166" s="219"/>
      <c r="C166" s="222"/>
      <c r="N166" s="221"/>
    </row>
    <row r="167" customFormat="false" ht="14.25" hidden="false" customHeight="false" outlineLevel="0" collapsed="false">
      <c r="A167" s="219"/>
      <c r="C167" s="222"/>
      <c r="N167" s="221"/>
    </row>
    <row r="168" customFormat="false" ht="14.25" hidden="false" customHeight="false" outlineLevel="0" collapsed="false">
      <c r="A168" s="219"/>
      <c r="C168" s="222"/>
      <c r="N168" s="221"/>
    </row>
    <row r="169" customFormat="false" ht="14.25" hidden="false" customHeight="false" outlineLevel="0" collapsed="false">
      <c r="A169" s="219"/>
      <c r="C169" s="222"/>
      <c r="N169" s="221"/>
    </row>
    <row r="170" customFormat="false" ht="14.25" hidden="false" customHeight="false" outlineLevel="0" collapsed="false">
      <c r="A170" s="219"/>
      <c r="C170" s="220"/>
      <c r="N170" s="221"/>
    </row>
    <row r="171" customFormat="false" ht="14.25" hidden="false" customHeight="false" outlineLevel="0" collapsed="false">
      <c r="A171" s="219"/>
      <c r="C171" s="220"/>
      <c r="N171" s="221"/>
    </row>
    <row r="172" customFormat="false" ht="14.25" hidden="false" customHeight="false" outlineLevel="0" collapsed="false">
      <c r="A172" s="219"/>
      <c r="C172" s="222"/>
      <c r="N172" s="221"/>
    </row>
    <row r="173" customFormat="false" ht="14.25" hidden="false" customHeight="false" outlineLevel="0" collapsed="false">
      <c r="A173" s="219"/>
      <c r="C173" s="222"/>
      <c r="N173" s="221"/>
    </row>
    <row r="174" customFormat="false" ht="14.25" hidden="false" customHeight="false" outlineLevel="0" collapsed="false">
      <c r="A174" s="219"/>
      <c r="C174" s="222"/>
      <c r="N174" s="221"/>
    </row>
    <row r="175" customFormat="false" ht="14.25" hidden="false" customHeight="false" outlineLevel="0" collapsed="false">
      <c r="A175" s="219"/>
      <c r="C175" s="222"/>
      <c r="N175" s="221"/>
    </row>
    <row r="176" customFormat="false" ht="14.25" hidden="false" customHeight="false" outlineLevel="0" collapsed="false">
      <c r="A176" s="219"/>
      <c r="C176" s="222"/>
      <c r="N176" s="221"/>
    </row>
    <row r="177" customFormat="false" ht="14.25" hidden="false" customHeight="false" outlineLevel="0" collapsed="false">
      <c r="A177" s="219"/>
      <c r="C177" s="222"/>
      <c r="N177" s="221"/>
    </row>
    <row r="178" customFormat="false" ht="14.25" hidden="false" customHeight="false" outlineLevel="0" collapsed="false">
      <c r="A178" s="219"/>
      <c r="C178" s="222"/>
      <c r="N178" s="221"/>
    </row>
    <row r="179" customFormat="false" ht="14.25" hidden="false" customHeight="false" outlineLevel="0" collapsed="false">
      <c r="A179" s="219"/>
      <c r="C179" s="222"/>
      <c r="N179" s="221"/>
    </row>
    <row r="180" customFormat="false" ht="14.25" hidden="false" customHeight="false" outlineLevel="0" collapsed="false">
      <c r="A180" s="219"/>
      <c r="C180" s="222"/>
      <c r="N180" s="221"/>
    </row>
    <row r="181" customFormat="false" ht="14.25" hidden="false" customHeight="false" outlineLevel="0" collapsed="false">
      <c r="A181" s="219"/>
      <c r="C181" s="222"/>
      <c r="N181" s="221"/>
    </row>
    <row r="182" customFormat="false" ht="14.25" hidden="false" customHeight="false" outlineLevel="0" collapsed="false">
      <c r="A182" s="219"/>
      <c r="C182" s="222"/>
      <c r="N182" s="221"/>
    </row>
    <row r="183" customFormat="false" ht="14.25" hidden="false" customHeight="false" outlineLevel="0" collapsed="false">
      <c r="A183" s="219"/>
      <c r="C183" s="222"/>
      <c r="N183" s="221"/>
    </row>
    <row r="184" customFormat="false" ht="14.25" hidden="false" customHeight="false" outlineLevel="0" collapsed="false">
      <c r="A184" s="219"/>
      <c r="C184" s="222"/>
      <c r="N184" s="221"/>
    </row>
    <row r="185" customFormat="false" ht="14.25" hidden="false" customHeight="false" outlineLevel="0" collapsed="false">
      <c r="A185" s="219"/>
      <c r="C185" s="222"/>
      <c r="N185" s="221"/>
    </row>
    <row r="186" customFormat="false" ht="14.25" hidden="false" customHeight="false" outlineLevel="0" collapsed="false">
      <c r="A186" s="219"/>
      <c r="C186" s="222"/>
      <c r="N186" s="221"/>
    </row>
    <row r="187" customFormat="false" ht="14.25" hidden="false" customHeight="false" outlineLevel="0" collapsed="false">
      <c r="A187" s="219"/>
      <c r="C187" s="222"/>
      <c r="N187" s="221"/>
    </row>
    <row r="188" customFormat="false" ht="14.25" hidden="false" customHeight="false" outlineLevel="0" collapsed="false">
      <c r="A188" s="219"/>
      <c r="C188" s="222"/>
      <c r="N188" s="221"/>
    </row>
    <row r="189" customFormat="false" ht="14.25" hidden="false" customHeight="false" outlineLevel="0" collapsed="false">
      <c r="A189" s="219"/>
      <c r="C189" s="222"/>
      <c r="N189" s="221"/>
    </row>
    <row r="190" customFormat="false" ht="14.25" hidden="false" customHeight="false" outlineLevel="0" collapsed="false">
      <c r="A190" s="219"/>
      <c r="C190" s="222"/>
      <c r="N190" s="221"/>
    </row>
    <row r="191" customFormat="false" ht="14.25" hidden="false" customHeight="false" outlineLevel="0" collapsed="false">
      <c r="A191" s="219"/>
      <c r="C191" s="222"/>
      <c r="N191" s="221"/>
    </row>
    <row r="192" customFormat="false" ht="14.25" hidden="false" customHeight="false" outlineLevel="0" collapsed="false">
      <c r="A192" s="219"/>
      <c r="C192" s="222"/>
      <c r="N192" s="221"/>
    </row>
    <row r="193" customFormat="false" ht="14.25" hidden="false" customHeight="false" outlineLevel="0" collapsed="false">
      <c r="A193" s="219"/>
      <c r="C193" s="222"/>
      <c r="N193" s="221"/>
    </row>
    <row r="194" customFormat="false" ht="14.25" hidden="false" customHeight="false" outlineLevel="0" collapsed="false">
      <c r="A194" s="219"/>
      <c r="C194" s="222"/>
      <c r="N194" s="221"/>
    </row>
    <row r="195" customFormat="false" ht="14.25" hidden="false" customHeight="false" outlineLevel="0" collapsed="false">
      <c r="A195" s="219"/>
      <c r="C195" s="222"/>
      <c r="N195" s="221"/>
    </row>
    <row r="196" customFormat="false" ht="14.25" hidden="false" customHeight="false" outlineLevel="0" collapsed="false">
      <c r="A196" s="219"/>
      <c r="C196" s="222"/>
      <c r="N196" s="221"/>
    </row>
    <row r="197" customFormat="false" ht="14.25" hidden="false" customHeight="false" outlineLevel="0" collapsed="false">
      <c r="A197" s="219"/>
      <c r="C197" s="222"/>
      <c r="N197" s="221"/>
    </row>
    <row r="198" customFormat="false" ht="14.25" hidden="false" customHeight="false" outlineLevel="0" collapsed="false">
      <c r="A198" s="219"/>
      <c r="C198" s="222"/>
      <c r="N198" s="221"/>
    </row>
    <row r="199" customFormat="false" ht="14.25" hidden="false" customHeight="false" outlineLevel="0" collapsed="false">
      <c r="A199" s="219"/>
      <c r="C199" s="222"/>
      <c r="N199" s="221"/>
    </row>
    <row r="200" customFormat="false" ht="14.25" hidden="false" customHeight="false" outlineLevel="0" collapsed="false">
      <c r="A200" s="219"/>
      <c r="C200" s="222"/>
      <c r="N200" s="221"/>
    </row>
    <row r="201" customFormat="false" ht="14.25" hidden="false" customHeight="false" outlineLevel="0" collapsed="false">
      <c r="A201" s="219"/>
      <c r="C201" s="222"/>
      <c r="N201" s="221"/>
    </row>
    <row r="202" customFormat="false" ht="14.25" hidden="false" customHeight="false" outlineLevel="0" collapsed="false">
      <c r="A202" s="219"/>
      <c r="C202" s="222"/>
      <c r="N202" s="221"/>
    </row>
    <row r="203" customFormat="false" ht="14.25" hidden="false" customHeight="false" outlineLevel="0" collapsed="false">
      <c r="A203" s="219"/>
      <c r="C203" s="222"/>
      <c r="N203" s="221"/>
    </row>
    <row r="204" customFormat="false" ht="14.25" hidden="false" customHeight="false" outlineLevel="0" collapsed="false">
      <c r="A204" s="219"/>
      <c r="C204" s="222"/>
      <c r="N204" s="221"/>
    </row>
    <row r="205" customFormat="false" ht="14.25" hidden="false" customHeight="false" outlineLevel="0" collapsed="false">
      <c r="A205" s="219"/>
      <c r="C205" s="222"/>
      <c r="N205" s="221"/>
    </row>
    <row r="206" customFormat="false" ht="14.25" hidden="false" customHeight="false" outlineLevel="0" collapsed="false">
      <c r="A206" s="219"/>
      <c r="C206" s="222"/>
      <c r="N206" s="221"/>
    </row>
    <row r="207" customFormat="false" ht="14.25" hidden="false" customHeight="false" outlineLevel="0" collapsed="false">
      <c r="A207" s="219"/>
      <c r="C207" s="222"/>
      <c r="N207" s="221"/>
    </row>
    <row r="208" customFormat="false" ht="14.25" hidden="false" customHeight="false" outlineLevel="0" collapsed="false">
      <c r="A208" s="219"/>
      <c r="C208" s="222"/>
      <c r="N208" s="221"/>
    </row>
    <row r="209" customFormat="false" ht="14.25" hidden="false" customHeight="false" outlineLevel="0" collapsed="false">
      <c r="A209" s="219"/>
      <c r="C209" s="220"/>
      <c r="N209" s="221"/>
    </row>
    <row r="210" customFormat="false" ht="14.25" hidden="false" customHeight="false" outlineLevel="0" collapsed="false">
      <c r="A210" s="219"/>
      <c r="C210" s="220"/>
      <c r="N210" s="221"/>
    </row>
    <row r="211" customFormat="false" ht="14.25" hidden="false" customHeight="false" outlineLevel="0" collapsed="false">
      <c r="A211" s="219"/>
      <c r="C211" s="220"/>
      <c r="N211" s="221"/>
    </row>
    <row r="212" customFormat="false" ht="14.25" hidden="false" customHeight="false" outlineLevel="0" collapsed="false">
      <c r="A212" s="219"/>
      <c r="C212" s="220"/>
      <c r="N212" s="221"/>
    </row>
    <row r="213" customFormat="false" ht="14.25" hidden="false" customHeight="false" outlineLevel="0" collapsed="false">
      <c r="A213" s="219"/>
      <c r="C213" s="220"/>
      <c r="L213" s="225"/>
      <c r="N213" s="221"/>
    </row>
    <row r="214" customFormat="false" ht="14.25" hidden="false" customHeight="false" outlineLevel="0" collapsed="false">
      <c r="A214" s="219"/>
      <c r="C214" s="220"/>
      <c r="L214" s="225"/>
      <c r="N214" s="221"/>
    </row>
    <row r="215" customFormat="false" ht="14.25" hidden="false" customHeight="false" outlineLevel="0" collapsed="false">
      <c r="A215" s="219"/>
      <c r="C215" s="220"/>
      <c r="N215" s="221"/>
    </row>
    <row r="216" customFormat="false" ht="14.25" hidden="false" customHeight="false" outlineLevel="0" collapsed="false">
      <c r="A216" s="219"/>
      <c r="C216" s="222"/>
      <c r="N216" s="221"/>
    </row>
    <row r="217" customFormat="false" ht="14.25" hidden="false" customHeight="false" outlineLevel="0" collapsed="false">
      <c r="A217" s="219"/>
      <c r="C217" s="222"/>
      <c r="N217" s="221"/>
    </row>
    <row r="218" customFormat="false" ht="14.25" hidden="false" customHeight="false" outlineLevel="0" collapsed="false">
      <c r="A218" s="219"/>
      <c r="C218" s="222"/>
      <c r="N218" s="221"/>
    </row>
    <row r="219" customFormat="false" ht="14.25" hidden="false" customHeight="false" outlineLevel="0" collapsed="false">
      <c r="A219" s="219"/>
      <c r="C219" s="222"/>
      <c r="N219" s="221"/>
    </row>
    <row r="220" customFormat="false" ht="14.25" hidden="false" customHeight="false" outlineLevel="0" collapsed="false">
      <c r="A220" s="219"/>
      <c r="C220" s="222"/>
      <c r="N220" s="221"/>
    </row>
    <row r="221" customFormat="false" ht="14.25" hidden="false" customHeight="false" outlineLevel="0" collapsed="false">
      <c r="A221" s="219"/>
      <c r="C221" s="222"/>
      <c r="N221" s="221"/>
    </row>
    <row r="222" customFormat="false" ht="14.25" hidden="false" customHeight="false" outlineLevel="0" collapsed="false">
      <c r="A222" s="219"/>
      <c r="C222" s="222"/>
      <c r="N222" s="221"/>
    </row>
    <row r="223" customFormat="false" ht="14.25" hidden="false" customHeight="false" outlineLevel="0" collapsed="false">
      <c r="A223" s="219"/>
      <c r="C223" s="222"/>
      <c r="N223" s="221"/>
    </row>
    <row r="224" customFormat="false" ht="14.25" hidden="false" customHeight="false" outlineLevel="0" collapsed="false">
      <c r="A224" s="219"/>
      <c r="C224" s="222"/>
      <c r="N224" s="221"/>
    </row>
    <row r="225" customFormat="false" ht="14.25" hidden="false" customHeight="false" outlineLevel="0" collapsed="false">
      <c r="A225" s="219"/>
      <c r="C225" s="222"/>
      <c r="N225" s="221"/>
    </row>
    <row r="226" customFormat="false" ht="14.25" hidden="false" customHeight="false" outlineLevel="0" collapsed="false">
      <c r="A226" s="219"/>
      <c r="C226" s="222"/>
      <c r="N226" s="221"/>
    </row>
    <row r="227" customFormat="false" ht="14.25" hidden="false" customHeight="false" outlineLevel="0" collapsed="false">
      <c r="A227" s="219"/>
      <c r="C227" s="222"/>
      <c r="N227" s="221"/>
    </row>
    <row r="228" customFormat="false" ht="14.25" hidden="false" customHeight="false" outlineLevel="0" collapsed="false">
      <c r="A228" s="219"/>
      <c r="C228" s="222"/>
      <c r="N228" s="221"/>
    </row>
    <row r="229" customFormat="false" ht="14.25" hidden="false" customHeight="false" outlineLevel="0" collapsed="false">
      <c r="A229" s="219"/>
      <c r="C229" s="222"/>
      <c r="N229" s="221"/>
    </row>
    <row r="230" customFormat="false" ht="14.25" hidden="false" customHeight="false" outlineLevel="0" collapsed="false">
      <c r="A230" s="219"/>
      <c r="C230" s="222"/>
      <c r="N230" s="221"/>
    </row>
    <row r="231" customFormat="false" ht="14.25" hidden="false" customHeight="false" outlineLevel="0" collapsed="false">
      <c r="A231" s="219"/>
      <c r="C231" s="222"/>
      <c r="N231" s="221"/>
    </row>
    <row r="232" customFormat="false" ht="14.25" hidden="false" customHeight="false" outlineLevel="0" collapsed="false">
      <c r="A232" s="219"/>
      <c r="C232" s="222"/>
      <c r="N232" s="221"/>
    </row>
    <row r="233" customFormat="false" ht="14.25" hidden="false" customHeight="false" outlineLevel="0" collapsed="false">
      <c r="A233" s="219"/>
      <c r="C233" s="222"/>
      <c r="N233" s="221"/>
    </row>
    <row r="234" customFormat="false" ht="14.25" hidden="false" customHeight="false" outlineLevel="0" collapsed="false">
      <c r="A234" s="219"/>
      <c r="C234" s="222"/>
      <c r="N234" s="221"/>
    </row>
    <row r="235" customFormat="false" ht="14.25" hidden="false" customHeight="false" outlineLevel="0" collapsed="false">
      <c r="A235" s="219"/>
      <c r="C235" s="220"/>
      <c r="N235" s="221"/>
    </row>
    <row r="236" customFormat="false" ht="14.25" hidden="false" customHeight="false" outlineLevel="0" collapsed="false">
      <c r="A236" s="219"/>
      <c r="C236" s="220"/>
      <c r="N236" s="221"/>
    </row>
    <row r="237" customFormat="false" ht="14.25" hidden="false" customHeight="false" outlineLevel="0" collapsed="false">
      <c r="A237" s="219"/>
      <c r="C237" s="220"/>
      <c r="N237" s="221"/>
    </row>
    <row r="238" customFormat="false" ht="14.25" hidden="false" customHeight="false" outlineLevel="0" collapsed="false">
      <c r="A238" s="219"/>
      <c r="C238" s="220"/>
      <c r="N238" s="221"/>
    </row>
    <row r="239" customFormat="false" ht="14.25" hidden="false" customHeight="false" outlineLevel="0" collapsed="false">
      <c r="A239" s="219"/>
      <c r="C239" s="220"/>
      <c r="N239" s="221"/>
    </row>
    <row r="240" customFormat="false" ht="14.25" hidden="false" customHeight="false" outlineLevel="0" collapsed="false">
      <c r="A240" s="219"/>
      <c r="C240" s="220"/>
      <c r="N240" s="221"/>
    </row>
    <row r="241" customFormat="false" ht="14.25" hidden="false" customHeight="false" outlineLevel="0" collapsed="false">
      <c r="A241" s="219"/>
      <c r="C241" s="220"/>
      <c r="L241" s="225"/>
      <c r="N241" s="221"/>
    </row>
    <row r="242" customFormat="false" ht="14.25" hidden="false" customHeight="false" outlineLevel="0" collapsed="false">
      <c r="A242" s="219"/>
      <c r="C242" s="220"/>
      <c r="L242" s="225"/>
      <c r="N242" s="221"/>
    </row>
    <row r="243" customFormat="false" ht="14.25" hidden="false" customHeight="false" outlineLevel="0" collapsed="false">
      <c r="A243" s="219"/>
      <c r="C243" s="220"/>
      <c r="L243" s="225"/>
      <c r="N243" s="221"/>
    </row>
    <row r="244" customFormat="false" ht="14.25" hidden="false" customHeight="false" outlineLevel="0" collapsed="false">
      <c r="A244" s="219"/>
      <c r="C244" s="220"/>
      <c r="L244" s="225"/>
      <c r="N244" s="221"/>
    </row>
    <row r="245" customFormat="false" ht="14.25" hidden="false" customHeight="false" outlineLevel="0" collapsed="false">
      <c r="A245" s="219"/>
      <c r="C245" s="220"/>
      <c r="N245" s="221"/>
    </row>
    <row r="246" customFormat="false" ht="14.25" hidden="false" customHeight="false" outlineLevel="0" collapsed="false">
      <c r="A246" s="219"/>
      <c r="C246" s="220"/>
      <c r="N246" s="221"/>
    </row>
    <row r="247" customFormat="false" ht="14.25" hidden="false" customHeight="false" outlineLevel="0" collapsed="false">
      <c r="A247" s="219"/>
      <c r="C247" s="222"/>
      <c r="N247" s="221"/>
    </row>
    <row r="248" customFormat="false" ht="14.25" hidden="false" customHeight="false" outlineLevel="0" collapsed="false">
      <c r="A248" s="219"/>
      <c r="C248" s="222"/>
      <c r="N248" s="221"/>
    </row>
    <row r="249" customFormat="false" ht="14.25" hidden="false" customHeight="false" outlineLevel="0" collapsed="false">
      <c r="A249" s="219"/>
      <c r="C249" s="222"/>
      <c r="N249" s="221"/>
    </row>
    <row r="250" customFormat="false" ht="14.25" hidden="false" customHeight="false" outlineLevel="0" collapsed="false">
      <c r="A250" s="219"/>
      <c r="C250" s="222"/>
      <c r="N250" s="221"/>
    </row>
    <row r="251" customFormat="false" ht="14.25" hidden="false" customHeight="false" outlineLevel="0" collapsed="false">
      <c r="A251" s="219"/>
      <c r="C251" s="222"/>
      <c r="N251" s="221"/>
    </row>
    <row r="252" customFormat="false" ht="14.25" hidden="false" customHeight="false" outlineLevel="0" collapsed="false">
      <c r="A252" s="219"/>
      <c r="C252" s="222"/>
      <c r="N252" s="221"/>
    </row>
    <row r="253" customFormat="false" ht="14.25" hidden="false" customHeight="false" outlineLevel="0" collapsed="false">
      <c r="A253" s="219"/>
      <c r="C253" s="222"/>
      <c r="N253" s="221"/>
    </row>
    <row r="254" customFormat="false" ht="14.25" hidden="false" customHeight="false" outlineLevel="0" collapsed="false">
      <c r="A254" s="219"/>
      <c r="C254" s="222"/>
      <c r="N254" s="221"/>
    </row>
    <row r="255" customFormat="false" ht="14.25" hidden="false" customHeight="false" outlineLevel="0" collapsed="false">
      <c r="A255" s="219"/>
      <c r="C255" s="222"/>
      <c r="N255" s="221"/>
    </row>
    <row r="256" customFormat="false" ht="14.25" hidden="false" customHeight="false" outlineLevel="0" collapsed="false">
      <c r="A256" s="219"/>
      <c r="C256" s="222"/>
      <c r="N256" s="221"/>
    </row>
    <row r="257" customFormat="false" ht="14.25" hidden="false" customHeight="false" outlineLevel="0" collapsed="false">
      <c r="A257" s="219"/>
      <c r="C257" s="222"/>
      <c r="N257" s="221"/>
    </row>
    <row r="258" customFormat="false" ht="14.25" hidden="false" customHeight="false" outlineLevel="0" collapsed="false">
      <c r="A258" s="219"/>
      <c r="C258" s="222"/>
      <c r="N258" s="221"/>
    </row>
    <row r="259" customFormat="false" ht="14.25" hidden="false" customHeight="false" outlineLevel="0" collapsed="false">
      <c r="A259" s="219"/>
      <c r="C259" s="222"/>
      <c r="N259" s="221"/>
    </row>
    <row r="260" customFormat="false" ht="14.25" hidden="false" customHeight="false" outlineLevel="0" collapsed="false">
      <c r="A260" s="219"/>
      <c r="C260" s="222"/>
      <c r="N260" s="221"/>
    </row>
    <row r="261" customFormat="false" ht="14.25" hidden="false" customHeight="false" outlineLevel="0" collapsed="false">
      <c r="A261" s="219"/>
      <c r="C261" s="222"/>
      <c r="N261" s="221"/>
    </row>
    <row r="262" customFormat="false" ht="15" hidden="false" customHeight="false" outlineLevel="0" collapsed="false">
      <c r="A262" s="219"/>
      <c r="C262" s="222"/>
      <c r="D262" s="223"/>
      <c r="L262" s="223"/>
      <c r="N262" s="221"/>
    </row>
    <row r="263" customFormat="false" ht="14.25" hidden="false" customHeight="false" outlineLevel="0" collapsed="false">
      <c r="A263" s="219"/>
      <c r="C263" s="222"/>
      <c r="N263" s="221"/>
    </row>
    <row r="264" customFormat="false" ht="14.25" hidden="false" customHeight="false" outlineLevel="0" collapsed="false">
      <c r="A264" s="219"/>
      <c r="C264" s="222"/>
      <c r="N264" s="221"/>
    </row>
    <row r="265" customFormat="false" ht="14.25" hidden="false" customHeight="false" outlineLevel="0" collapsed="false">
      <c r="A265" s="219"/>
      <c r="C265" s="222"/>
      <c r="N265" s="221"/>
    </row>
    <row r="266" customFormat="false" ht="14.25" hidden="false" customHeight="false" outlineLevel="0" collapsed="false">
      <c r="A266" s="219"/>
      <c r="C266" s="220"/>
      <c r="N266" s="221"/>
    </row>
    <row r="267" customFormat="false" ht="14.25" hidden="false" customHeight="false" outlineLevel="0" collapsed="false">
      <c r="A267" s="219"/>
      <c r="C267" s="220"/>
      <c r="N267" s="221"/>
    </row>
    <row r="268" customFormat="false" ht="15" hidden="false" customHeight="false" outlineLevel="0" collapsed="false">
      <c r="A268" s="219"/>
      <c r="C268" s="222"/>
      <c r="D268" s="223"/>
      <c r="F268" s="223"/>
      <c r="L268" s="223"/>
      <c r="N268" s="221"/>
    </row>
    <row r="269" customFormat="false" ht="14.25" hidden="false" customHeight="false" outlineLevel="0" collapsed="false">
      <c r="A269" s="219"/>
      <c r="C269" s="220"/>
      <c r="M269" s="224"/>
      <c r="N269" s="221"/>
    </row>
    <row r="270" customFormat="false" ht="14.25" hidden="false" customHeight="false" outlineLevel="0" collapsed="false">
      <c r="A270" s="219"/>
      <c r="C270" s="222"/>
      <c r="N270" s="221"/>
    </row>
    <row r="271" customFormat="false" ht="14.25" hidden="false" customHeight="false" outlineLevel="0" collapsed="false">
      <c r="A271" s="219"/>
      <c r="C271" s="220"/>
      <c r="N271" s="221"/>
    </row>
    <row r="272" customFormat="false" ht="14.25" hidden="false" customHeight="false" outlineLevel="0" collapsed="false">
      <c r="A272" s="219"/>
      <c r="C272" s="220"/>
      <c r="N272" s="221"/>
    </row>
    <row r="273" customFormat="false" ht="14.25" hidden="false" customHeight="false" outlineLevel="0" collapsed="false">
      <c r="A273" s="219"/>
      <c r="C273" s="220"/>
      <c r="N273" s="221"/>
    </row>
    <row r="274" customFormat="false" ht="14.25" hidden="false" customHeight="false" outlineLevel="0" collapsed="false">
      <c r="A274" s="219"/>
      <c r="C274" s="220"/>
      <c r="N274" s="221"/>
    </row>
    <row r="275" customFormat="false" ht="14.25" hidden="false" customHeight="false" outlineLevel="0" collapsed="false">
      <c r="A275" s="219"/>
      <c r="C275" s="220"/>
      <c r="N275" s="221"/>
    </row>
    <row r="276" customFormat="false" ht="14.25" hidden="false" customHeight="false" outlineLevel="0" collapsed="false">
      <c r="A276" s="219"/>
      <c r="C276" s="220"/>
      <c r="N276" s="221"/>
    </row>
    <row r="277" customFormat="false" ht="14.25" hidden="false" customHeight="false" outlineLevel="0" collapsed="false">
      <c r="A277" s="219"/>
      <c r="C277" s="220"/>
      <c r="N277" s="221"/>
    </row>
    <row r="278" customFormat="false" ht="14.25" hidden="false" customHeight="false" outlineLevel="0" collapsed="false">
      <c r="A278" s="219"/>
      <c r="C278" s="220"/>
      <c r="N278" s="221"/>
    </row>
    <row r="279" customFormat="false" ht="14.25" hidden="false" customHeight="false" outlineLevel="0" collapsed="false">
      <c r="A279" s="219"/>
      <c r="C279" s="220"/>
      <c r="N279" s="221"/>
    </row>
    <row r="280" customFormat="false" ht="14.25" hidden="false" customHeight="false" outlineLevel="0" collapsed="false">
      <c r="A280" s="219"/>
      <c r="C280" s="220"/>
      <c r="N280" s="221"/>
    </row>
    <row r="281" customFormat="false" ht="14.25" hidden="false" customHeight="false" outlineLevel="0" collapsed="false">
      <c r="A281" s="219"/>
      <c r="C281" s="220"/>
      <c r="N281" s="221"/>
    </row>
    <row r="282" customFormat="false" ht="14.25" hidden="false" customHeight="false" outlineLevel="0" collapsed="false">
      <c r="A282" s="219"/>
      <c r="C282" s="220"/>
      <c r="L282" s="225"/>
      <c r="N282" s="221"/>
    </row>
    <row r="283" customFormat="false" ht="14.25" hidden="false" customHeight="false" outlineLevel="0" collapsed="false">
      <c r="A283" s="219"/>
      <c r="C283" s="220"/>
      <c r="L283" s="225"/>
      <c r="N283" s="221"/>
    </row>
    <row r="284" customFormat="false" ht="14.25" hidden="false" customHeight="false" outlineLevel="0" collapsed="false">
      <c r="A284" s="219"/>
      <c r="C284" s="220"/>
      <c r="L284" s="225"/>
      <c r="N284" s="221"/>
    </row>
    <row r="285" customFormat="false" ht="14.25" hidden="false" customHeight="false" outlineLevel="0" collapsed="false">
      <c r="A285" s="219"/>
      <c r="C285" s="220"/>
      <c r="L285" s="225"/>
      <c r="N285" s="221"/>
    </row>
    <row r="286" customFormat="false" ht="14.25" hidden="false" customHeight="false" outlineLevel="0" collapsed="false">
      <c r="A286" s="219"/>
      <c r="C286" s="220"/>
      <c r="L286" s="225"/>
      <c r="N286" s="221"/>
    </row>
    <row r="287" customFormat="false" ht="14.25" hidden="false" customHeight="false" outlineLevel="0" collapsed="false">
      <c r="A287" s="219"/>
      <c r="C287" s="220"/>
      <c r="N287" s="221"/>
    </row>
    <row r="288" customFormat="false" ht="14.25" hidden="false" customHeight="false" outlineLevel="0" collapsed="false">
      <c r="A288" s="219"/>
      <c r="C288" s="220"/>
      <c r="N288" s="221"/>
    </row>
    <row r="289" customFormat="false" ht="14.25" hidden="false" customHeight="false" outlineLevel="0" collapsed="false">
      <c r="A289" s="219"/>
      <c r="C289" s="222"/>
      <c r="N289" s="221"/>
    </row>
    <row r="290" customFormat="false" ht="14.25" hidden="false" customHeight="false" outlineLevel="0" collapsed="false">
      <c r="A290" s="219"/>
      <c r="C290" s="222"/>
      <c r="N290" s="221"/>
    </row>
    <row r="291" customFormat="false" ht="14.25" hidden="false" customHeight="false" outlineLevel="0" collapsed="false">
      <c r="A291" s="219"/>
      <c r="C291" s="222"/>
      <c r="N291" s="221"/>
    </row>
    <row r="292" customFormat="false" ht="14.25" hidden="false" customHeight="false" outlineLevel="0" collapsed="false">
      <c r="A292" s="219"/>
      <c r="C292" s="222"/>
      <c r="N292" s="221"/>
    </row>
    <row r="293" customFormat="false" ht="14.25" hidden="false" customHeight="false" outlineLevel="0" collapsed="false">
      <c r="A293" s="219"/>
      <c r="C293" s="222"/>
      <c r="N293" s="221"/>
    </row>
    <row r="294" customFormat="false" ht="14.25" hidden="false" customHeight="false" outlineLevel="0" collapsed="false">
      <c r="A294" s="219"/>
      <c r="C294" s="222"/>
      <c r="N294" s="221"/>
    </row>
    <row r="295" customFormat="false" ht="14.25" hidden="false" customHeight="false" outlineLevel="0" collapsed="false">
      <c r="A295" s="219"/>
      <c r="C295" s="222"/>
      <c r="N295" s="221"/>
    </row>
    <row r="296" customFormat="false" ht="14.25" hidden="false" customHeight="false" outlineLevel="0" collapsed="false">
      <c r="A296" s="219"/>
      <c r="C296" s="222"/>
      <c r="N296" s="221"/>
    </row>
    <row r="297" customFormat="false" ht="14.25" hidden="false" customHeight="false" outlineLevel="0" collapsed="false">
      <c r="A297" s="219"/>
      <c r="C297" s="222"/>
      <c r="N297" s="221"/>
    </row>
    <row r="298" customFormat="false" ht="14.25" hidden="false" customHeight="false" outlineLevel="0" collapsed="false">
      <c r="A298" s="219"/>
      <c r="C298" s="222"/>
      <c r="N298" s="221"/>
    </row>
    <row r="299" customFormat="false" ht="14.25" hidden="false" customHeight="false" outlineLevel="0" collapsed="false">
      <c r="A299" s="219"/>
      <c r="C299" s="222"/>
      <c r="N299" s="221"/>
    </row>
    <row r="300" customFormat="false" ht="14.25" hidden="false" customHeight="false" outlineLevel="0" collapsed="false">
      <c r="A300" s="219"/>
      <c r="C300" s="222"/>
      <c r="N300" s="221"/>
    </row>
    <row r="301" customFormat="false" ht="14.25" hidden="false" customHeight="false" outlineLevel="0" collapsed="false">
      <c r="A301" s="219"/>
      <c r="C301" s="222"/>
      <c r="N301" s="221"/>
    </row>
    <row r="302" customFormat="false" ht="14.25" hidden="false" customHeight="false" outlineLevel="0" collapsed="false">
      <c r="A302" s="219"/>
      <c r="C302" s="222"/>
      <c r="N302" s="221"/>
    </row>
    <row r="303" customFormat="false" ht="14.25" hidden="false" customHeight="false" outlineLevel="0" collapsed="false">
      <c r="A303" s="219"/>
      <c r="C303" s="222"/>
      <c r="N303" s="221"/>
    </row>
    <row r="304" customFormat="false" ht="14.25" hidden="false" customHeight="false" outlineLevel="0" collapsed="false">
      <c r="A304" s="219"/>
      <c r="C304" s="222"/>
      <c r="N304" s="221"/>
    </row>
    <row r="305" customFormat="false" ht="14.25" hidden="false" customHeight="false" outlineLevel="0" collapsed="false">
      <c r="A305" s="219"/>
      <c r="C305" s="222"/>
      <c r="N305" s="221"/>
    </row>
    <row r="306" customFormat="false" ht="14.25" hidden="false" customHeight="false" outlineLevel="0" collapsed="false">
      <c r="A306" s="219"/>
      <c r="C306" s="222"/>
      <c r="N306" s="221"/>
    </row>
    <row r="307" customFormat="false" ht="14.25" hidden="false" customHeight="false" outlineLevel="0" collapsed="false">
      <c r="A307" s="219"/>
      <c r="C307" s="222"/>
      <c r="N307" s="221"/>
    </row>
    <row r="308" customFormat="false" ht="14.25" hidden="false" customHeight="false" outlineLevel="0" collapsed="false">
      <c r="A308" s="219"/>
      <c r="C308" s="222"/>
      <c r="N308" s="221"/>
    </row>
    <row r="309" customFormat="false" ht="14.25" hidden="false" customHeight="false" outlineLevel="0" collapsed="false">
      <c r="A309" s="219"/>
      <c r="C309" s="222"/>
      <c r="N309" s="221"/>
    </row>
    <row r="310" customFormat="false" ht="14.25" hidden="false" customHeight="false" outlineLevel="0" collapsed="false">
      <c r="A310" s="219"/>
      <c r="C310" s="222"/>
      <c r="N310" s="221"/>
    </row>
    <row r="311" customFormat="false" ht="14.25" hidden="false" customHeight="false" outlineLevel="0" collapsed="false">
      <c r="A311" s="219"/>
      <c r="C311" s="222"/>
      <c r="N311" s="221"/>
    </row>
    <row r="312" customFormat="false" ht="14.25" hidden="false" customHeight="false" outlineLevel="0" collapsed="false">
      <c r="A312" s="219"/>
      <c r="C312" s="222"/>
      <c r="N312" s="221"/>
    </row>
    <row r="313" customFormat="false" ht="14.25" hidden="false" customHeight="false" outlineLevel="0" collapsed="false">
      <c r="A313" s="219"/>
      <c r="C313" s="222"/>
      <c r="N313" s="221"/>
    </row>
    <row r="314" customFormat="false" ht="14.25" hidden="false" customHeight="false" outlineLevel="0" collapsed="false">
      <c r="A314" s="219"/>
      <c r="C314" s="222"/>
      <c r="N314" s="221"/>
    </row>
    <row r="315" customFormat="false" ht="14.25" hidden="false" customHeight="false" outlineLevel="0" collapsed="false">
      <c r="A315" s="219"/>
      <c r="C315" s="222"/>
      <c r="N315" s="221"/>
    </row>
    <row r="316" customFormat="false" ht="14.25" hidden="false" customHeight="false" outlineLevel="0" collapsed="false">
      <c r="A316" s="219"/>
      <c r="C316" s="222"/>
      <c r="N316" s="221"/>
    </row>
    <row r="317" customFormat="false" ht="14.25" hidden="false" customHeight="false" outlineLevel="0" collapsed="false">
      <c r="A317" s="219"/>
      <c r="C317" s="222"/>
      <c r="N317" s="221"/>
    </row>
    <row r="318" customFormat="false" ht="14.25" hidden="false" customHeight="false" outlineLevel="0" collapsed="false">
      <c r="A318" s="219"/>
      <c r="N318" s="221"/>
    </row>
    <row r="319" customFormat="false" ht="14.25" hidden="false" customHeight="false" outlineLevel="0" collapsed="false">
      <c r="A319" s="219"/>
      <c r="N319" s="221"/>
    </row>
    <row r="320" customFormat="false" ht="14.25" hidden="false" customHeight="false" outlineLevel="0" collapsed="false">
      <c r="A320" s="219"/>
      <c r="N320" s="221"/>
    </row>
    <row r="321" customFormat="false" ht="14.25" hidden="false" customHeight="false" outlineLevel="0" collapsed="false">
      <c r="A321" s="219"/>
      <c r="L321" s="225"/>
      <c r="N321" s="221"/>
    </row>
    <row r="322" customFormat="false" ht="14.25" hidden="false" customHeight="false" outlineLevel="0" collapsed="false">
      <c r="A322" s="219"/>
      <c r="L322" s="225"/>
      <c r="N322" s="221"/>
    </row>
    <row r="323" customFormat="false" ht="14.25" hidden="false" customHeight="false" outlineLevel="0" collapsed="false">
      <c r="A323" s="219"/>
      <c r="L323" s="225"/>
      <c r="N323" s="221"/>
    </row>
    <row r="324" customFormat="false" ht="14.25" hidden="false" customHeight="false" outlineLevel="0" collapsed="false">
      <c r="A324" s="219"/>
      <c r="L324" s="225"/>
      <c r="N324" s="221"/>
    </row>
    <row r="325" customFormat="false" ht="14.25" hidden="false" customHeight="false" outlineLevel="0" collapsed="false">
      <c r="A325" s="219"/>
      <c r="L325" s="225"/>
      <c r="N325" s="221"/>
    </row>
    <row r="326" customFormat="false" ht="14.25" hidden="false" customHeight="false" outlineLevel="0" collapsed="false">
      <c r="A326" s="219"/>
      <c r="L326" s="225"/>
      <c r="N326" s="221"/>
    </row>
    <row r="327" customFormat="false" ht="14.25" hidden="false" customHeight="false" outlineLevel="0" collapsed="false">
      <c r="A327" s="219"/>
      <c r="L327" s="225"/>
      <c r="N327" s="221"/>
    </row>
    <row r="328" customFormat="false" ht="14.25" hidden="false" customHeight="false" outlineLevel="0" collapsed="false">
      <c r="A328" s="219"/>
      <c r="L328" s="225"/>
      <c r="N328" s="221"/>
    </row>
    <row r="329" customFormat="false" ht="14.25" hidden="false" customHeight="false" outlineLevel="0" collapsed="false">
      <c r="A329" s="219"/>
      <c r="L329" s="224"/>
      <c r="N329" s="221"/>
    </row>
    <row r="330" customFormat="false" ht="14.25" hidden="false" customHeight="false" outlineLevel="0" collapsed="false">
      <c r="A330" s="219"/>
      <c r="L330" s="224"/>
      <c r="N330" s="221"/>
    </row>
    <row r="331" customFormat="false" ht="14.25" hidden="false" customHeight="false" outlineLevel="0" collapsed="false">
      <c r="A331" s="219"/>
      <c r="N331" s="221"/>
    </row>
    <row r="332" customFormat="false" ht="14.25" hidden="false" customHeight="false" outlineLevel="0" collapsed="false">
      <c r="A332" s="219"/>
      <c r="L332" s="224"/>
      <c r="N332" s="221"/>
    </row>
    <row r="333" customFormat="false" ht="14.25" hidden="false" customHeight="false" outlineLevel="0" collapsed="false">
      <c r="A333" s="219"/>
      <c r="L333" s="224"/>
      <c r="N333" s="221"/>
    </row>
    <row r="334" customFormat="false" ht="14.25" hidden="false" customHeight="false" outlineLevel="0" collapsed="false">
      <c r="A334" s="219"/>
      <c r="L334" s="224"/>
      <c r="N334" s="221"/>
    </row>
    <row r="335" customFormat="false" ht="14.25" hidden="false" customHeight="false" outlineLevel="0" collapsed="false">
      <c r="A335" s="219"/>
      <c r="N335" s="221"/>
    </row>
    <row r="336" customFormat="false" ht="14.25" hidden="false" customHeight="false" outlineLevel="0" collapsed="false">
      <c r="A336" s="219"/>
      <c r="N336" s="221"/>
    </row>
    <row r="337" customFormat="false" ht="14.25" hidden="false" customHeight="false" outlineLevel="0" collapsed="false">
      <c r="A337" s="219"/>
      <c r="N337" s="221"/>
    </row>
    <row r="338" customFormat="false" ht="14.25" hidden="false" customHeight="false" outlineLevel="0" collapsed="false">
      <c r="A338" s="219"/>
      <c r="N338" s="221"/>
    </row>
    <row r="339" customFormat="false" ht="14.25" hidden="false" customHeight="false" outlineLevel="0" collapsed="false">
      <c r="A339" s="219"/>
      <c r="N339" s="221"/>
    </row>
    <row r="340" customFormat="false" ht="14.25" hidden="false" customHeight="false" outlineLevel="0" collapsed="false">
      <c r="A340" s="219"/>
      <c r="N340" s="221"/>
    </row>
    <row r="341" customFormat="false" ht="14.25" hidden="false" customHeight="false" outlineLevel="0" collapsed="false">
      <c r="A341" s="219"/>
      <c r="N341" s="221"/>
    </row>
    <row r="342" customFormat="false" ht="14.25" hidden="false" customHeight="false" outlineLevel="0" collapsed="false">
      <c r="A342" s="219"/>
      <c r="C342" s="222"/>
      <c r="N342" s="221"/>
    </row>
    <row r="343" customFormat="false" ht="14.25" hidden="false" customHeight="false" outlineLevel="0" collapsed="false">
      <c r="A343" s="219"/>
      <c r="C343" s="222"/>
      <c r="N343" s="221"/>
    </row>
    <row r="344" customFormat="false" ht="14.25" hidden="false" customHeight="false" outlineLevel="0" collapsed="false">
      <c r="A344" s="219"/>
      <c r="C344" s="222"/>
      <c r="N344" s="221"/>
    </row>
    <row r="345" customFormat="false" ht="14.25" hidden="false" customHeight="false" outlineLevel="0" collapsed="false">
      <c r="A345" s="219"/>
      <c r="C345" s="222"/>
      <c r="N345" s="221"/>
    </row>
    <row r="346" customFormat="false" ht="14.25" hidden="false" customHeight="false" outlineLevel="0" collapsed="false">
      <c r="A346" s="219"/>
      <c r="N346" s="221"/>
    </row>
    <row r="347" customFormat="false" ht="14.25" hidden="false" customHeight="false" outlineLevel="0" collapsed="false">
      <c r="A347" s="219"/>
      <c r="N347" s="221"/>
    </row>
    <row r="348" customFormat="false" ht="14.25" hidden="false" customHeight="false" outlineLevel="0" collapsed="false">
      <c r="A348" s="219"/>
      <c r="N348" s="221"/>
    </row>
    <row r="349" customFormat="false" ht="14.25" hidden="false" customHeight="false" outlineLevel="0" collapsed="false">
      <c r="A349" s="219"/>
      <c r="N349" s="221"/>
    </row>
    <row r="350" customFormat="false" ht="14.25" hidden="false" customHeight="false" outlineLevel="0" collapsed="false">
      <c r="A350" s="219"/>
      <c r="N350" s="221"/>
    </row>
    <row r="351" customFormat="false" ht="14.25" hidden="false" customHeight="false" outlineLevel="0" collapsed="false">
      <c r="A351" s="219"/>
      <c r="N351" s="221"/>
    </row>
    <row r="352" customFormat="false" ht="14.25" hidden="false" customHeight="false" outlineLevel="0" collapsed="false">
      <c r="A352" s="219"/>
      <c r="N352" s="221"/>
    </row>
    <row r="353" customFormat="false" ht="14.25" hidden="false" customHeight="false" outlineLevel="0" collapsed="false">
      <c r="A353" s="219"/>
      <c r="N353" s="221"/>
    </row>
    <row r="354" customFormat="false" ht="14.25" hidden="false" customHeight="false" outlineLevel="0" collapsed="false">
      <c r="A354" s="219"/>
      <c r="N354" s="221"/>
    </row>
    <row r="355" customFormat="false" ht="14.25" hidden="false" customHeight="false" outlineLevel="0" collapsed="false">
      <c r="A355" s="219"/>
      <c r="N355" s="221"/>
    </row>
    <row r="356" customFormat="false" ht="14.25" hidden="false" customHeight="false" outlineLevel="0" collapsed="false">
      <c r="A356" s="219"/>
      <c r="N356" s="221"/>
    </row>
    <row r="357" customFormat="false" ht="14.25" hidden="false" customHeight="false" outlineLevel="0" collapsed="false">
      <c r="A357" s="219"/>
      <c r="N357" s="221"/>
    </row>
    <row r="358" customFormat="false" ht="14.25" hidden="false" customHeight="false" outlineLevel="0" collapsed="false">
      <c r="A358" s="219"/>
      <c r="N358" s="221"/>
    </row>
    <row r="359" customFormat="false" ht="14.25" hidden="false" customHeight="false" outlineLevel="0" collapsed="false">
      <c r="A359" s="219"/>
      <c r="N359" s="221"/>
    </row>
    <row r="360" customFormat="false" ht="14.25" hidden="false" customHeight="false" outlineLevel="0" collapsed="false">
      <c r="A360" s="219"/>
      <c r="N360" s="221"/>
    </row>
    <row r="361" customFormat="false" ht="14.25" hidden="false" customHeight="false" outlineLevel="0" collapsed="false">
      <c r="A361" s="219"/>
      <c r="N361" s="221"/>
    </row>
    <row r="362" customFormat="false" ht="14.25" hidden="false" customHeight="false" outlineLevel="0" collapsed="false">
      <c r="A362" s="219"/>
      <c r="N362" s="221"/>
    </row>
    <row r="363" customFormat="false" ht="14.25" hidden="false" customHeight="false" outlineLevel="0" collapsed="false">
      <c r="A363" s="219"/>
      <c r="L363" s="225"/>
      <c r="N363" s="221"/>
    </row>
    <row r="364" customFormat="false" ht="14.25" hidden="false" customHeight="false" outlineLevel="0" collapsed="false">
      <c r="A364" s="219"/>
      <c r="L364" s="225"/>
      <c r="N364" s="221"/>
    </row>
    <row r="365" customFormat="false" ht="14.25" hidden="false" customHeight="false" outlineLevel="0" collapsed="false">
      <c r="A365" s="219"/>
      <c r="L365" s="225"/>
      <c r="N365" s="221"/>
    </row>
    <row r="366" customFormat="false" ht="14.25" hidden="false" customHeight="false" outlineLevel="0" collapsed="false">
      <c r="A366" s="219"/>
      <c r="L366" s="225"/>
      <c r="N366" s="221"/>
    </row>
    <row r="367" customFormat="false" ht="14.25" hidden="false" customHeight="false" outlineLevel="0" collapsed="false">
      <c r="A367" s="219"/>
      <c r="N367" s="221"/>
    </row>
    <row r="368" customFormat="false" ht="14.25" hidden="false" customHeight="false" outlineLevel="0" collapsed="false">
      <c r="A368" s="219"/>
      <c r="N368" s="221"/>
    </row>
    <row r="369" customFormat="false" ht="14.25" hidden="false" customHeight="false" outlineLevel="0" collapsed="false">
      <c r="A369" s="219"/>
      <c r="N369" s="221"/>
    </row>
    <row r="370" customFormat="false" ht="14.25" hidden="false" customHeight="false" outlineLevel="0" collapsed="false">
      <c r="A370" s="219"/>
      <c r="N370" s="221"/>
    </row>
    <row r="371" customFormat="false" ht="14.25" hidden="false" customHeight="false" outlineLevel="0" collapsed="false">
      <c r="A371" s="219"/>
      <c r="N371" s="221"/>
    </row>
    <row r="372" customFormat="false" ht="14.25" hidden="false" customHeight="false" outlineLevel="0" collapsed="false">
      <c r="A372" s="219"/>
      <c r="N372" s="221"/>
    </row>
    <row r="373" customFormat="false" ht="14.25" hidden="false" customHeight="false" outlineLevel="0" collapsed="false">
      <c r="A373" s="219"/>
      <c r="N373" s="221"/>
    </row>
    <row r="374" customFormat="false" ht="14.25" hidden="false" customHeight="false" outlineLevel="0" collapsed="false">
      <c r="A374" s="219"/>
      <c r="N374" s="221"/>
    </row>
    <row r="375" customFormat="false" ht="14.25" hidden="false" customHeight="false" outlineLevel="0" collapsed="false">
      <c r="A375" s="219"/>
      <c r="C375" s="222"/>
      <c r="N375" s="221"/>
    </row>
    <row r="376" customFormat="false" ht="14.25" hidden="false" customHeight="false" outlineLevel="0" collapsed="false">
      <c r="A376" s="219"/>
      <c r="C376" s="222"/>
      <c r="N376" s="221"/>
    </row>
    <row r="377" customFormat="false" ht="14.25" hidden="false" customHeight="false" outlineLevel="0" collapsed="false">
      <c r="A377" s="219"/>
      <c r="C377" s="222"/>
      <c r="N377" s="221"/>
    </row>
    <row r="378" customFormat="false" ht="14.25" hidden="false" customHeight="false" outlineLevel="0" collapsed="false">
      <c r="A378" s="219"/>
      <c r="C378" s="222"/>
      <c r="N378" s="221"/>
    </row>
    <row r="379" customFormat="false" ht="14.25" hidden="false" customHeight="false" outlineLevel="0" collapsed="false">
      <c r="A379" s="219"/>
      <c r="C379" s="222"/>
      <c r="N379" s="221"/>
    </row>
    <row r="380" customFormat="false" ht="14.25" hidden="false" customHeight="false" outlineLevel="0" collapsed="false">
      <c r="A380" s="219"/>
      <c r="C380" s="222"/>
      <c r="N380" s="221"/>
    </row>
    <row r="381" customFormat="false" ht="14.25" hidden="false" customHeight="false" outlineLevel="0" collapsed="false">
      <c r="A381" s="219"/>
      <c r="C381" s="222"/>
      <c r="N381" s="221"/>
    </row>
    <row r="382" customFormat="false" ht="14.25" hidden="false" customHeight="false" outlineLevel="0" collapsed="false">
      <c r="A382" s="219"/>
      <c r="C382" s="222"/>
      <c r="N382" s="221"/>
    </row>
    <row r="383" customFormat="false" ht="14.25" hidden="false" customHeight="false" outlineLevel="0" collapsed="false">
      <c r="A383" s="219"/>
      <c r="C383" s="222"/>
      <c r="N383" s="221"/>
    </row>
    <row r="384" customFormat="false" ht="14.25" hidden="false" customHeight="false" outlineLevel="0" collapsed="false">
      <c r="A384" s="219"/>
      <c r="C384" s="222"/>
      <c r="N384" s="221"/>
    </row>
    <row r="385" customFormat="false" ht="14.25" hidden="false" customHeight="false" outlineLevel="0" collapsed="false">
      <c r="A385" s="219"/>
      <c r="C385" s="222"/>
      <c r="N385" s="221"/>
    </row>
    <row r="386" customFormat="false" ht="15" hidden="false" customHeight="false" outlineLevel="0" collapsed="false">
      <c r="A386" s="219"/>
      <c r="C386" s="222"/>
      <c r="D386" s="223"/>
      <c r="F386" s="223"/>
      <c r="L386" s="223"/>
      <c r="N386" s="221"/>
    </row>
    <row r="387" customFormat="false" ht="14.25" hidden="false" customHeight="false" outlineLevel="0" collapsed="false">
      <c r="A387" s="219"/>
      <c r="C387" s="222"/>
      <c r="N387" s="221"/>
    </row>
    <row r="388" customFormat="false" ht="14.25" hidden="false" customHeight="false" outlineLevel="0" collapsed="false">
      <c r="A388" s="219"/>
      <c r="C388" s="222"/>
      <c r="N388" s="221"/>
    </row>
    <row r="389" customFormat="false" ht="14.25" hidden="false" customHeight="false" outlineLevel="0" collapsed="false">
      <c r="A389" s="219"/>
      <c r="C389" s="222"/>
      <c r="N389" s="221"/>
    </row>
    <row r="390" customFormat="false" ht="14.25" hidden="false" customHeight="false" outlineLevel="0" collapsed="false">
      <c r="A390" s="219"/>
      <c r="C390" s="222"/>
      <c r="N390" s="221"/>
    </row>
    <row r="391" customFormat="false" ht="14.25" hidden="false" customHeight="false" outlineLevel="0" collapsed="false">
      <c r="A391" s="219"/>
      <c r="C391" s="222"/>
      <c r="N391" s="221"/>
    </row>
    <row r="392" customFormat="false" ht="14.25" hidden="false" customHeight="false" outlineLevel="0" collapsed="false">
      <c r="A392" s="219"/>
      <c r="C392" s="222"/>
      <c r="N392" s="221"/>
    </row>
    <row r="393" customFormat="false" ht="14.25" hidden="false" customHeight="false" outlineLevel="0" collapsed="false">
      <c r="A393" s="219"/>
      <c r="C393" s="222"/>
      <c r="N393" s="221"/>
    </row>
    <row r="394" customFormat="false" ht="14.25" hidden="false" customHeight="false" outlineLevel="0" collapsed="false">
      <c r="A394" s="219"/>
      <c r="C394" s="222"/>
      <c r="N394" s="221"/>
    </row>
    <row r="395" customFormat="false" ht="14.25" hidden="false" customHeight="false" outlineLevel="0" collapsed="false">
      <c r="A395" s="219"/>
      <c r="C395" s="222"/>
      <c r="N395" s="221"/>
    </row>
    <row r="396" customFormat="false" ht="14.25" hidden="false" customHeight="false" outlineLevel="0" collapsed="false">
      <c r="A396" s="219"/>
      <c r="C396" s="222"/>
      <c r="N396" s="221"/>
    </row>
    <row r="397" customFormat="false" ht="14.25" hidden="false" customHeight="false" outlineLevel="0" collapsed="false">
      <c r="A397" s="219"/>
      <c r="C397" s="222"/>
      <c r="N397" s="221"/>
    </row>
    <row r="398" customFormat="false" ht="14.25" hidden="false" customHeight="false" outlineLevel="0" collapsed="false">
      <c r="A398" s="219"/>
      <c r="C398" s="222"/>
      <c r="N398" s="221"/>
    </row>
    <row r="399" customFormat="false" ht="14.25" hidden="false" customHeight="false" outlineLevel="0" collapsed="false">
      <c r="A399" s="219"/>
      <c r="L399" s="225"/>
      <c r="N399" s="221"/>
    </row>
    <row r="400" customFormat="false" ht="14.25" hidden="false" customHeight="false" outlineLevel="0" collapsed="false">
      <c r="A400" s="219"/>
      <c r="L400" s="225"/>
      <c r="N400" s="221"/>
    </row>
    <row r="401" customFormat="false" ht="14.25" hidden="false" customHeight="false" outlineLevel="0" collapsed="false">
      <c r="A401" s="219"/>
      <c r="L401" s="225"/>
      <c r="N401" s="221"/>
    </row>
    <row r="402" customFormat="false" ht="14.25" hidden="false" customHeight="false" outlineLevel="0" collapsed="false">
      <c r="A402" s="219"/>
      <c r="L402" s="225"/>
      <c r="N402" s="221"/>
    </row>
    <row r="403" customFormat="false" ht="14.25" hidden="false" customHeight="false" outlineLevel="0" collapsed="false">
      <c r="A403" s="219"/>
      <c r="L403" s="225"/>
      <c r="N403" s="221"/>
    </row>
    <row r="404" customFormat="false" ht="14.25" hidden="false" customHeight="false" outlineLevel="0" collapsed="false">
      <c r="A404" s="219"/>
      <c r="L404" s="225"/>
      <c r="N404" s="221"/>
    </row>
    <row r="405" customFormat="false" ht="14.25" hidden="false" customHeight="false" outlineLevel="0" collapsed="false">
      <c r="A405" s="219"/>
      <c r="L405" s="225"/>
      <c r="N405" s="221"/>
    </row>
    <row r="406" customFormat="false" ht="14.25" hidden="false" customHeight="false" outlineLevel="0" collapsed="false">
      <c r="A406" s="219"/>
      <c r="L406" s="225"/>
      <c r="N406" s="221"/>
    </row>
    <row r="407" customFormat="false" ht="14.25" hidden="false" customHeight="false" outlineLevel="0" collapsed="false">
      <c r="A407" s="219"/>
      <c r="L407" s="225"/>
      <c r="N407" s="221"/>
    </row>
    <row r="408" customFormat="false" ht="14.25" hidden="false" customHeight="false" outlineLevel="0" collapsed="false">
      <c r="A408" s="219"/>
      <c r="L408" s="225"/>
      <c r="N408" s="221"/>
    </row>
    <row r="409" customFormat="false" ht="14.25" hidden="false" customHeight="false" outlineLevel="0" collapsed="false">
      <c r="A409" s="219"/>
      <c r="N409" s="221"/>
    </row>
    <row r="410" customFormat="false" ht="14.25" hidden="false" customHeight="false" outlineLevel="0" collapsed="false">
      <c r="A410" s="219"/>
      <c r="N410" s="221"/>
    </row>
    <row r="411" customFormat="false" ht="14.25" hidden="false" customHeight="false" outlineLevel="0" collapsed="false">
      <c r="A411" s="219"/>
      <c r="N411" s="221"/>
    </row>
    <row r="412" customFormat="false" ht="14.25" hidden="false" customHeight="false" outlineLevel="0" collapsed="false">
      <c r="A412" s="219"/>
      <c r="N412" s="221"/>
    </row>
    <row r="413" customFormat="false" ht="14.25" hidden="false" customHeight="false" outlineLevel="0" collapsed="false">
      <c r="A413" s="219"/>
      <c r="N413" s="221"/>
    </row>
    <row r="414" customFormat="false" ht="14.25" hidden="false" customHeight="false" outlineLevel="0" collapsed="false">
      <c r="A414" s="219"/>
      <c r="L414" s="224"/>
      <c r="N414" s="221"/>
    </row>
    <row r="415" customFormat="false" ht="14.25" hidden="false" customHeight="false" outlineLevel="0" collapsed="false">
      <c r="A415" s="219"/>
      <c r="L415" s="224"/>
      <c r="N415" s="221"/>
    </row>
    <row r="416" customFormat="false" ht="14.25" hidden="false" customHeight="false" outlineLevel="0" collapsed="false">
      <c r="A416" s="219"/>
      <c r="L416" s="224"/>
      <c r="N416" s="221"/>
    </row>
    <row r="417" customFormat="false" ht="14.25" hidden="false" customHeight="false" outlineLevel="0" collapsed="false">
      <c r="A417" s="219"/>
      <c r="L417" s="224"/>
      <c r="N417" s="221"/>
    </row>
    <row r="418" customFormat="false" ht="14.25" hidden="false" customHeight="false" outlineLevel="0" collapsed="false">
      <c r="A418" s="219"/>
      <c r="L418" s="224"/>
      <c r="N418" s="221"/>
    </row>
    <row r="419" customFormat="false" ht="14.25" hidden="false" customHeight="false" outlineLevel="0" collapsed="false">
      <c r="A419" s="219"/>
      <c r="L419" s="224"/>
      <c r="N419" s="221"/>
    </row>
    <row r="420" customFormat="false" ht="14.25" hidden="false" customHeight="false" outlineLevel="0" collapsed="false">
      <c r="A420" s="219"/>
      <c r="L420" s="224"/>
      <c r="N420" s="221"/>
    </row>
    <row r="421" customFormat="false" ht="14.25" hidden="false" customHeight="false" outlineLevel="0" collapsed="false">
      <c r="A421" s="219"/>
      <c r="L421" s="224"/>
      <c r="N421" s="221"/>
    </row>
    <row r="422" customFormat="false" ht="14.25" hidden="false" customHeight="false" outlineLevel="0" collapsed="false">
      <c r="A422" s="219"/>
      <c r="N422" s="221"/>
    </row>
    <row r="423" customFormat="false" ht="14.25" hidden="false" customHeight="false" outlineLevel="0" collapsed="false">
      <c r="A423" s="219"/>
      <c r="C423" s="220"/>
      <c r="N423" s="221"/>
    </row>
    <row r="424" customFormat="false" ht="14.25" hidden="false" customHeight="false" outlineLevel="0" collapsed="false">
      <c r="A424" s="219"/>
      <c r="C424" s="222"/>
      <c r="N424" s="221"/>
    </row>
    <row r="425" customFormat="false" ht="14.25" hidden="false" customHeight="false" outlineLevel="0" collapsed="false">
      <c r="A425" s="219"/>
      <c r="C425" s="222"/>
      <c r="N425" s="221"/>
    </row>
    <row r="426" customFormat="false" ht="14.25" hidden="false" customHeight="false" outlineLevel="0" collapsed="false">
      <c r="A426" s="219"/>
      <c r="C426" s="222"/>
      <c r="N426" s="221"/>
    </row>
    <row r="427" customFormat="false" ht="14.25" hidden="false" customHeight="false" outlineLevel="0" collapsed="false">
      <c r="A427" s="219"/>
      <c r="C427" s="222"/>
      <c r="N427" s="221"/>
    </row>
    <row r="428" customFormat="false" ht="14.25" hidden="false" customHeight="false" outlineLevel="0" collapsed="false">
      <c r="A428" s="219"/>
      <c r="C428" s="222"/>
      <c r="N428" s="221"/>
    </row>
    <row r="429" customFormat="false" ht="14.25" hidden="false" customHeight="false" outlineLevel="0" collapsed="false">
      <c r="A429" s="219"/>
      <c r="C429" s="222"/>
      <c r="N429" s="221"/>
    </row>
    <row r="430" customFormat="false" ht="14.25" hidden="false" customHeight="false" outlineLevel="0" collapsed="false">
      <c r="A430" s="219"/>
      <c r="C430" s="222"/>
      <c r="N430" s="221"/>
    </row>
    <row r="431" customFormat="false" ht="14.25" hidden="false" customHeight="false" outlineLevel="0" collapsed="false">
      <c r="A431" s="219"/>
      <c r="C431" s="222"/>
      <c r="N431" s="221"/>
    </row>
    <row r="432" customFormat="false" ht="14.25" hidden="false" customHeight="false" outlineLevel="0" collapsed="false">
      <c r="A432" s="219"/>
      <c r="C432" s="222"/>
      <c r="N432" s="221"/>
    </row>
    <row r="433" customFormat="false" ht="14.25" hidden="false" customHeight="false" outlineLevel="0" collapsed="false">
      <c r="A433" s="219"/>
      <c r="C433" s="222"/>
      <c r="N433" s="221"/>
    </row>
    <row r="434" customFormat="false" ht="14.25" hidden="false" customHeight="false" outlineLevel="0" collapsed="false">
      <c r="A434" s="219"/>
      <c r="C434" s="222"/>
      <c r="N434" s="221"/>
    </row>
    <row r="435" customFormat="false" ht="14.25" hidden="false" customHeight="false" outlineLevel="0" collapsed="false">
      <c r="A435" s="219"/>
      <c r="C435" s="222"/>
      <c r="N435" s="221"/>
    </row>
    <row r="436" customFormat="false" ht="14.25" hidden="false" customHeight="false" outlineLevel="0" collapsed="false">
      <c r="A436" s="219"/>
      <c r="C436" s="220"/>
      <c r="N436" s="221"/>
    </row>
    <row r="437" customFormat="false" ht="14.25" hidden="false" customHeight="false" outlineLevel="0" collapsed="false">
      <c r="A437" s="219"/>
      <c r="C437" s="222"/>
      <c r="N437" s="221"/>
    </row>
    <row r="438" customFormat="false" ht="14.25" hidden="false" customHeight="false" outlineLevel="0" collapsed="false">
      <c r="A438" s="219"/>
      <c r="C438" s="222"/>
      <c r="N438" s="221"/>
    </row>
    <row r="439" customFormat="false" ht="14.25" hidden="false" customHeight="false" outlineLevel="0" collapsed="false">
      <c r="A439" s="219"/>
      <c r="C439" s="222"/>
      <c r="N439" s="221"/>
    </row>
    <row r="440" customFormat="false" ht="15" hidden="false" customHeight="false" outlineLevel="0" collapsed="false">
      <c r="A440" s="219"/>
      <c r="C440" s="222"/>
      <c r="D440" s="223"/>
      <c r="F440" s="223"/>
      <c r="L440" s="223"/>
      <c r="N440" s="221"/>
    </row>
    <row r="441" customFormat="false" ht="14.25" hidden="false" customHeight="false" outlineLevel="0" collapsed="false">
      <c r="A441" s="219"/>
      <c r="C441" s="220"/>
      <c r="N441" s="221"/>
    </row>
    <row r="442" customFormat="false" ht="15" hidden="false" customHeight="false" outlineLevel="0" collapsed="false">
      <c r="A442" s="219"/>
      <c r="C442" s="222"/>
      <c r="D442" s="223"/>
      <c r="L442" s="223"/>
      <c r="N442" s="221"/>
    </row>
    <row r="443" customFormat="false" ht="14.25" hidden="false" customHeight="false" outlineLevel="0" collapsed="false">
      <c r="A443" s="219"/>
      <c r="N443" s="221"/>
    </row>
    <row r="444" customFormat="false" ht="14.25" hidden="false" customHeight="false" outlineLevel="0" collapsed="false">
      <c r="A444" s="219"/>
      <c r="C444" s="222"/>
      <c r="N444" s="221"/>
    </row>
    <row r="445" customFormat="false" ht="14.25" hidden="false" customHeight="false" outlineLevel="0" collapsed="false">
      <c r="A445" s="219"/>
      <c r="C445" s="222"/>
      <c r="N445" s="221"/>
    </row>
    <row r="446" customFormat="false" ht="14.25" hidden="false" customHeight="false" outlineLevel="0" collapsed="false">
      <c r="A446" s="219"/>
      <c r="C446" s="222"/>
      <c r="N446" s="221"/>
    </row>
    <row r="447" customFormat="false" ht="14.25" hidden="false" customHeight="false" outlineLevel="0" collapsed="false">
      <c r="A447" s="219"/>
      <c r="N447" s="221"/>
    </row>
    <row r="448" customFormat="false" ht="14.25" hidden="false" customHeight="false" outlineLevel="0" collapsed="false">
      <c r="A448" s="219"/>
      <c r="L448" s="225"/>
      <c r="N448" s="221"/>
    </row>
    <row r="449" customFormat="false" ht="14.25" hidden="false" customHeight="false" outlineLevel="0" collapsed="false">
      <c r="A449" s="219"/>
      <c r="C449" s="222"/>
      <c r="N449" s="221"/>
    </row>
    <row r="450" customFormat="false" ht="15" hidden="false" customHeight="false" outlineLevel="0" collapsed="false">
      <c r="A450" s="219"/>
      <c r="C450" s="222"/>
      <c r="D450" s="223"/>
      <c r="L450" s="223"/>
      <c r="N450" s="221"/>
    </row>
    <row r="451" customFormat="false" ht="14.25" hidden="false" customHeight="false" outlineLevel="0" collapsed="false">
      <c r="A451" s="219"/>
      <c r="C451" s="222"/>
      <c r="N451" s="221"/>
    </row>
    <row r="452" customFormat="false" ht="14.25" hidden="false" customHeight="false" outlineLevel="0" collapsed="false">
      <c r="A452" s="219"/>
      <c r="C452" s="222"/>
      <c r="N452" s="221"/>
    </row>
    <row r="453" customFormat="false" ht="14.25" hidden="false" customHeight="false" outlineLevel="0" collapsed="false">
      <c r="A453" s="219"/>
      <c r="C453" s="222"/>
      <c r="N453" s="221"/>
    </row>
    <row r="454" customFormat="false" ht="14.25" hidden="false" customHeight="false" outlineLevel="0" collapsed="false">
      <c r="A454" s="219"/>
      <c r="C454" s="222"/>
      <c r="N454" s="221"/>
    </row>
    <row r="455" customFormat="false" ht="14.25" hidden="false" customHeight="false" outlineLevel="0" collapsed="false">
      <c r="A455" s="219"/>
      <c r="C455" s="222"/>
      <c r="N455" s="221"/>
    </row>
    <row r="456" customFormat="false" ht="14.25" hidden="false" customHeight="false" outlineLevel="0" collapsed="false">
      <c r="A456" s="219"/>
      <c r="C456" s="222"/>
      <c r="N456" s="221"/>
    </row>
    <row r="457" customFormat="false" ht="14.25" hidden="false" customHeight="false" outlineLevel="0" collapsed="false">
      <c r="A457" s="219"/>
      <c r="C457" s="222"/>
      <c r="N457" s="221"/>
    </row>
    <row r="458" customFormat="false" ht="14.25" hidden="false" customHeight="false" outlineLevel="0" collapsed="false">
      <c r="A458" s="219"/>
      <c r="C458" s="220"/>
      <c r="N458" s="221"/>
    </row>
    <row r="459" customFormat="false" ht="14.25" hidden="false" customHeight="false" outlineLevel="0" collapsed="false">
      <c r="A459" s="219"/>
      <c r="C459" s="222"/>
      <c r="N459" s="221"/>
    </row>
    <row r="460" customFormat="false" ht="14.25" hidden="false" customHeight="false" outlineLevel="0" collapsed="false">
      <c r="A460" s="219"/>
      <c r="C460" s="222"/>
      <c r="N460" s="221"/>
    </row>
    <row r="461" customFormat="false" ht="14.25" hidden="false" customHeight="false" outlineLevel="0" collapsed="false">
      <c r="A461" s="219"/>
      <c r="C461" s="222"/>
      <c r="N461" s="221"/>
    </row>
    <row r="462" customFormat="false" ht="14.25" hidden="false" customHeight="false" outlineLevel="0" collapsed="false">
      <c r="A462" s="219"/>
      <c r="C462" s="222"/>
      <c r="N462" s="221"/>
    </row>
    <row r="463" customFormat="false" ht="14.25" hidden="false" customHeight="false" outlineLevel="0" collapsed="false">
      <c r="A463" s="219"/>
      <c r="C463" s="222"/>
      <c r="N463" s="221"/>
    </row>
    <row r="464" customFormat="false" ht="14.25" hidden="false" customHeight="false" outlineLevel="0" collapsed="false">
      <c r="A464" s="219"/>
      <c r="C464" s="222"/>
      <c r="N464" s="221"/>
    </row>
    <row r="465" customFormat="false" ht="14.25" hidden="false" customHeight="false" outlineLevel="0" collapsed="false">
      <c r="A465" s="219"/>
      <c r="C465" s="222"/>
      <c r="N465" s="221"/>
    </row>
    <row r="466" customFormat="false" ht="14.25" hidden="false" customHeight="false" outlineLevel="0" collapsed="false">
      <c r="A466" s="219"/>
      <c r="C466" s="222"/>
      <c r="N466" s="221"/>
    </row>
    <row r="467" customFormat="false" ht="14.25" hidden="false" customHeight="false" outlineLevel="0" collapsed="false">
      <c r="A467" s="219"/>
      <c r="C467" s="220"/>
      <c r="N467" s="221"/>
    </row>
    <row r="468" customFormat="false" ht="14.25" hidden="false" customHeight="false" outlineLevel="0" collapsed="false">
      <c r="A468" s="219"/>
      <c r="C468" s="222"/>
      <c r="N468" s="221"/>
    </row>
    <row r="469" customFormat="false" ht="14.25" hidden="false" customHeight="false" outlineLevel="0" collapsed="false">
      <c r="A469" s="219"/>
      <c r="C469" s="222"/>
      <c r="N469" s="221"/>
    </row>
    <row r="470" customFormat="false" ht="14.25" hidden="false" customHeight="false" outlineLevel="0" collapsed="false">
      <c r="A470" s="219"/>
      <c r="C470" s="220"/>
      <c r="N470" s="221"/>
    </row>
    <row r="471" customFormat="false" ht="14.25" hidden="false" customHeight="false" outlineLevel="0" collapsed="false">
      <c r="A471" s="219"/>
      <c r="C471" s="220"/>
      <c r="N471" s="221"/>
    </row>
    <row r="472" customFormat="false" ht="14.25" hidden="false" customHeight="false" outlineLevel="0" collapsed="false">
      <c r="A472" s="219"/>
      <c r="C472" s="220"/>
      <c r="N472" s="221"/>
    </row>
    <row r="473" customFormat="false" ht="14.25" hidden="false" customHeight="false" outlineLevel="0" collapsed="false">
      <c r="A473" s="219"/>
      <c r="C473" s="220"/>
      <c r="N473" s="221"/>
    </row>
    <row r="474" customFormat="false" ht="14.25" hidden="false" customHeight="false" outlineLevel="0" collapsed="false">
      <c r="A474" s="219"/>
      <c r="C474" s="220"/>
      <c r="N474" s="221"/>
    </row>
    <row r="475" customFormat="false" ht="14.25" hidden="false" customHeight="false" outlineLevel="0" collapsed="false">
      <c r="A475" s="219"/>
      <c r="N475" s="221"/>
    </row>
    <row r="476" customFormat="false" ht="14.25" hidden="false" customHeight="false" outlineLevel="0" collapsed="false">
      <c r="A476" s="219"/>
      <c r="N476" s="221"/>
    </row>
    <row r="477" customFormat="false" ht="14.25" hidden="false" customHeight="false" outlineLevel="0" collapsed="false">
      <c r="A477" s="219"/>
      <c r="N477" s="221"/>
    </row>
    <row r="478" customFormat="false" ht="14.25" hidden="false" customHeight="false" outlineLevel="0" collapsed="false">
      <c r="A478" s="219"/>
      <c r="N478" s="221"/>
    </row>
    <row r="479" customFormat="false" ht="14.25" hidden="false" customHeight="false" outlineLevel="0" collapsed="false">
      <c r="A479" s="219"/>
      <c r="N479" s="221"/>
    </row>
    <row r="480" customFormat="false" ht="14.25" hidden="false" customHeight="false" outlineLevel="0" collapsed="false">
      <c r="A480" s="219"/>
      <c r="C480" s="220"/>
      <c r="N480" s="221"/>
    </row>
    <row r="481" customFormat="false" ht="14.25" hidden="false" customHeight="false" outlineLevel="0" collapsed="false">
      <c r="A481" s="219"/>
      <c r="C481" s="222"/>
      <c r="N481" s="221"/>
    </row>
    <row r="482" customFormat="false" ht="15" hidden="false" customHeight="false" outlineLevel="0" collapsed="false">
      <c r="A482" s="219"/>
      <c r="C482" s="222"/>
      <c r="D482" s="223"/>
      <c r="F482" s="223"/>
      <c r="L482" s="223"/>
      <c r="N482" s="221"/>
    </row>
    <row r="483" customFormat="false" ht="15" hidden="false" customHeight="false" outlineLevel="0" collapsed="false">
      <c r="A483" s="219"/>
      <c r="C483" s="222"/>
      <c r="D483" s="223"/>
      <c r="F483" s="223"/>
      <c r="L483" s="223"/>
      <c r="N483" s="221"/>
    </row>
    <row r="484" customFormat="false" ht="14.25" hidden="false" customHeight="false" outlineLevel="0" collapsed="false">
      <c r="A484" s="219"/>
      <c r="N484" s="221"/>
    </row>
    <row r="485" customFormat="false" ht="14.25" hidden="false" customHeight="false" outlineLevel="0" collapsed="false">
      <c r="A485" s="219"/>
      <c r="N485" s="221"/>
    </row>
    <row r="486" customFormat="false" ht="14.25" hidden="false" customHeight="false" outlineLevel="0" collapsed="false">
      <c r="A486" s="219"/>
      <c r="C486" s="222"/>
      <c r="N486" s="221"/>
    </row>
    <row r="487" customFormat="false" ht="14.25" hidden="false" customHeight="false" outlineLevel="0" collapsed="false">
      <c r="A487" s="219"/>
      <c r="C487" s="222"/>
      <c r="N487" s="221"/>
    </row>
    <row r="488" customFormat="false" ht="14.25" hidden="false" customHeight="false" outlineLevel="0" collapsed="false">
      <c r="A488" s="219"/>
      <c r="C488" s="222"/>
      <c r="N488" s="221"/>
    </row>
    <row r="489" customFormat="false" ht="14.25" hidden="false" customHeight="false" outlineLevel="0" collapsed="false">
      <c r="A489" s="219"/>
      <c r="C489" s="222"/>
      <c r="N489" s="221"/>
    </row>
    <row r="490" customFormat="false" ht="14.25" hidden="false" customHeight="false" outlineLevel="0" collapsed="false">
      <c r="A490" s="219"/>
      <c r="C490" s="222"/>
      <c r="N490" s="221"/>
    </row>
    <row r="491" customFormat="false" ht="14.25" hidden="false" customHeight="false" outlineLevel="0" collapsed="false">
      <c r="A491" s="219"/>
      <c r="C491" s="222"/>
      <c r="N491" s="221"/>
    </row>
    <row r="492" customFormat="false" ht="14.25" hidden="false" customHeight="false" outlineLevel="0" collapsed="false">
      <c r="A492" s="219"/>
      <c r="C492" s="222"/>
      <c r="N492" s="221"/>
    </row>
    <row r="493" customFormat="false" ht="14.25" hidden="false" customHeight="false" outlineLevel="0" collapsed="false">
      <c r="A493" s="219"/>
      <c r="C493" s="222"/>
      <c r="N493" s="221"/>
    </row>
    <row r="494" customFormat="false" ht="14.25" hidden="false" customHeight="false" outlineLevel="0" collapsed="false">
      <c r="A494" s="219"/>
      <c r="C494" s="222"/>
      <c r="N494" s="221"/>
    </row>
    <row r="495" customFormat="false" ht="14.25" hidden="false" customHeight="false" outlineLevel="0" collapsed="false">
      <c r="A495" s="219"/>
      <c r="C495" s="222"/>
      <c r="N495" s="221"/>
    </row>
    <row r="496" customFormat="false" ht="14.25" hidden="false" customHeight="false" outlineLevel="0" collapsed="false">
      <c r="A496" s="219"/>
      <c r="C496" s="222"/>
      <c r="N496" s="221"/>
    </row>
    <row r="497" customFormat="false" ht="14.25" hidden="false" customHeight="false" outlineLevel="0" collapsed="false">
      <c r="A497" s="219"/>
      <c r="C497" s="222"/>
      <c r="N497" s="221"/>
    </row>
    <row r="498" customFormat="false" ht="14.25" hidden="false" customHeight="false" outlineLevel="0" collapsed="false">
      <c r="A498" s="219"/>
      <c r="C498" s="222"/>
      <c r="N498" s="221"/>
    </row>
    <row r="499" customFormat="false" ht="14.25" hidden="false" customHeight="false" outlineLevel="0" collapsed="false">
      <c r="A499" s="219"/>
      <c r="C499" s="222"/>
      <c r="N499" s="221"/>
    </row>
    <row r="500" customFormat="false" ht="14.25" hidden="false" customHeight="false" outlineLevel="0" collapsed="false">
      <c r="A500" s="219"/>
      <c r="C500" s="222"/>
      <c r="N500" s="221"/>
    </row>
    <row r="501" customFormat="false" ht="0.75" hidden="false" customHeight="true" outlineLevel="0" collapsed="false">
      <c r="A501" s="219"/>
      <c r="C501" s="222"/>
      <c r="N501" s="221"/>
    </row>
    <row r="502" customFormat="false" ht="14.25" hidden="false" customHeight="false" outlineLevel="0" collapsed="false">
      <c r="A502" s="219"/>
      <c r="C502" s="222"/>
      <c r="N502" s="221"/>
    </row>
    <row r="503" customFormat="false" ht="14.25" hidden="false" customHeight="false" outlineLevel="0" collapsed="false">
      <c r="A503" s="219"/>
      <c r="C503" s="222"/>
      <c r="N503" s="221"/>
    </row>
    <row r="504" customFormat="false" ht="14.25" hidden="false" customHeight="false" outlineLevel="0" collapsed="false">
      <c r="A504" s="219"/>
      <c r="C504" s="222"/>
      <c r="N504" s="221"/>
    </row>
    <row r="505" customFormat="false" ht="14.25" hidden="false" customHeight="false" outlineLevel="0" collapsed="false">
      <c r="A505" s="219"/>
      <c r="C505" s="222"/>
      <c r="N505" s="221"/>
    </row>
    <row r="506" customFormat="false" ht="14.25" hidden="false" customHeight="false" outlineLevel="0" collapsed="false">
      <c r="A506" s="219"/>
      <c r="C506" s="222"/>
      <c r="N506" s="221"/>
    </row>
    <row r="507" customFormat="false" ht="14.25" hidden="false" customHeight="false" outlineLevel="0" collapsed="false">
      <c r="A507" s="219"/>
      <c r="C507" s="222"/>
      <c r="N507" s="221"/>
    </row>
    <row r="508" customFormat="false" ht="14.25" hidden="false" customHeight="false" outlineLevel="0" collapsed="false">
      <c r="A508" s="219"/>
      <c r="C508" s="222"/>
      <c r="N508" s="221"/>
    </row>
    <row r="509" customFormat="false" ht="14.25" hidden="false" customHeight="false" outlineLevel="0" collapsed="false">
      <c r="A509" s="219"/>
      <c r="C509" s="222"/>
      <c r="N509" s="221"/>
    </row>
    <row r="510" customFormat="false" ht="14.25" hidden="false" customHeight="false" outlineLevel="0" collapsed="false">
      <c r="A510" s="219"/>
      <c r="C510" s="222"/>
      <c r="N510" s="221"/>
    </row>
    <row r="511" customFormat="false" ht="14.25" hidden="false" customHeight="false" outlineLevel="0" collapsed="false">
      <c r="A511" s="219"/>
      <c r="C511" s="222"/>
      <c r="N511" s="221"/>
    </row>
    <row r="512" customFormat="false" ht="14.25" hidden="false" customHeight="false" outlineLevel="0" collapsed="false">
      <c r="A512" s="219"/>
      <c r="C512" s="222"/>
      <c r="N512" s="221"/>
    </row>
    <row r="513" customFormat="false" ht="14.25" hidden="false" customHeight="false" outlineLevel="0" collapsed="false">
      <c r="A513" s="219"/>
      <c r="C513" s="222"/>
      <c r="N513" s="221"/>
    </row>
    <row r="514" customFormat="false" ht="14.25" hidden="false" customHeight="false" outlineLevel="0" collapsed="false">
      <c r="A514" s="219"/>
      <c r="C514" s="222"/>
      <c r="N514" s="221"/>
    </row>
    <row r="515" customFormat="false" ht="14.25" hidden="false" customHeight="false" outlineLevel="0" collapsed="false">
      <c r="A515" s="219"/>
      <c r="C515" s="222"/>
      <c r="N515" s="221"/>
    </row>
    <row r="516" customFormat="false" ht="14.25" hidden="false" customHeight="false" outlineLevel="0" collapsed="false">
      <c r="A516" s="219"/>
      <c r="N516" s="221"/>
    </row>
    <row r="517" customFormat="false" ht="14.25" hidden="false" customHeight="false" outlineLevel="0" collapsed="false">
      <c r="A517" s="219"/>
      <c r="N517" s="221"/>
    </row>
    <row r="518" customFormat="false" ht="14.25" hidden="false" customHeight="false" outlineLevel="0" collapsed="false">
      <c r="A518" s="219"/>
      <c r="N518" s="221"/>
    </row>
    <row r="519" customFormat="false" ht="14.25" hidden="false" customHeight="false" outlineLevel="0" collapsed="false">
      <c r="A519" s="219"/>
      <c r="N519" s="221"/>
    </row>
    <row r="520" customFormat="false" ht="14.25" hidden="false" customHeight="false" outlineLevel="0" collapsed="false">
      <c r="A520" s="219"/>
      <c r="N520" s="221"/>
    </row>
    <row r="521" customFormat="false" ht="14.25" hidden="false" customHeight="false" outlineLevel="0" collapsed="false">
      <c r="A521" s="219"/>
      <c r="N521" s="221"/>
    </row>
    <row r="522" customFormat="false" ht="14.25" hidden="false" customHeight="false" outlineLevel="0" collapsed="false">
      <c r="A522" s="219"/>
      <c r="N522" s="221"/>
    </row>
    <row r="523" customFormat="false" ht="14.25" hidden="false" customHeight="false" outlineLevel="0" collapsed="false">
      <c r="A523" s="219"/>
      <c r="N523" s="221"/>
    </row>
    <row r="524" customFormat="false" ht="14.25" hidden="false" customHeight="false" outlineLevel="0" collapsed="false">
      <c r="A524" s="219"/>
      <c r="N524" s="221"/>
    </row>
    <row r="525" customFormat="false" ht="14.25" hidden="false" customHeight="false" outlineLevel="0" collapsed="false">
      <c r="A525" s="219"/>
      <c r="C525" s="222"/>
      <c r="N525" s="221"/>
    </row>
    <row r="526" customFormat="false" ht="14.25" hidden="false" customHeight="false" outlineLevel="0" collapsed="false">
      <c r="A526" s="219"/>
      <c r="C526" s="222"/>
      <c r="N526" s="221"/>
    </row>
    <row r="527" customFormat="false" ht="14.25" hidden="false" customHeight="false" outlineLevel="0" collapsed="false">
      <c r="A527" s="219"/>
      <c r="C527" s="222"/>
      <c r="N527" s="221"/>
    </row>
    <row r="528" customFormat="false" ht="14.25" hidden="false" customHeight="false" outlineLevel="0" collapsed="false">
      <c r="A528" s="219"/>
      <c r="C528" s="222"/>
      <c r="N528" s="221"/>
    </row>
    <row r="529" customFormat="false" ht="14.25" hidden="false" customHeight="false" outlineLevel="0" collapsed="false">
      <c r="A529" s="219"/>
      <c r="C529" s="222"/>
      <c r="N529" s="221"/>
    </row>
    <row r="530" customFormat="false" ht="14.25" hidden="false" customHeight="false" outlineLevel="0" collapsed="false">
      <c r="A530" s="219"/>
      <c r="C530" s="222"/>
      <c r="N530" s="221"/>
    </row>
    <row r="531" customFormat="false" ht="14.25" hidden="false" customHeight="false" outlineLevel="0" collapsed="false">
      <c r="A531" s="219"/>
      <c r="C531" s="222"/>
      <c r="N531" s="221"/>
    </row>
    <row r="532" customFormat="false" ht="14.25" hidden="false" customHeight="false" outlineLevel="0" collapsed="false">
      <c r="A532" s="219"/>
      <c r="C532" s="222"/>
      <c r="N532" s="221"/>
    </row>
    <row r="533" customFormat="false" ht="14.25" hidden="false" customHeight="false" outlineLevel="0" collapsed="false">
      <c r="A533" s="219"/>
      <c r="N533" s="221"/>
    </row>
    <row r="534" customFormat="false" ht="14.25" hidden="false" customHeight="false" outlineLevel="0" collapsed="false">
      <c r="A534" s="219"/>
      <c r="N534" s="221"/>
    </row>
    <row r="535" customFormat="false" ht="14.25" hidden="false" customHeight="false" outlineLevel="0" collapsed="false">
      <c r="A535" s="219"/>
      <c r="N535" s="221"/>
    </row>
    <row r="536" customFormat="false" ht="14.25" hidden="false" customHeight="false" outlineLevel="0" collapsed="false">
      <c r="A536" s="219"/>
      <c r="N536" s="221"/>
    </row>
    <row r="537" customFormat="false" ht="14.25" hidden="false" customHeight="false" outlineLevel="0" collapsed="false">
      <c r="A537" s="219"/>
      <c r="N537" s="221"/>
    </row>
    <row r="538" customFormat="false" ht="14.25" hidden="false" customHeight="false" outlineLevel="0" collapsed="false">
      <c r="A538" s="219"/>
      <c r="N538" s="221"/>
    </row>
    <row r="539" customFormat="false" ht="14.25" hidden="false" customHeight="false" outlineLevel="0" collapsed="false">
      <c r="A539" s="219"/>
      <c r="N539" s="221"/>
    </row>
    <row r="540" customFormat="false" ht="14.25" hidden="false" customHeight="false" outlineLevel="0" collapsed="false">
      <c r="A540" s="219"/>
      <c r="N540" s="221"/>
    </row>
    <row r="541" customFormat="false" ht="14.25" hidden="false" customHeight="false" outlineLevel="0" collapsed="false">
      <c r="A541" s="219"/>
      <c r="L541" s="225"/>
      <c r="N541" s="221"/>
    </row>
    <row r="542" customFormat="false" ht="14.25" hidden="false" customHeight="false" outlineLevel="0" collapsed="false">
      <c r="A542" s="219"/>
      <c r="L542" s="225"/>
      <c r="N542" s="221"/>
    </row>
    <row r="543" customFormat="false" ht="14.25" hidden="false" customHeight="false" outlineLevel="0" collapsed="false">
      <c r="A543" s="219"/>
      <c r="L543" s="225"/>
      <c r="N543" s="221"/>
    </row>
    <row r="544" customFormat="false" ht="14.25" hidden="false" customHeight="false" outlineLevel="0" collapsed="false">
      <c r="A544" s="219"/>
      <c r="L544" s="225"/>
      <c r="N544" s="221"/>
    </row>
    <row r="545" customFormat="false" ht="14.25" hidden="false" customHeight="false" outlineLevel="0" collapsed="false">
      <c r="A545" s="219"/>
      <c r="L545" s="225"/>
      <c r="N545" s="221"/>
    </row>
    <row r="546" customFormat="false" ht="14.25" hidden="false" customHeight="false" outlineLevel="0" collapsed="false">
      <c r="A546" s="219"/>
      <c r="L546" s="225"/>
      <c r="N546" s="221"/>
    </row>
    <row r="547" customFormat="false" ht="14.25" hidden="false" customHeight="false" outlineLevel="0" collapsed="false">
      <c r="A547" s="219"/>
      <c r="L547" s="225"/>
      <c r="N547" s="221"/>
    </row>
    <row r="548" customFormat="false" ht="14.25" hidden="false" customHeight="false" outlineLevel="0" collapsed="false">
      <c r="A548" s="219"/>
      <c r="L548" s="225"/>
      <c r="N548" s="221"/>
    </row>
    <row r="549" customFormat="false" ht="14.25" hidden="false" customHeight="false" outlineLevel="0" collapsed="false">
      <c r="A549" s="219"/>
      <c r="L549" s="225"/>
      <c r="N549" s="221"/>
    </row>
    <row r="550" customFormat="false" ht="14.25" hidden="false" customHeight="false" outlineLevel="0" collapsed="false">
      <c r="A550" s="219"/>
      <c r="L550" s="225"/>
      <c r="N550" s="221"/>
    </row>
    <row r="551" customFormat="false" ht="14.25" hidden="false" customHeight="false" outlineLevel="0" collapsed="false">
      <c r="A551" s="219"/>
      <c r="C551" s="222"/>
      <c r="N551" s="221"/>
    </row>
    <row r="552" customFormat="false" ht="14.25" hidden="false" customHeight="false" outlineLevel="0" collapsed="false">
      <c r="A552" s="219"/>
      <c r="C552" s="222"/>
      <c r="N552" s="221"/>
    </row>
    <row r="553" customFormat="false" ht="14.25" hidden="false" customHeight="false" outlineLevel="0" collapsed="false">
      <c r="A553" s="219"/>
      <c r="C553" s="222"/>
      <c r="N553" s="221"/>
    </row>
    <row r="554" customFormat="false" ht="14.25" hidden="false" customHeight="false" outlineLevel="0" collapsed="false">
      <c r="A554" s="219"/>
      <c r="C554" s="222"/>
      <c r="N554" s="221"/>
    </row>
    <row r="555" customFormat="false" ht="14.25" hidden="false" customHeight="false" outlineLevel="0" collapsed="false">
      <c r="A555" s="219"/>
      <c r="C555" s="222"/>
      <c r="N555" s="221"/>
    </row>
    <row r="556" customFormat="false" ht="14.25" hidden="false" customHeight="false" outlineLevel="0" collapsed="false">
      <c r="A556" s="219"/>
      <c r="C556" s="222"/>
      <c r="N556" s="221"/>
    </row>
    <row r="557" customFormat="false" ht="14.25" hidden="false" customHeight="false" outlineLevel="0" collapsed="false">
      <c r="A557" s="219"/>
      <c r="C557" s="222"/>
      <c r="N557" s="221"/>
    </row>
    <row r="558" customFormat="false" ht="14.25" hidden="false" customHeight="false" outlineLevel="0" collapsed="false">
      <c r="A558" s="219"/>
      <c r="C558" s="222"/>
      <c r="N558" s="221"/>
    </row>
    <row r="559" customFormat="false" ht="14.25" hidden="false" customHeight="false" outlineLevel="0" collapsed="false">
      <c r="A559" s="219"/>
      <c r="C559" s="222"/>
      <c r="N559" s="221"/>
    </row>
    <row r="560" customFormat="false" ht="14.25" hidden="false" customHeight="false" outlineLevel="0" collapsed="false">
      <c r="A560" s="219"/>
      <c r="C560" s="222"/>
      <c r="N560" s="221"/>
    </row>
    <row r="561" customFormat="false" ht="14.25" hidden="false" customHeight="false" outlineLevel="0" collapsed="false">
      <c r="A561" s="219"/>
      <c r="C561" s="222"/>
      <c r="N561" s="221"/>
    </row>
    <row r="562" customFormat="false" ht="14.25" hidden="false" customHeight="false" outlineLevel="0" collapsed="false">
      <c r="A562" s="219"/>
      <c r="C562" s="222"/>
      <c r="N562" s="221"/>
    </row>
    <row r="563" customFormat="false" ht="14.25" hidden="false" customHeight="false" outlineLevel="0" collapsed="false">
      <c r="A563" s="219"/>
      <c r="C563" s="222"/>
      <c r="N563" s="221"/>
    </row>
    <row r="564" customFormat="false" ht="14.25" hidden="false" customHeight="false" outlineLevel="0" collapsed="false">
      <c r="A564" s="219"/>
      <c r="C564" s="222"/>
      <c r="N564" s="221"/>
    </row>
    <row r="565" customFormat="false" ht="14.25" hidden="false" customHeight="false" outlineLevel="0" collapsed="false">
      <c r="A565" s="219"/>
      <c r="C565" s="222"/>
      <c r="N565" s="221"/>
    </row>
    <row r="566" customFormat="false" ht="14.25" hidden="false" customHeight="false" outlineLevel="0" collapsed="false">
      <c r="A566" s="219"/>
      <c r="C566" s="222"/>
      <c r="N566" s="221"/>
    </row>
    <row r="567" customFormat="false" ht="14.25" hidden="false" customHeight="false" outlineLevel="0" collapsed="false">
      <c r="A567" s="219"/>
      <c r="N567" s="221"/>
    </row>
    <row r="568" customFormat="false" ht="14.25" hidden="false" customHeight="false" outlineLevel="0" collapsed="false">
      <c r="A568" s="219"/>
      <c r="N568" s="221"/>
    </row>
    <row r="569" customFormat="false" ht="14.25" hidden="false" customHeight="false" outlineLevel="0" collapsed="false">
      <c r="A569" s="219"/>
      <c r="N569" s="221"/>
    </row>
    <row r="570" customFormat="false" ht="14.25" hidden="false" customHeight="false" outlineLevel="0" collapsed="false">
      <c r="A570" s="219"/>
      <c r="N570" s="221"/>
    </row>
    <row r="571" customFormat="false" ht="14.25" hidden="false" customHeight="false" outlineLevel="0" collapsed="false">
      <c r="A571" s="219"/>
      <c r="N571" s="221"/>
    </row>
    <row r="572" customFormat="false" ht="14.25" hidden="false" customHeight="false" outlineLevel="0" collapsed="false">
      <c r="A572" s="219"/>
      <c r="N572" s="221"/>
    </row>
    <row r="573" customFormat="false" ht="14.25" hidden="false" customHeight="false" outlineLevel="0" collapsed="false">
      <c r="A573" s="219"/>
      <c r="N573" s="221"/>
    </row>
    <row r="574" customFormat="false" ht="14.25" hidden="false" customHeight="false" outlineLevel="0" collapsed="false">
      <c r="A574" s="219"/>
      <c r="L574" s="225"/>
      <c r="N574" s="221"/>
    </row>
    <row r="575" customFormat="false" ht="14.25" hidden="false" customHeight="false" outlineLevel="0" collapsed="false">
      <c r="A575" s="219"/>
      <c r="L575" s="225"/>
      <c r="N575" s="221"/>
    </row>
    <row r="576" customFormat="false" ht="14.25" hidden="false" customHeight="false" outlineLevel="0" collapsed="false">
      <c r="A576" s="219"/>
      <c r="L576" s="225"/>
      <c r="N576" s="221"/>
    </row>
    <row r="577" customFormat="false" ht="14.25" hidden="false" customHeight="false" outlineLevel="0" collapsed="false">
      <c r="A577" s="219"/>
      <c r="L577" s="225"/>
      <c r="N577" s="221"/>
    </row>
    <row r="578" customFormat="false" ht="14.25" hidden="false" customHeight="false" outlineLevel="0" collapsed="false">
      <c r="A578" s="219"/>
      <c r="L578" s="225"/>
      <c r="N578" s="221"/>
    </row>
    <row r="579" customFormat="false" ht="14.25" hidden="false" customHeight="false" outlineLevel="0" collapsed="false">
      <c r="A579" s="219"/>
      <c r="L579" s="225"/>
      <c r="N579" s="221"/>
    </row>
    <row r="580" customFormat="false" ht="14.25" hidden="false" customHeight="false" outlineLevel="0" collapsed="false">
      <c r="A580" s="219"/>
      <c r="L580" s="225"/>
      <c r="N580" s="221"/>
    </row>
    <row r="581" customFormat="false" ht="14.25" hidden="false" customHeight="false" outlineLevel="0" collapsed="false">
      <c r="A581" s="219"/>
      <c r="N581" s="221"/>
    </row>
    <row r="582" customFormat="false" ht="14.25" hidden="false" customHeight="false" outlineLevel="0" collapsed="false">
      <c r="A582" s="219"/>
      <c r="L582" s="224"/>
      <c r="N582" s="221"/>
    </row>
    <row r="583" customFormat="false" ht="14.25" hidden="false" customHeight="false" outlineLevel="0" collapsed="false">
      <c r="A583" s="219"/>
      <c r="C583" s="222"/>
      <c r="N583" s="221"/>
    </row>
    <row r="584" customFormat="false" ht="14.25" hidden="false" customHeight="false" outlineLevel="0" collapsed="false">
      <c r="A584" s="219"/>
      <c r="C584" s="222"/>
      <c r="N584" s="221"/>
    </row>
    <row r="585" customFormat="false" ht="14.25" hidden="false" customHeight="false" outlineLevel="0" collapsed="false">
      <c r="A585" s="219"/>
      <c r="C585" s="222"/>
      <c r="N585" s="221"/>
    </row>
    <row r="586" customFormat="false" ht="14.25" hidden="false" customHeight="false" outlineLevel="0" collapsed="false">
      <c r="A586" s="219"/>
      <c r="C586" s="222"/>
      <c r="N586" s="221"/>
    </row>
    <row r="587" customFormat="false" ht="14.25" hidden="false" customHeight="false" outlineLevel="0" collapsed="false">
      <c r="A587" s="219"/>
      <c r="C587" s="222"/>
      <c r="N587" s="221"/>
    </row>
    <row r="588" customFormat="false" ht="14.25" hidden="false" customHeight="false" outlineLevel="0" collapsed="false">
      <c r="A588" s="219"/>
      <c r="C588" s="222"/>
      <c r="N588" s="221"/>
    </row>
    <row r="589" customFormat="false" ht="14.25" hidden="false" customHeight="false" outlineLevel="0" collapsed="false">
      <c r="A589" s="219"/>
      <c r="C589" s="222"/>
      <c r="N589" s="221"/>
    </row>
    <row r="590" customFormat="false" ht="14.25" hidden="false" customHeight="false" outlineLevel="0" collapsed="false">
      <c r="A590" s="219"/>
      <c r="C590" s="222"/>
      <c r="N590" s="221"/>
    </row>
    <row r="591" customFormat="false" ht="14.25" hidden="false" customHeight="false" outlineLevel="0" collapsed="false">
      <c r="A591" s="219"/>
      <c r="C591" s="222"/>
      <c r="N591" s="221"/>
    </row>
    <row r="592" customFormat="false" ht="14.25" hidden="false" customHeight="false" outlineLevel="0" collapsed="false">
      <c r="A592" s="219"/>
      <c r="C592" s="222"/>
      <c r="N592" s="221"/>
    </row>
    <row r="593" customFormat="false" ht="14.25" hidden="false" customHeight="false" outlineLevel="0" collapsed="false">
      <c r="A593" s="219"/>
      <c r="C593" s="222"/>
      <c r="N593" s="221"/>
    </row>
    <row r="594" customFormat="false" ht="14.25" hidden="false" customHeight="false" outlineLevel="0" collapsed="false">
      <c r="A594" s="219"/>
      <c r="C594" s="222"/>
      <c r="N594" s="221"/>
    </row>
    <row r="595" customFormat="false" ht="14.25" hidden="false" customHeight="false" outlineLevel="0" collapsed="false">
      <c r="A595" s="219"/>
      <c r="L595" s="225"/>
      <c r="N595" s="221"/>
    </row>
    <row r="596" customFormat="false" ht="14.25" hidden="false" customHeight="false" outlineLevel="0" collapsed="false">
      <c r="A596" s="219"/>
      <c r="L596" s="225"/>
      <c r="N596" s="221"/>
    </row>
    <row r="597" customFormat="false" ht="14.25" hidden="false" customHeight="false" outlineLevel="0" collapsed="false">
      <c r="A597" s="219"/>
      <c r="L597" s="225"/>
      <c r="N597" s="221"/>
    </row>
    <row r="598" customFormat="false" ht="14.25" hidden="false" customHeight="false" outlineLevel="0" collapsed="false">
      <c r="A598" s="219"/>
      <c r="N598" s="221"/>
    </row>
    <row r="599" customFormat="false" ht="14.25" hidden="false" customHeight="false" outlineLevel="0" collapsed="false">
      <c r="A599" s="219"/>
      <c r="N599" s="221"/>
    </row>
    <row r="600" customFormat="false" ht="14.25" hidden="false" customHeight="false" outlineLevel="0" collapsed="false">
      <c r="A600" s="219"/>
      <c r="N600" s="221"/>
    </row>
    <row r="601" customFormat="false" ht="14.25" hidden="false" customHeight="false" outlineLevel="0" collapsed="false">
      <c r="A601" s="219"/>
      <c r="C601" s="222"/>
      <c r="N601" s="221"/>
    </row>
    <row r="602" customFormat="false" ht="14.25" hidden="false" customHeight="false" outlineLevel="0" collapsed="false">
      <c r="A602" s="219"/>
      <c r="C602" s="222"/>
      <c r="N602" s="221"/>
    </row>
    <row r="603" customFormat="false" ht="14.25" hidden="false" customHeight="false" outlineLevel="0" collapsed="false">
      <c r="A603" s="219"/>
      <c r="C603" s="222"/>
      <c r="N603" s="221"/>
    </row>
    <row r="604" customFormat="false" ht="14.25" hidden="false" customHeight="false" outlineLevel="0" collapsed="false">
      <c r="A604" s="219"/>
      <c r="N604" s="221"/>
    </row>
    <row r="605" customFormat="false" ht="14.25" hidden="false" customHeight="false" outlineLevel="0" collapsed="false">
      <c r="A605" s="219"/>
      <c r="N605" s="221"/>
    </row>
    <row r="606" customFormat="false" ht="14.25" hidden="false" customHeight="false" outlineLevel="0" collapsed="false">
      <c r="A606" s="219"/>
      <c r="C606" s="222"/>
      <c r="N606" s="221"/>
    </row>
    <row r="607" customFormat="false" ht="14.25" hidden="false" customHeight="false" outlineLevel="0" collapsed="false">
      <c r="A607" s="219"/>
      <c r="C607" s="222"/>
      <c r="N607" s="221"/>
    </row>
    <row r="608" customFormat="false" ht="14.25" hidden="false" customHeight="false" outlineLevel="0" collapsed="false">
      <c r="A608" s="219"/>
      <c r="N608" s="221"/>
    </row>
    <row r="609" customFormat="false" ht="14.25" hidden="false" customHeight="false" outlineLevel="0" collapsed="false">
      <c r="A609" s="219"/>
      <c r="N609" s="221"/>
    </row>
    <row r="610" customFormat="false" ht="14.25" hidden="false" customHeight="false" outlineLevel="0" collapsed="false">
      <c r="A610" s="219"/>
      <c r="C610" s="222"/>
      <c r="N610" s="221"/>
    </row>
    <row r="611" customFormat="false" ht="14.25" hidden="false" customHeight="false" outlineLevel="0" collapsed="false">
      <c r="A611" s="219"/>
      <c r="C611" s="222"/>
      <c r="N611" s="221"/>
    </row>
    <row r="612" customFormat="false" ht="14.25" hidden="false" customHeight="false" outlineLevel="0" collapsed="false">
      <c r="A612" s="219"/>
      <c r="C612" s="222"/>
      <c r="N612" s="221"/>
    </row>
    <row r="613" customFormat="false" ht="14.25" hidden="false" customHeight="false" outlineLevel="0" collapsed="false">
      <c r="A613" s="219"/>
      <c r="C613" s="222"/>
      <c r="N613" s="221"/>
    </row>
    <row r="614" customFormat="false" ht="14.25" hidden="false" customHeight="false" outlineLevel="0" collapsed="false">
      <c r="A614" s="219"/>
      <c r="N614" s="221"/>
    </row>
    <row r="615" customFormat="false" ht="14.25" hidden="false" customHeight="false" outlineLevel="0" collapsed="false">
      <c r="A615" s="219"/>
      <c r="N615" s="221"/>
    </row>
    <row r="616" customFormat="false" ht="14.25" hidden="false" customHeight="false" outlineLevel="0" collapsed="false">
      <c r="A616" s="219"/>
      <c r="N616" s="221"/>
    </row>
    <row r="617" customFormat="false" ht="14.25" hidden="false" customHeight="false" outlineLevel="0" collapsed="false">
      <c r="A617" s="219"/>
      <c r="N617" s="221"/>
    </row>
    <row r="618" customFormat="false" ht="14.25" hidden="false" customHeight="false" outlineLevel="0" collapsed="false">
      <c r="A618" s="219"/>
      <c r="N618" s="221"/>
    </row>
    <row r="619" customFormat="false" ht="14.25" hidden="false" customHeight="false" outlineLevel="0" collapsed="false">
      <c r="A619" s="219"/>
      <c r="N619" s="221"/>
    </row>
    <row r="620" customFormat="false" ht="14.25" hidden="false" customHeight="false" outlineLevel="0" collapsed="false">
      <c r="A620" s="219"/>
      <c r="N620" s="221"/>
    </row>
    <row r="621" customFormat="false" ht="14.25" hidden="false" customHeight="false" outlineLevel="0" collapsed="false">
      <c r="A621" s="219"/>
      <c r="L621" s="225"/>
      <c r="N621" s="221"/>
    </row>
    <row r="622" customFormat="false" ht="14.25" hidden="false" customHeight="false" outlineLevel="0" collapsed="false">
      <c r="A622" s="219"/>
      <c r="L622" s="225"/>
      <c r="N622" s="221"/>
    </row>
    <row r="623" customFormat="false" ht="14.25" hidden="false" customHeight="false" outlineLevel="0" collapsed="false">
      <c r="A623" s="219"/>
      <c r="L623" s="225"/>
      <c r="N623" s="221"/>
    </row>
    <row r="624" customFormat="false" ht="14.25" hidden="false" customHeight="false" outlineLevel="0" collapsed="false">
      <c r="A624" s="219"/>
      <c r="L624" s="225"/>
      <c r="N624" s="221"/>
    </row>
    <row r="625" customFormat="false" ht="14.25" hidden="false" customHeight="false" outlineLevel="0" collapsed="false">
      <c r="A625" s="219"/>
      <c r="L625" s="225"/>
      <c r="N625" s="221"/>
    </row>
    <row r="626" customFormat="false" ht="14.25" hidden="false" customHeight="false" outlineLevel="0" collapsed="false">
      <c r="A626" s="219"/>
      <c r="L626" s="225"/>
      <c r="N626" s="221"/>
    </row>
    <row r="627" customFormat="false" ht="14.25" hidden="false" customHeight="false" outlineLevel="0" collapsed="false">
      <c r="A627" s="219"/>
      <c r="L627" s="225"/>
      <c r="N627" s="221"/>
    </row>
    <row r="628" customFormat="false" ht="14.25" hidden="false" customHeight="false" outlineLevel="0" collapsed="false">
      <c r="A628" s="219"/>
      <c r="N628" s="221"/>
    </row>
    <row r="629" customFormat="false" ht="14.25" hidden="false" customHeight="false" outlineLevel="0" collapsed="false">
      <c r="A629" s="219"/>
      <c r="N629" s="221"/>
    </row>
    <row r="630" customFormat="false" ht="14.25" hidden="false" customHeight="false" outlineLevel="0" collapsed="false">
      <c r="A630" s="219"/>
      <c r="N630" s="221"/>
    </row>
    <row r="631" customFormat="false" ht="14.25" hidden="false" customHeight="false" outlineLevel="0" collapsed="false">
      <c r="A631" s="219"/>
      <c r="N631" s="221"/>
    </row>
    <row r="632" customFormat="false" ht="14.25" hidden="false" customHeight="false" outlineLevel="0" collapsed="false">
      <c r="A632" s="219"/>
      <c r="N632" s="221"/>
    </row>
    <row r="633" customFormat="false" ht="14.25" hidden="false" customHeight="false" outlineLevel="0" collapsed="false">
      <c r="A633" s="219"/>
      <c r="N633" s="221"/>
    </row>
    <row r="634" customFormat="false" ht="14.25" hidden="false" customHeight="false" outlineLevel="0" collapsed="false">
      <c r="A634" s="219"/>
      <c r="N634" s="221"/>
    </row>
    <row r="635" customFormat="false" ht="14.25" hidden="false" customHeight="false" outlineLevel="0" collapsed="false">
      <c r="A635" s="219"/>
      <c r="N635" s="221"/>
    </row>
    <row r="636" customFormat="false" ht="14.25" hidden="false" customHeight="false" outlineLevel="0" collapsed="false">
      <c r="A636" s="219"/>
      <c r="N636" s="221"/>
    </row>
    <row r="637" customFormat="false" ht="14.25" hidden="false" customHeight="false" outlineLevel="0" collapsed="false">
      <c r="A637" s="219"/>
      <c r="N637" s="221"/>
    </row>
    <row r="638" customFormat="false" ht="14.25" hidden="false" customHeight="false" outlineLevel="0" collapsed="false">
      <c r="A638" s="219"/>
      <c r="N638" s="221"/>
    </row>
    <row r="639" customFormat="false" ht="14.25" hidden="false" customHeight="false" outlineLevel="0" collapsed="false">
      <c r="A639" s="219"/>
      <c r="N639" s="221"/>
    </row>
    <row r="640" customFormat="false" ht="14.25" hidden="false" customHeight="false" outlineLevel="0" collapsed="false">
      <c r="A640" s="219"/>
      <c r="C640" s="222"/>
      <c r="N640" s="221"/>
    </row>
    <row r="641" customFormat="false" ht="14.25" hidden="false" customHeight="false" outlineLevel="0" collapsed="false">
      <c r="A641" s="219"/>
      <c r="C641" s="222"/>
      <c r="N641" s="221"/>
    </row>
    <row r="642" customFormat="false" ht="14.25" hidden="false" customHeight="false" outlineLevel="0" collapsed="false">
      <c r="A642" s="219"/>
      <c r="C642" s="222"/>
      <c r="N642" s="221"/>
    </row>
    <row r="643" customFormat="false" ht="14.25" hidden="false" customHeight="false" outlineLevel="0" collapsed="false">
      <c r="A643" s="219"/>
      <c r="C643" s="222"/>
      <c r="N643" s="221"/>
    </row>
    <row r="644" customFormat="false" ht="14.25" hidden="false" customHeight="false" outlineLevel="0" collapsed="false">
      <c r="A644" s="219"/>
      <c r="C644" s="222"/>
      <c r="N644" s="221"/>
    </row>
    <row r="645" customFormat="false" ht="14.25" hidden="false" customHeight="false" outlineLevel="0" collapsed="false">
      <c r="A645" s="219"/>
      <c r="C645" s="222"/>
      <c r="N645" s="221"/>
    </row>
    <row r="646" customFormat="false" ht="14.25" hidden="false" customHeight="false" outlineLevel="0" collapsed="false">
      <c r="A646" s="219"/>
      <c r="C646" s="222"/>
      <c r="N646" s="221"/>
    </row>
    <row r="647" customFormat="false" ht="14.25" hidden="false" customHeight="false" outlineLevel="0" collapsed="false">
      <c r="A647" s="219"/>
      <c r="C647" s="222"/>
      <c r="N647" s="221"/>
    </row>
    <row r="648" customFormat="false" ht="14.25" hidden="false" customHeight="false" outlineLevel="0" collapsed="false">
      <c r="A648" s="219"/>
      <c r="N648" s="221"/>
    </row>
    <row r="649" customFormat="false" ht="14.25" hidden="false" customHeight="false" outlineLevel="0" collapsed="false">
      <c r="A649" s="219"/>
      <c r="C649" s="222"/>
      <c r="N649" s="221"/>
    </row>
    <row r="650" customFormat="false" ht="14.25" hidden="false" customHeight="false" outlineLevel="0" collapsed="false">
      <c r="A650" s="219"/>
      <c r="C650" s="222"/>
      <c r="N650" s="221"/>
    </row>
    <row r="651" customFormat="false" ht="14.25" hidden="false" customHeight="false" outlineLevel="0" collapsed="false">
      <c r="A651" s="219"/>
      <c r="C651" s="222"/>
      <c r="N651" s="221"/>
    </row>
    <row r="652" customFormat="false" ht="14.25" hidden="false" customHeight="false" outlineLevel="0" collapsed="false">
      <c r="A652" s="219"/>
      <c r="C652" s="222"/>
      <c r="N652" s="221"/>
    </row>
    <row r="653" customFormat="false" ht="14.25" hidden="false" customHeight="false" outlineLevel="0" collapsed="false">
      <c r="A653" s="219"/>
      <c r="C653" s="222"/>
      <c r="N653" s="221"/>
    </row>
    <row r="654" customFormat="false" ht="14.25" hidden="false" customHeight="false" outlineLevel="0" collapsed="false">
      <c r="A654" s="219"/>
      <c r="C654" s="222"/>
      <c r="N654" s="221"/>
    </row>
    <row r="655" customFormat="false" ht="14.25" hidden="false" customHeight="false" outlineLevel="0" collapsed="false">
      <c r="A655" s="219"/>
      <c r="C655" s="222"/>
      <c r="N655" s="221"/>
    </row>
    <row r="656" customFormat="false" ht="14.25" hidden="false" customHeight="false" outlineLevel="0" collapsed="false">
      <c r="A656" s="219"/>
      <c r="C656" s="222"/>
      <c r="N656" s="221"/>
    </row>
    <row r="657" customFormat="false" ht="14.25" hidden="false" customHeight="false" outlineLevel="0" collapsed="false">
      <c r="A657" s="219"/>
      <c r="C657" s="222"/>
      <c r="N657" s="221"/>
    </row>
    <row r="658" customFormat="false" ht="14.25" hidden="false" customHeight="false" outlineLevel="0" collapsed="false">
      <c r="A658" s="219"/>
      <c r="C658" s="222"/>
      <c r="N658" s="221"/>
    </row>
    <row r="659" customFormat="false" ht="14.25" hidden="false" customHeight="false" outlineLevel="0" collapsed="false">
      <c r="A659" s="219"/>
      <c r="C659" s="222"/>
      <c r="N659" s="221"/>
    </row>
    <row r="660" customFormat="false" ht="14.25" hidden="false" customHeight="false" outlineLevel="0" collapsed="false">
      <c r="A660" s="219"/>
      <c r="C660" s="222"/>
      <c r="N660" s="221"/>
    </row>
    <row r="661" customFormat="false" ht="14.25" hidden="false" customHeight="false" outlineLevel="0" collapsed="false">
      <c r="A661" s="219"/>
      <c r="N661" s="221"/>
    </row>
    <row r="662" customFormat="false" ht="14.25" hidden="false" customHeight="false" outlineLevel="0" collapsed="false">
      <c r="A662" s="219"/>
      <c r="C662" s="222"/>
      <c r="N662" s="221"/>
    </row>
    <row r="663" customFormat="false" ht="14.25" hidden="false" customHeight="false" outlineLevel="0" collapsed="false">
      <c r="A663" s="219"/>
      <c r="C663" s="222"/>
      <c r="N663" s="221"/>
    </row>
    <row r="664" customFormat="false" ht="14.25" hidden="false" customHeight="false" outlineLevel="0" collapsed="false">
      <c r="A664" s="219"/>
      <c r="C664" s="222"/>
      <c r="N664" s="221"/>
    </row>
    <row r="665" customFormat="false" ht="14.25" hidden="false" customHeight="false" outlineLevel="0" collapsed="false">
      <c r="A665" s="219"/>
      <c r="C665" s="222"/>
      <c r="N665" s="221"/>
    </row>
    <row r="666" customFormat="false" ht="14.25" hidden="false" customHeight="false" outlineLevel="0" collapsed="false">
      <c r="A666" s="219"/>
      <c r="C666" s="222"/>
      <c r="N666" s="221"/>
    </row>
    <row r="667" customFormat="false" ht="14.25" hidden="false" customHeight="false" outlineLevel="0" collapsed="false">
      <c r="A667" s="219"/>
      <c r="C667" s="222"/>
      <c r="N667" s="221"/>
    </row>
    <row r="668" customFormat="false" ht="14.25" hidden="false" customHeight="false" outlineLevel="0" collapsed="false">
      <c r="A668" s="219"/>
      <c r="C668" s="222"/>
      <c r="N668" s="221"/>
    </row>
    <row r="669" customFormat="false" ht="14.25" hidden="false" customHeight="false" outlineLevel="0" collapsed="false">
      <c r="A669" s="219"/>
      <c r="L669" s="225"/>
      <c r="N669" s="221"/>
    </row>
    <row r="670" customFormat="false" ht="14.25" hidden="false" customHeight="false" outlineLevel="0" collapsed="false">
      <c r="A670" s="219"/>
      <c r="L670" s="225"/>
      <c r="N670" s="221"/>
    </row>
    <row r="671" customFormat="false" ht="14.25" hidden="false" customHeight="false" outlineLevel="0" collapsed="false">
      <c r="A671" s="219"/>
      <c r="L671" s="225"/>
      <c r="N671" s="221"/>
    </row>
    <row r="672" customFormat="false" ht="14.25" hidden="false" customHeight="false" outlineLevel="0" collapsed="false">
      <c r="A672" s="219"/>
      <c r="N672" s="221"/>
    </row>
    <row r="673" customFormat="false" ht="14.25" hidden="false" customHeight="false" outlineLevel="0" collapsed="false">
      <c r="A673" s="219"/>
      <c r="N673" s="221"/>
    </row>
    <row r="674" customFormat="false" ht="14.25" hidden="false" customHeight="false" outlineLevel="0" collapsed="false">
      <c r="A674" s="219"/>
      <c r="N674" s="221"/>
    </row>
    <row r="675" customFormat="false" ht="14.25" hidden="false" customHeight="false" outlineLevel="0" collapsed="false">
      <c r="A675" s="219"/>
      <c r="N675" s="221"/>
    </row>
    <row r="676" customFormat="false" ht="14.25" hidden="false" customHeight="false" outlineLevel="0" collapsed="false">
      <c r="A676" s="219"/>
      <c r="N676" s="221"/>
    </row>
    <row r="677" customFormat="false" ht="14.25" hidden="false" customHeight="false" outlineLevel="0" collapsed="false">
      <c r="A677" s="219"/>
      <c r="N677" s="221"/>
    </row>
    <row r="678" customFormat="false" ht="14.25" hidden="false" customHeight="false" outlineLevel="0" collapsed="false">
      <c r="A678" s="219"/>
      <c r="C678" s="222"/>
      <c r="N678" s="221"/>
    </row>
    <row r="679" customFormat="false" ht="14.25" hidden="false" customHeight="false" outlineLevel="0" collapsed="false">
      <c r="A679" s="219"/>
      <c r="C679" s="222"/>
      <c r="N679" s="221"/>
    </row>
    <row r="680" customFormat="false" ht="14.25" hidden="false" customHeight="false" outlineLevel="0" collapsed="false">
      <c r="A680" s="219"/>
      <c r="C680" s="222"/>
      <c r="N680" s="221"/>
    </row>
    <row r="681" customFormat="false" ht="14.25" hidden="false" customHeight="false" outlineLevel="0" collapsed="false">
      <c r="A681" s="219"/>
      <c r="C681" s="222"/>
      <c r="N681" s="221"/>
    </row>
    <row r="682" customFormat="false" ht="14.25" hidden="false" customHeight="false" outlineLevel="0" collapsed="false">
      <c r="A682" s="219"/>
      <c r="C682" s="222"/>
      <c r="N682" s="221"/>
    </row>
    <row r="683" customFormat="false" ht="14.25" hidden="false" customHeight="false" outlineLevel="0" collapsed="false">
      <c r="A683" s="219"/>
      <c r="C683" s="220"/>
      <c r="N683" s="221"/>
    </row>
    <row r="684" customFormat="false" ht="14.25" hidden="false" customHeight="false" outlineLevel="0" collapsed="false">
      <c r="A684" s="219"/>
      <c r="C684" s="222"/>
      <c r="N684" s="221"/>
    </row>
    <row r="685" customFormat="false" ht="14.25" hidden="false" customHeight="false" outlineLevel="0" collapsed="false">
      <c r="A685" s="219"/>
      <c r="C685" s="222"/>
      <c r="N685" s="221"/>
    </row>
    <row r="686" customFormat="false" ht="14.25" hidden="false" customHeight="false" outlineLevel="0" collapsed="false">
      <c r="A686" s="219"/>
      <c r="C686" s="222"/>
      <c r="N686" s="221"/>
    </row>
    <row r="687" customFormat="false" ht="14.25" hidden="false" customHeight="false" outlineLevel="0" collapsed="false">
      <c r="A687" s="219"/>
      <c r="C687" s="222"/>
      <c r="N687" s="221"/>
    </row>
    <row r="688" customFormat="false" ht="14.25" hidden="false" customHeight="false" outlineLevel="0" collapsed="false">
      <c r="A688" s="219"/>
      <c r="N688" s="221"/>
    </row>
    <row r="689" customFormat="false" ht="14.25" hidden="false" customHeight="false" outlineLevel="0" collapsed="false">
      <c r="A689" s="219"/>
      <c r="L689" s="225"/>
      <c r="N689" s="221"/>
    </row>
    <row r="690" customFormat="false" ht="14.25" hidden="false" customHeight="false" outlineLevel="0" collapsed="false">
      <c r="A690" s="219"/>
      <c r="L690" s="225"/>
      <c r="N690" s="221"/>
    </row>
    <row r="691" customFormat="false" ht="14.25" hidden="false" customHeight="false" outlineLevel="0" collapsed="false">
      <c r="A691" s="219"/>
      <c r="L691" s="225"/>
      <c r="N691" s="221"/>
    </row>
    <row r="692" customFormat="false" ht="14.25" hidden="false" customHeight="false" outlineLevel="0" collapsed="false">
      <c r="A692" s="219"/>
      <c r="L692" s="225"/>
      <c r="N692" s="221"/>
    </row>
    <row r="693" customFormat="false" ht="14.25" hidden="false" customHeight="false" outlineLevel="0" collapsed="false">
      <c r="A693" s="219"/>
      <c r="L693" s="225"/>
      <c r="N693" s="221"/>
    </row>
    <row r="694" customFormat="false" ht="14.25" hidden="false" customHeight="false" outlineLevel="0" collapsed="false">
      <c r="A694" s="219"/>
      <c r="L694" s="225"/>
      <c r="N694" s="221"/>
    </row>
    <row r="695" customFormat="false" ht="14.25" hidden="false" customHeight="false" outlineLevel="0" collapsed="false">
      <c r="A695" s="219"/>
      <c r="L695" s="225"/>
      <c r="N695" s="221"/>
    </row>
    <row r="696" customFormat="false" ht="14.25" hidden="false" customHeight="false" outlineLevel="0" collapsed="false">
      <c r="A696" s="219"/>
      <c r="L696" s="225"/>
      <c r="N696" s="221"/>
    </row>
    <row r="697" customFormat="false" ht="14.25" hidden="false" customHeight="false" outlineLevel="0" collapsed="false">
      <c r="A697" s="219"/>
      <c r="L697" s="225"/>
      <c r="N697" s="221"/>
    </row>
    <row r="698" customFormat="false" ht="14.25" hidden="false" customHeight="false" outlineLevel="0" collapsed="false">
      <c r="A698" s="219"/>
      <c r="L698" s="225"/>
      <c r="N698" s="221"/>
    </row>
    <row r="699" customFormat="false" ht="14.25" hidden="false" customHeight="false" outlineLevel="0" collapsed="false">
      <c r="A699" s="219"/>
      <c r="L699" s="225"/>
      <c r="N699" s="221"/>
    </row>
    <row r="700" customFormat="false" ht="14.25" hidden="false" customHeight="false" outlineLevel="0" collapsed="false">
      <c r="A700" s="219"/>
      <c r="L700" s="225"/>
      <c r="N700" s="221"/>
    </row>
    <row r="701" customFormat="false" ht="14.25" hidden="false" customHeight="false" outlineLevel="0" collapsed="false">
      <c r="A701" s="219"/>
      <c r="L701" s="225"/>
      <c r="N701" s="221"/>
    </row>
    <row r="702" customFormat="false" ht="14.25" hidden="false" customHeight="false" outlineLevel="0" collapsed="false">
      <c r="A702" s="219"/>
      <c r="L702" s="225"/>
      <c r="N702" s="221"/>
    </row>
    <row r="703" customFormat="false" ht="14.25" hidden="false" customHeight="false" outlineLevel="0" collapsed="false">
      <c r="A703" s="219"/>
      <c r="L703" s="225"/>
      <c r="N703" s="221"/>
    </row>
    <row r="704" customFormat="false" ht="14.25" hidden="false" customHeight="false" outlineLevel="0" collapsed="false">
      <c r="A704" s="219"/>
      <c r="N704" s="221"/>
    </row>
    <row r="705" customFormat="false" ht="14.25" hidden="false" customHeight="false" outlineLevel="0" collapsed="false">
      <c r="A705" s="219"/>
      <c r="N705" s="221"/>
    </row>
    <row r="706" customFormat="false" ht="14.25" hidden="false" customHeight="false" outlineLevel="0" collapsed="false">
      <c r="A706" s="219"/>
      <c r="N706" s="221"/>
    </row>
    <row r="707" customFormat="false" ht="14.25" hidden="false" customHeight="false" outlineLevel="0" collapsed="false">
      <c r="A707" s="219"/>
      <c r="N707" s="221"/>
    </row>
    <row r="708" customFormat="false" ht="14.25" hidden="false" customHeight="false" outlineLevel="0" collapsed="false">
      <c r="A708" s="219"/>
      <c r="L708" s="224"/>
      <c r="N708" s="221"/>
    </row>
    <row r="709" customFormat="false" ht="14.25" hidden="false" customHeight="false" outlineLevel="0" collapsed="false">
      <c r="A709" s="219"/>
      <c r="N709" s="221"/>
    </row>
    <row r="710" customFormat="false" ht="14.25" hidden="false" customHeight="false" outlineLevel="0" collapsed="false">
      <c r="A710" s="219"/>
      <c r="L710" s="224"/>
      <c r="N710" s="221"/>
    </row>
    <row r="711" customFormat="false" ht="14.25" hidden="false" customHeight="false" outlineLevel="0" collapsed="false">
      <c r="A711" s="219"/>
      <c r="L711" s="224"/>
      <c r="N711" s="221"/>
    </row>
    <row r="712" customFormat="false" ht="14.25" hidden="false" customHeight="false" outlineLevel="0" collapsed="false">
      <c r="A712" s="219"/>
      <c r="L712" s="224"/>
      <c r="N712" s="221"/>
    </row>
    <row r="713" customFormat="false" ht="14.25" hidden="false" customHeight="false" outlineLevel="0" collapsed="false">
      <c r="A713" s="219"/>
      <c r="N713" s="221"/>
    </row>
    <row r="714" customFormat="false" ht="14.25" hidden="false" customHeight="false" outlineLevel="0" collapsed="false">
      <c r="A714" s="219"/>
      <c r="L714" s="224"/>
      <c r="N714" s="221"/>
    </row>
    <row r="715" customFormat="false" ht="14.25" hidden="false" customHeight="false" outlineLevel="0" collapsed="false">
      <c r="A715" s="219"/>
      <c r="N715" s="221"/>
    </row>
    <row r="716" customFormat="false" ht="14.25" hidden="false" customHeight="false" outlineLevel="0" collapsed="false">
      <c r="A716" s="219"/>
      <c r="N716" s="221"/>
    </row>
    <row r="717" customFormat="false" ht="14.25" hidden="false" customHeight="false" outlineLevel="0" collapsed="false">
      <c r="A717" s="219"/>
      <c r="N717" s="221"/>
    </row>
    <row r="718" customFormat="false" ht="14.25" hidden="false" customHeight="false" outlineLevel="0" collapsed="false">
      <c r="A718" s="219"/>
      <c r="N718" s="221"/>
    </row>
    <row r="719" customFormat="false" ht="14.25" hidden="false" customHeight="false" outlineLevel="0" collapsed="false">
      <c r="A719" s="219"/>
      <c r="C719" s="222"/>
      <c r="N719" s="221"/>
    </row>
    <row r="720" customFormat="false" ht="14.25" hidden="false" customHeight="false" outlineLevel="0" collapsed="false">
      <c r="A720" s="219"/>
      <c r="C720" s="222"/>
      <c r="N720" s="221"/>
    </row>
    <row r="721" customFormat="false" ht="14.25" hidden="false" customHeight="false" outlineLevel="0" collapsed="false">
      <c r="A721" s="219"/>
      <c r="C721" s="222"/>
      <c r="N721" s="221"/>
    </row>
    <row r="722" customFormat="false" ht="14.25" hidden="false" customHeight="false" outlineLevel="0" collapsed="false">
      <c r="A722" s="219"/>
      <c r="C722" s="222"/>
      <c r="N722" s="221"/>
    </row>
    <row r="723" customFormat="false" ht="14.25" hidden="false" customHeight="false" outlineLevel="0" collapsed="false">
      <c r="A723" s="219"/>
      <c r="C723" s="222"/>
      <c r="N723" s="221"/>
    </row>
    <row r="724" customFormat="false" ht="14.25" hidden="false" customHeight="false" outlineLevel="0" collapsed="false">
      <c r="A724" s="219"/>
      <c r="C724" s="222"/>
      <c r="N724" s="221"/>
    </row>
    <row r="725" customFormat="false" ht="14.25" hidden="false" customHeight="false" outlineLevel="0" collapsed="false">
      <c r="A725" s="219"/>
      <c r="C725" s="222"/>
      <c r="N725" s="221"/>
    </row>
    <row r="726" customFormat="false" ht="14.25" hidden="false" customHeight="false" outlineLevel="0" collapsed="false">
      <c r="A726" s="219"/>
      <c r="C726" s="222"/>
      <c r="N726" s="221"/>
    </row>
    <row r="727" customFormat="false" ht="14.25" hidden="false" customHeight="false" outlineLevel="0" collapsed="false">
      <c r="A727" s="219"/>
      <c r="C727" s="222"/>
      <c r="N727" s="221"/>
    </row>
    <row r="728" customFormat="false" ht="14.25" hidden="false" customHeight="false" outlineLevel="0" collapsed="false">
      <c r="A728" s="219"/>
      <c r="C728" s="222"/>
      <c r="N728" s="221"/>
    </row>
    <row r="729" customFormat="false" ht="14.25" hidden="false" customHeight="false" outlineLevel="0" collapsed="false">
      <c r="A729" s="219"/>
      <c r="C729" s="222"/>
      <c r="N729" s="221"/>
    </row>
    <row r="730" customFormat="false" ht="14.25" hidden="false" customHeight="false" outlineLevel="0" collapsed="false">
      <c r="A730" s="219"/>
      <c r="C730" s="222"/>
      <c r="N730" s="221"/>
    </row>
    <row r="731" customFormat="false" ht="14.25" hidden="false" customHeight="false" outlineLevel="0" collapsed="false">
      <c r="A731" s="219"/>
      <c r="N731" s="221"/>
    </row>
    <row r="732" customFormat="false" ht="14.25" hidden="false" customHeight="false" outlineLevel="0" collapsed="false">
      <c r="A732" s="219"/>
      <c r="N732" s="221"/>
    </row>
    <row r="733" customFormat="false" ht="14.25" hidden="false" customHeight="false" outlineLevel="0" collapsed="false">
      <c r="A733" s="219"/>
      <c r="N733" s="221"/>
    </row>
    <row r="734" customFormat="false" ht="14.25" hidden="false" customHeight="false" outlineLevel="0" collapsed="false">
      <c r="A734" s="219"/>
      <c r="L734" s="225"/>
      <c r="N734" s="221"/>
    </row>
    <row r="735" customFormat="false" ht="14.25" hidden="false" customHeight="false" outlineLevel="0" collapsed="false">
      <c r="A735" s="219"/>
      <c r="L735" s="225"/>
      <c r="N735" s="221"/>
    </row>
    <row r="736" customFormat="false" ht="14.25" hidden="false" customHeight="false" outlineLevel="0" collapsed="false">
      <c r="A736" s="219"/>
      <c r="L736" s="225"/>
      <c r="N736" s="221"/>
    </row>
    <row r="737" customFormat="false" ht="14.25" hidden="false" customHeight="false" outlineLevel="0" collapsed="false">
      <c r="A737" s="219"/>
      <c r="L737" s="225"/>
      <c r="N737" s="221"/>
    </row>
    <row r="738" customFormat="false" ht="14.25" hidden="false" customHeight="false" outlineLevel="0" collapsed="false">
      <c r="A738" s="219"/>
      <c r="L738" s="225"/>
      <c r="N738" s="221"/>
    </row>
    <row r="739" customFormat="false" ht="14.25" hidden="false" customHeight="false" outlineLevel="0" collapsed="false">
      <c r="A739" s="219"/>
      <c r="L739" s="225"/>
      <c r="N739" s="221"/>
    </row>
    <row r="740" customFormat="false" ht="14.25" hidden="false" customHeight="false" outlineLevel="0" collapsed="false">
      <c r="A740" s="219"/>
      <c r="L740" s="225"/>
      <c r="N740" s="221"/>
    </row>
    <row r="741" customFormat="false" ht="14.25" hidden="false" customHeight="false" outlineLevel="0" collapsed="false">
      <c r="A741" s="219"/>
      <c r="L741" s="225"/>
      <c r="N741" s="221"/>
    </row>
    <row r="742" customFormat="false" ht="14.25" hidden="false" customHeight="false" outlineLevel="0" collapsed="false">
      <c r="A742" s="219"/>
      <c r="L742" s="225"/>
      <c r="N742" s="221"/>
    </row>
    <row r="743" customFormat="false" ht="14.25" hidden="false" customHeight="false" outlineLevel="0" collapsed="false">
      <c r="A743" s="219"/>
      <c r="L743" s="225"/>
      <c r="N743" s="221"/>
    </row>
    <row r="744" customFormat="false" ht="14.25" hidden="false" customHeight="false" outlineLevel="0" collapsed="false">
      <c r="A744" s="219"/>
      <c r="L744" s="225"/>
      <c r="N744" s="221"/>
    </row>
    <row r="745" customFormat="false" ht="14.25" hidden="false" customHeight="false" outlineLevel="0" collapsed="false">
      <c r="A745" s="219"/>
      <c r="N745" s="221"/>
    </row>
    <row r="746" customFormat="false" ht="15" hidden="false" customHeight="false" outlineLevel="0" collapsed="false">
      <c r="A746" s="219"/>
      <c r="C746" s="222"/>
      <c r="D746" s="223"/>
      <c r="L746" s="223"/>
      <c r="N746" s="221"/>
    </row>
    <row r="747" customFormat="false" ht="14.25" hidden="false" customHeight="false" outlineLevel="0" collapsed="false">
      <c r="A747" s="219"/>
      <c r="N747" s="221"/>
    </row>
    <row r="748" customFormat="false" ht="14.25" hidden="false" customHeight="false" outlineLevel="0" collapsed="false">
      <c r="A748" s="219"/>
      <c r="C748" s="222"/>
      <c r="N748" s="221"/>
    </row>
    <row r="749" customFormat="false" ht="14.25" hidden="false" customHeight="false" outlineLevel="0" collapsed="false">
      <c r="A749" s="219"/>
      <c r="C749" s="220"/>
      <c r="N749" s="221"/>
    </row>
    <row r="750" customFormat="false" ht="14.25" hidden="false" customHeight="false" outlineLevel="0" collapsed="false">
      <c r="A750" s="219"/>
      <c r="C750" s="220"/>
      <c r="N750" s="221"/>
    </row>
    <row r="751" customFormat="false" ht="14.25" hidden="false" customHeight="false" outlineLevel="0" collapsed="false">
      <c r="A751" s="219"/>
      <c r="C751" s="220"/>
      <c r="N751" s="221"/>
    </row>
    <row r="752" customFormat="false" ht="14.25" hidden="false" customHeight="false" outlineLevel="0" collapsed="false">
      <c r="A752" s="219"/>
      <c r="N752" s="221"/>
    </row>
    <row r="753" customFormat="false" ht="14.25" hidden="false" customHeight="false" outlineLevel="0" collapsed="false">
      <c r="A753" s="219"/>
      <c r="N753" s="221"/>
    </row>
    <row r="754" customFormat="false" ht="14.25" hidden="false" customHeight="false" outlineLevel="0" collapsed="false">
      <c r="A754" s="219"/>
      <c r="N754" s="221"/>
    </row>
    <row r="755" customFormat="false" ht="14.25" hidden="false" customHeight="false" outlineLevel="0" collapsed="false">
      <c r="A755" s="219"/>
      <c r="N755" s="221"/>
    </row>
    <row r="756" customFormat="false" ht="14.25" hidden="false" customHeight="false" outlineLevel="0" collapsed="false">
      <c r="A756" s="219"/>
      <c r="N756" s="221"/>
    </row>
    <row r="757" customFormat="false" ht="14.25" hidden="false" customHeight="false" outlineLevel="0" collapsed="false">
      <c r="A757" s="219"/>
      <c r="N757" s="221"/>
    </row>
    <row r="758" customFormat="false" ht="14.25" hidden="false" customHeight="false" outlineLevel="0" collapsed="false">
      <c r="A758" s="219"/>
      <c r="N758" s="221"/>
    </row>
    <row r="759" customFormat="false" ht="14.25" hidden="false" customHeight="false" outlineLevel="0" collapsed="false">
      <c r="A759" s="219"/>
      <c r="N759" s="221"/>
    </row>
    <row r="760" customFormat="false" ht="14.25" hidden="false" customHeight="false" outlineLevel="0" collapsed="false">
      <c r="A760" s="219"/>
      <c r="N760" s="221"/>
    </row>
    <row r="761" customFormat="false" ht="14.25" hidden="false" customHeight="false" outlineLevel="0" collapsed="false">
      <c r="A761" s="219"/>
      <c r="L761" s="225"/>
      <c r="N761" s="221"/>
    </row>
    <row r="762" customFormat="false" ht="14.25" hidden="false" customHeight="false" outlineLevel="0" collapsed="false">
      <c r="A762" s="219"/>
      <c r="L762" s="225"/>
      <c r="N762" s="221"/>
    </row>
    <row r="763" customFormat="false" ht="14.25" hidden="false" customHeight="false" outlineLevel="0" collapsed="false">
      <c r="A763" s="219"/>
      <c r="L763" s="225"/>
      <c r="N763" s="221"/>
    </row>
    <row r="764" customFormat="false" ht="14.25" hidden="false" customHeight="false" outlineLevel="0" collapsed="false">
      <c r="A764" s="219"/>
      <c r="L764" s="225"/>
      <c r="N764" s="221"/>
    </row>
    <row r="765" customFormat="false" ht="14.25" hidden="false" customHeight="false" outlineLevel="0" collapsed="false">
      <c r="A765" s="219"/>
      <c r="L765" s="225"/>
      <c r="N765" s="221"/>
    </row>
    <row r="766" customFormat="false" ht="14.25" hidden="false" customHeight="false" outlineLevel="0" collapsed="false">
      <c r="A766" s="219"/>
      <c r="L766" s="225"/>
      <c r="N766" s="221"/>
    </row>
    <row r="767" customFormat="false" ht="14.25" hidden="false" customHeight="false" outlineLevel="0" collapsed="false">
      <c r="A767" s="219"/>
      <c r="L767" s="225"/>
      <c r="N767" s="221"/>
    </row>
    <row r="768" customFormat="false" ht="14.25" hidden="false" customHeight="false" outlineLevel="0" collapsed="false">
      <c r="A768" s="219"/>
      <c r="L768" s="225"/>
      <c r="N768" s="221"/>
    </row>
    <row r="769" customFormat="false" ht="14.25" hidden="false" customHeight="false" outlineLevel="0" collapsed="false">
      <c r="A769" s="219"/>
      <c r="L769" s="225"/>
      <c r="N769" s="221"/>
    </row>
    <row r="770" customFormat="false" ht="14.25" hidden="false" customHeight="false" outlineLevel="0" collapsed="false">
      <c r="A770" s="219"/>
      <c r="L770" s="225"/>
      <c r="N770" s="221"/>
    </row>
    <row r="771" customFormat="false" ht="14.25" hidden="false" customHeight="false" outlineLevel="0" collapsed="false">
      <c r="A771" s="219"/>
      <c r="N771" s="221"/>
    </row>
    <row r="772" customFormat="false" ht="14.25" hidden="false" customHeight="false" outlineLevel="0" collapsed="false">
      <c r="A772" s="219"/>
      <c r="L772" s="224"/>
      <c r="N772" s="221"/>
    </row>
    <row r="773" customFormat="false" ht="14.25" hidden="false" customHeight="false" outlineLevel="0" collapsed="false">
      <c r="A773" s="219"/>
      <c r="L773" s="224"/>
      <c r="N773" s="221"/>
    </row>
    <row r="774" customFormat="false" ht="14.25" hidden="false" customHeight="false" outlineLevel="0" collapsed="false">
      <c r="A774" s="219"/>
      <c r="L774" s="224"/>
      <c r="N774" s="221"/>
    </row>
    <row r="775" customFormat="false" ht="14.25" hidden="false" customHeight="false" outlineLevel="0" collapsed="false">
      <c r="A775" s="219"/>
      <c r="N775" s="221"/>
    </row>
    <row r="776" customFormat="false" ht="14.25" hidden="false" customHeight="false" outlineLevel="0" collapsed="false">
      <c r="A776" s="219"/>
      <c r="L776" s="224"/>
      <c r="N776" s="221"/>
    </row>
    <row r="777" customFormat="false" ht="14.25" hidden="false" customHeight="false" outlineLevel="0" collapsed="false">
      <c r="A777" s="219"/>
      <c r="L777" s="224"/>
      <c r="N777" s="221"/>
    </row>
    <row r="778" customFormat="false" ht="14.25" hidden="false" customHeight="false" outlineLevel="0" collapsed="false">
      <c r="A778" s="219"/>
      <c r="N778" s="221"/>
    </row>
    <row r="779" customFormat="false" ht="14.25" hidden="false" customHeight="false" outlineLevel="0" collapsed="false">
      <c r="A779" s="219"/>
      <c r="C779" s="222"/>
      <c r="N779" s="221"/>
    </row>
    <row r="780" customFormat="false" ht="14.25" hidden="false" customHeight="false" outlineLevel="0" collapsed="false">
      <c r="A780" s="219"/>
      <c r="C780" s="222"/>
      <c r="N780" s="221"/>
    </row>
    <row r="781" customFormat="false" ht="14.25" hidden="false" customHeight="false" outlineLevel="0" collapsed="false">
      <c r="A781" s="219"/>
      <c r="C781" s="222"/>
      <c r="N781" s="221"/>
    </row>
    <row r="782" customFormat="false" ht="14.25" hidden="false" customHeight="false" outlineLevel="0" collapsed="false">
      <c r="A782" s="219"/>
      <c r="C782" s="222"/>
      <c r="N782" s="221"/>
    </row>
    <row r="783" customFormat="false" ht="14.25" hidden="false" customHeight="false" outlineLevel="0" collapsed="false">
      <c r="A783" s="219"/>
      <c r="C783" s="222"/>
      <c r="N783" s="221"/>
    </row>
    <row r="784" customFormat="false" ht="14.25" hidden="false" customHeight="false" outlineLevel="0" collapsed="false">
      <c r="A784" s="219"/>
      <c r="C784" s="222"/>
      <c r="N784" s="221"/>
    </row>
    <row r="785" customFormat="false" ht="14.25" hidden="false" customHeight="false" outlineLevel="0" collapsed="false">
      <c r="A785" s="219"/>
      <c r="C785" s="222"/>
      <c r="N785" s="221"/>
    </row>
    <row r="786" customFormat="false" ht="14.25" hidden="false" customHeight="false" outlineLevel="0" collapsed="false">
      <c r="A786" s="219"/>
      <c r="C786" s="222"/>
      <c r="N786" s="221"/>
    </row>
    <row r="787" customFormat="false" ht="14.25" hidden="false" customHeight="false" outlineLevel="0" collapsed="false">
      <c r="A787" s="219"/>
      <c r="C787" s="222"/>
      <c r="N787" s="221"/>
    </row>
    <row r="788" customFormat="false" ht="14.25" hidden="false" customHeight="false" outlineLevel="0" collapsed="false">
      <c r="A788" s="219"/>
      <c r="C788" s="222"/>
      <c r="N788" s="221"/>
    </row>
    <row r="789" customFormat="false" ht="14.25" hidden="false" customHeight="false" outlineLevel="0" collapsed="false">
      <c r="A789" s="219"/>
      <c r="C789" s="222"/>
      <c r="N789" s="221"/>
    </row>
    <row r="790" customFormat="false" ht="15" hidden="false" customHeight="false" outlineLevel="0" collapsed="false">
      <c r="A790" s="219"/>
      <c r="C790" s="222"/>
      <c r="D790" s="223"/>
      <c r="F790" s="223"/>
      <c r="L790" s="223"/>
      <c r="N790" s="221"/>
    </row>
    <row r="791" customFormat="false" ht="14.25" hidden="false" customHeight="false" outlineLevel="0" collapsed="false">
      <c r="A791" s="219"/>
      <c r="N791" s="221"/>
    </row>
    <row r="792" customFormat="false" ht="14.25" hidden="false" customHeight="false" outlineLevel="0" collapsed="false">
      <c r="A792" s="219"/>
      <c r="N792" s="221"/>
    </row>
    <row r="793" customFormat="false" ht="14.25" hidden="false" customHeight="false" outlineLevel="0" collapsed="false">
      <c r="A793" s="219"/>
      <c r="N793" s="221"/>
    </row>
    <row r="794" customFormat="false" ht="14.25" hidden="false" customHeight="false" outlineLevel="0" collapsed="false">
      <c r="A794" s="219"/>
      <c r="N794" s="221"/>
    </row>
    <row r="795" customFormat="false" ht="14.25" hidden="false" customHeight="false" outlineLevel="0" collapsed="false">
      <c r="A795" s="219"/>
      <c r="N795" s="221"/>
    </row>
    <row r="796" customFormat="false" ht="14.25" hidden="false" customHeight="false" outlineLevel="0" collapsed="false">
      <c r="A796" s="219"/>
      <c r="N796" s="221"/>
    </row>
    <row r="797" customFormat="false" ht="14.25" hidden="false" customHeight="false" outlineLevel="0" collapsed="false">
      <c r="A797" s="219"/>
      <c r="N797" s="221"/>
    </row>
    <row r="798" customFormat="false" ht="14.25" hidden="false" customHeight="false" outlineLevel="0" collapsed="false">
      <c r="A798" s="219"/>
      <c r="N798" s="221"/>
    </row>
    <row r="799" customFormat="false" ht="14.25" hidden="false" customHeight="false" outlineLevel="0" collapsed="false">
      <c r="A799" s="219"/>
      <c r="N799" s="221"/>
    </row>
    <row r="800" customFormat="false" ht="14.25" hidden="false" customHeight="false" outlineLevel="0" collapsed="false">
      <c r="A800" s="219"/>
      <c r="N800" s="221"/>
    </row>
    <row r="801" customFormat="false" ht="14.25" hidden="false" customHeight="false" outlineLevel="0" collapsed="false">
      <c r="A801" s="219"/>
      <c r="N801" s="221"/>
    </row>
    <row r="802" customFormat="false" ht="14.25" hidden="false" customHeight="false" outlineLevel="0" collapsed="false">
      <c r="A802" s="219"/>
      <c r="N802" s="221"/>
    </row>
    <row r="803" customFormat="false" ht="14.25" hidden="false" customHeight="false" outlineLevel="0" collapsed="false">
      <c r="A803" s="219"/>
      <c r="N803" s="221"/>
    </row>
    <row r="804" customFormat="false" ht="14.25" hidden="false" customHeight="false" outlineLevel="0" collapsed="false">
      <c r="A804" s="219"/>
      <c r="N804" s="221"/>
    </row>
    <row r="805" customFormat="false" ht="14.25" hidden="false" customHeight="false" outlineLevel="0" collapsed="false">
      <c r="A805" s="219"/>
      <c r="L805" s="225"/>
      <c r="N805" s="221"/>
    </row>
    <row r="806" customFormat="false" ht="14.25" hidden="false" customHeight="false" outlineLevel="0" collapsed="false">
      <c r="A806" s="219"/>
      <c r="L806" s="225"/>
      <c r="N806" s="221"/>
    </row>
    <row r="807" customFormat="false" ht="14.25" hidden="false" customHeight="false" outlineLevel="0" collapsed="false">
      <c r="A807" s="219"/>
      <c r="L807" s="225"/>
      <c r="N807" s="221"/>
    </row>
    <row r="808" customFormat="false" ht="14.25" hidden="false" customHeight="false" outlineLevel="0" collapsed="false">
      <c r="A808" s="219"/>
      <c r="N808" s="221"/>
    </row>
    <row r="809" customFormat="false" ht="14.25" hidden="false" customHeight="false" outlineLevel="0" collapsed="false">
      <c r="A809" s="219"/>
      <c r="N809" s="221"/>
    </row>
    <row r="810" customFormat="false" ht="14.25" hidden="false" customHeight="false" outlineLevel="0" collapsed="false">
      <c r="A810" s="219"/>
      <c r="N810" s="221"/>
    </row>
    <row r="811" customFormat="false" ht="14.25" hidden="false" customHeight="false" outlineLevel="0" collapsed="false">
      <c r="A811" s="219"/>
      <c r="N811" s="221"/>
    </row>
    <row r="812" customFormat="false" ht="14.25" hidden="false" customHeight="false" outlineLevel="0" collapsed="false">
      <c r="A812" s="219"/>
      <c r="N812" s="221"/>
    </row>
    <row r="813" customFormat="false" ht="14.25" hidden="false" customHeight="false" outlineLevel="0" collapsed="false">
      <c r="A813" s="219"/>
      <c r="N813" s="221"/>
    </row>
    <row r="814" customFormat="false" ht="14.25" hidden="false" customHeight="false" outlineLevel="0" collapsed="false">
      <c r="A814" s="219"/>
      <c r="C814" s="222"/>
      <c r="N814" s="221"/>
    </row>
    <row r="815" customFormat="false" ht="14.25" hidden="false" customHeight="false" outlineLevel="0" collapsed="false">
      <c r="A815" s="219"/>
      <c r="C815" s="222"/>
      <c r="N815" s="221"/>
    </row>
    <row r="816" customFormat="false" ht="14.25" hidden="false" customHeight="false" outlineLevel="0" collapsed="false">
      <c r="A816" s="219"/>
      <c r="C816" s="222"/>
      <c r="N816" s="221"/>
    </row>
    <row r="817" customFormat="false" ht="14.25" hidden="false" customHeight="false" outlineLevel="0" collapsed="false">
      <c r="A817" s="219"/>
      <c r="C817" s="222"/>
      <c r="N817" s="221"/>
    </row>
    <row r="818" customFormat="false" ht="14.25" hidden="false" customHeight="false" outlineLevel="0" collapsed="false">
      <c r="A818" s="219"/>
      <c r="C818" s="222"/>
      <c r="N818" s="221"/>
    </row>
    <row r="819" customFormat="false" ht="14.25" hidden="false" customHeight="false" outlineLevel="0" collapsed="false">
      <c r="A819" s="219"/>
      <c r="C819" s="222"/>
      <c r="N819" s="221"/>
    </row>
    <row r="820" customFormat="false" ht="14.25" hidden="false" customHeight="false" outlineLevel="0" collapsed="false">
      <c r="A820" s="219"/>
      <c r="C820" s="222"/>
      <c r="N820" s="221"/>
    </row>
    <row r="821" customFormat="false" ht="14.25" hidden="false" customHeight="false" outlineLevel="0" collapsed="false">
      <c r="A821" s="219"/>
      <c r="C821" s="222"/>
      <c r="N821" s="221"/>
    </row>
    <row r="822" customFormat="false" ht="14.25" hidden="false" customHeight="false" outlineLevel="0" collapsed="false">
      <c r="A822" s="219"/>
      <c r="C822" s="222"/>
      <c r="N822" s="221"/>
    </row>
    <row r="823" customFormat="false" ht="14.25" hidden="false" customHeight="false" outlineLevel="0" collapsed="false">
      <c r="A823" s="219"/>
      <c r="C823" s="222"/>
      <c r="N823" s="221"/>
    </row>
    <row r="824" customFormat="false" ht="14.25" hidden="false" customHeight="false" outlineLevel="0" collapsed="false">
      <c r="A824" s="219"/>
      <c r="C824" s="222"/>
      <c r="N824" s="221"/>
    </row>
    <row r="825" customFormat="false" ht="14.25" hidden="false" customHeight="false" outlineLevel="0" collapsed="false">
      <c r="A825" s="219"/>
      <c r="C825" s="222"/>
      <c r="N825" s="221"/>
    </row>
    <row r="826" customFormat="false" ht="14.25" hidden="false" customHeight="false" outlineLevel="0" collapsed="false">
      <c r="A826" s="219"/>
      <c r="C826" s="222"/>
      <c r="N826" s="221"/>
    </row>
    <row r="827" customFormat="false" ht="14.25" hidden="false" customHeight="false" outlineLevel="0" collapsed="false">
      <c r="A827" s="219"/>
      <c r="L827" s="225"/>
      <c r="N827" s="221"/>
    </row>
    <row r="828" customFormat="false" ht="14.25" hidden="false" customHeight="false" outlineLevel="0" collapsed="false">
      <c r="A828" s="219"/>
      <c r="L828" s="225"/>
      <c r="N828" s="221"/>
    </row>
    <row r="829" customFormat="false" ht="14.25" hidden="false" customHeight="false" outlineLevel="0" collapsed="false">
      <c r="A829" s="219"/>
      <c r="L829" s="225"/>
      <c r="N829" s="221"/>
    </row>
    <row r="830" customFormat="false" ht="14.25" hidden="false" customHeight="false" outlineLevel="0" collapsed="false">
      <c r="A830" s="219"/>
      <c r="L830" s="225"/>
      <c r="N830" s="221"/>
    </row>
    <row r="831" customFormat="false" ht="14.25" hidden="false" customHeight="false" outlineLevel="0" collapsed="false">
      <c r="A831" s="219"/>
      <c r="L831" s="225"/>
      <c r="N831" s="221"/>
    </row>
    <row r="832" customFormat="false" ht="14.25" hidden="false" customHeight="false" outlineLevel="0" collapsed="false">
      <c r="A832" s="219"/>
      <c r="L832" s="225"/>
      <c r="N832" s="221"/>
    </row>
    <row r="833" customFormat="false" ht="14.25" hidden="false" customHeight="false" outlineLevel="0" collapsed="false">
      <c r="A833" s="219"/>
      <c r="L833" s="225"/>
      <c r="N833" s="221"/>
    </row>
    <row r="834" customFormat="false" ht="14.25" hidden="false" customHeight="false" outlineLevel="0" collapsed="false">
      <c r="A834" s="219"/>
      <c r="C834" s="222"/>
      <c r="N834" s="221"/>
    </row>
    <row r="835" customFormat="false" ht="14.25" hidden="false" customHeight="false" outlineLevel="0" collapsed="false">
      <c r="A835" s="219"/>
      <c r="C835" s="222"/>
      <c r="N835" s="221"/>
    </row>
    <row r="836" customFormat="false" ht="14.25" hidden="false" customHeight="false" outlineLevel="0" collapsed="false">
      <c r="A836" s="219"/>
      <c r="N836" s="221"/>
    </row>
    <row r="837" customFormat="false" ht="14.25" hidden="false" customHeight="false" outlineLevel="0" collapsed="false">
      <c r="A837" s="219"/>
      <c r="N837" s="221"/>
    </row>
    <row r="838" customFormat="false" ht="14.25" hidden="false" customHeight="false" outlineLevel="0" collapsed="false">
      <c r="A838" s="219"/>
      <c r="N838" s="221"/>
    </row>
    <row r="839" customFormat="false" ht="14.25" hidden="false" customHeight="false" outlineLevel="0" collapsed="false">
      <c r="A839" s="219"/>
      <c r="N839" s="221"/>
    </row>
    <row r="840" customFormat="false" ht="14.25" hidden="false" customHeight="false" outlineLevel="0" collapsed="false">
      <c r="A840" s="219"/>
      <c r="C840" s="222"/>
      <c r="N840" s="221"/>
    </row>
    <row r="841" customFormat="false" ht="14.25" hidden="false" customHeight="false" outlineLevel="0" collapsed="false">
      <c r="A841" s="219"/>
      <c r="C841" s="222"/>
      <c r="N841" s="221"/>
    </row>
    <row r="842" customFormat="false" ht="14.25" hidden="false" customHeight="false" outlineLevel="0" collapsed="false">
      <c r="A842" s="219"/>
      <c r="F842" s="226"/>
      <c r="N842" s="221"/>
    </row>
    <row r="843" customFormat="false" ht="14.25" hidden="false" customHeight="false" outlineLevel="0" collapsed="false">
      <c r="A843" s="219"/>
      <c r="C843" s="220"/>
      <c r="N843" s="221"/>
    </row>
    <row r="844" customFormat="false" ht="14.25" hidden="false" customHeight="false" outlineLevel="0" collapsed="false">
      <c r="A844" s="219"/>
      <c r="C844" s="222"/>
      <c r="N844" s="221"/>
    </row>
    <row r="845" customFormat="false" ht="14.25" hidden="false" customHeight="false" outlineLevel="0" collapsed="false">
      <c r="A845" s="219"/>
      <c r="C845" s="222"/>
      <c r="N845" s="221"/>
    </row>
    <row r="846" customFormat="false" ht="14.25" hidden="false" customHeight="false" outlineLevel="0" collapsed="false">
      <c r="A846" s="219"/>
      <c r="C846" s="222"/>
      <c r="N846" s="221"/>
    </row>
    <row r="847" customFormat="false" ht="14.25" hidden="false" customHeight="false" outlineLevel="0" collapsed="false">
      <c r="A847" s="219"/>
      <c r="C847" s="222"/>
      <c r="N847" s="221"/>
    </row>
    <row r="848" customFormat="false" ht="14.25" hidden="false" customHeight="false" outlineLevel="0" collapsed="false">
      <c r="A848" s="219"/>
      <c r="C848" s="222"/>
      <c r="N848" s="221"/>
    </row>
    <row r="849" customFormat="false" ht="14.25" hidden="false" customHeight="false" outlineLevel="0" collapsed="false">
      <c r="A849" s="219"/>
      <c r="C849" s="222"/>
      <c r="N849" s="221"/>
    </row>
    <row r="850" customFormat="false" ht="14.25" hidden="false" customHeight="false" outlineLevel="0" collapsed="false">
      <c r="A850" s="219"/>
      <c r="C850" s="222"/>
      <c r="N850" s="221"/>
    </row>
    <row r="851" customFormat="false" ht="15" hidden="false" customHeight="false" outlineLevel="0" collapsed="false">
      <c r="A851" s="219"/>
      <c r="C851" s="222"/>
      <c r="D851" s="223"/>
      <c r="F851" s="223"/>
      <c r="L851" s="223"/>
      <c r="N851" s="221"/>
    </row>
    <row r="852" customFormat="false" ht="14.25" hidden="false" customHeight="false" outlineLevel="0" collapsed="false">
      <c r="A852" s="219"/>
      <c r="N852" s="221"/>
    </row>
    <row r="853" customFormat="false" ht="14.25" hidden="false" customHeight="false" outlineLevel="0" collapsed="false">
      <c r="A853" s="219"/>
      <c r="N853" s="221"/>
    </row>
    <row r="854" customFormat="false" ht="14.25" hidden="false" customHeight="false" outlineLevel="0" collapsed="false">
      <c r="A854" s="219"/>
      <c r="N854" s="221"/>
    </row>
    <row r="855" customFormat="false" ht="14.25" hidden="false" customHeight="false" outlineLevel="0" collapsed="false">
      <c r="A855" s="219"/>
      <c r="L855" s="225"/>
      <c r="N855" s="221"/>
    </row>
    <row r="856" customFormat="false" ht="14.25" hidden="false" customHeight="false" outlineLevel="0" collapsed="false">
      <c r="A856" s="219"/>
      <c r="L856" s="225"/>
      <c r="N856" s="221"/>
    </row>
    <row r="857" customFormat="false" ht="14.25" hidden="false" customHeight="false" outlineLevel="0" collapsed="false">
      <c r="A857" s="219"/>
      <c r="L857" s="225"/>
      <c r="N857" s="221"/>
    </row>
    <row r="858" customFormat="false" ht="14.25" hidden="false" customHeight="false" outlineLevel="0" collapsed="false">
      <c r="A858" s="219"/>
      <c r="L858" s="225"/>
      <c r="N858" s="221"/>
    </row>
    <row r="859" customFormat="false" ht="14.25" hidden="false" customHeight="false" outlineLevel="0" collapsed="false">
      <c r="A859" s="219"/>
      <c r="L859" s="225"/>
      <c r="N859" s="221"/>
    </row>
    <row r="860" customFormat="false" ht="14.25" hidden="false" customHeight="false" outlineLevel="0" collapsed="false">
      <c r="A860" s="219"/>
      <c r="L860" s="225"/>
      <c r="N860" s="221"/>
    </row>
    <row r="861" customFormat="false" ht="14.25" hidden="false" customHeight="false" outlineLevel="0" collapsed="false">
      <c r="A861" s="219"/>
      <c r="L861" s="225"/>
      <c r="N861" s="221"/>
    </row>
    <row r="862" customFormat="false" ht="14.25" hidden="false" customHeight="false" outlineLevel="0" collapsed="false">
      <c r="A862" s="219"/>
      <c r="L862" s="225"/>
      <c r="N862" s="221"/>
    </row>
    <row r="863" customFormat="false" ht="14.25" hidden="false" customHeight="false" outlineLevel="0" collapsed="false">
      <c r="A863" s="219"/>
      <c r="L863" s="225"/>
      <c r="N863" s="221"/>
    </row>
    <row r="864" customFormat="false" ht="14.25" hidden="false" customHeight="false" outlineLevel="0" collapsed="false">
      <c r="A864" s="219"/>
      <c r="L864" s="225"/>
      <c r="N864" s="221"/>
    </row>
    <row r="865" customFormat="false" ht="14.25" hidden="false" customHeight="false" outlineLevel="0" collapsed="false">
      <c r="A865" s="219"/>
      <c r="L865" s="225"/>
      <c r="N865" s="221"/>
    </row>
    <row r="866" customFormat="false" ht="14.25" hidden="false" customHeight="false" outlineLevel="0" collapsed="false">
      <c r="A866" s="219"/>
      <c r="N866" s="221"/>
    </row>
    <row r="867" customFormat="false" ht="14.25" hidden="false" customHeight="false" outlineLevel="0" collapsed="false">
      <c r="A867" s="219"/>
      <c r="N867" s="221"/>
    </row>
    <row r="868" customFormat="false" ht="14.25" hidden="false" customHeight="false" outlineLevel="0" collapsed="false">
      <c r="A868" s="219"/>
      <c r="C868" s="222"/>
      <c r="N868" s="221"/>
    </row>
    <row r="869" customFormat="false" ht="14.25" hidden="false" customHeight="false" outlineLevel="0" collapsed="false">
      <c r="A869" s="219"/>
      <c r="C869" s="222"/>
      <c r="N869" s="221"/>
    </row>
    <row r="870" customFormat="false" ht="14.25" hidden="false" customHeight="false" outlineLevel="0" collapsed="false">
      <c r="A870" s="219"/>
      <c r="C870" s="222"/>
      <c r="N870" s="221"/>
    </row>
    <row r="871" customFormat="false" ht="14.25" hidden="false" customHeight="false" outlineLevel="0" collapsed="false">
      <c r="A871" s="219"/>
      <c r="C871" s="222"/>
      <c r="N871" s="221"/>
    </row>
    <row r="872" customFormat="false" ht="14.25" hidden="false" customHeight="false" outlineLevel="0" collapsed="false">
      <c r="A872" s="219"/>
      <c r="N872" s="221"/>
    </row>
    <row r="873" customFormat="false" ht="14.25" hidden="false" customHeight="false" outlineLevel="0" collapsed="false">
      <c r="A873" s="219"/>
      <c r="C873" s="222"/>
      <c r="N873" s="221"/>
    </row>
    <row r="874" customFormat="false" ht="14.25" hidden="false" customHeight="false" outlineLevel="0" collapsed="false">
      <c r="A874" s="219"/>
      <c r="C874" s="222"/>
      <c r="N874" s="221"/>
    </row>
    <row r="875" customFormat="false" ht="14.25" hidden="false" customHeight="false" outlineLevel="0" collapsed="false">
      <c r="A875" s="219"/>
      <c r="C875" s="220"/>
      <c r="N875" s="221"/>
    </row>
    <row r="876" customFormat="false" ht="15" hidden="false" customHeight="false" outlineLevel="0" collapsed="false">
      <c r="A876" s="219"/>
      <c r="C876" s="222"/>
      <c r="D876" s="223"/>
      <c r="L876" s="223"/>
      <c r="N876" s="221"/>
    </row>
    <row r="877" customFormat="false" ht="14.25" hidden="false" customHeight="false" outlineLevel="0" collapsed="false">
      <c r="A877" s="219"/>
      <c r="C877" s="222"/>
      <c r="N877" s="221"/>
    </row>
    <row r="878" customFormat="false" ht="14.25" hidden="false" customHeight="false" outlineLevel="0" collapsed="false">
      <c r="A878" s="219"/>
      <c r="C878" s="222"/>
      <c r="N878" s="221"/>
    </row>
    <row r="879" customFormat="false" ht="14.25" hidden="false" customHeight="false" outlineLevel="0" collapsed="false">
      <c r="A879" s="219"/>
      <c r="C879" s="222"/>
      <c r="N879" s="221"/>
    </row>
    <row r="880" customFormat="false" ht="14.25" hidden="false" customHeight="false" outlineLevel="0" collapsed="false">
      <c r="A880" s="219"/>
      <c r="C880" s="222"/>
      <c r="N880" s="221"/>
    </row>
    <row r="881" customFormat="false" ht="14.25" hidden="false" customHeight="false" outlineLevel="0" collapsed="false">
      <c r="A881" s="219"/>
      <c r="C881" s="222"/>
      <c r="N881" s="221"/>
    </row>
    <row r="882" customFormat="false" ht="14.25" hidden="false" customHeight="false" outlineLevel="0" collapsed="false">
      <c r="A882" s="219"/>
      <c r="C882" s="222"/>
      <c r="N882" s="221"/>
    </row>
    <row r="883" customFormat="false" ht="14.25" hidden="false" customHeight="false" outlineLevel="0" collapsed="false">
      <c r="A883" s="219"/>
      <c r="C883" s="222"/>
      <c r="N883" s="221"/>
    </row>
    <row r="884" customFormat="false" ht="14.25" hidden="false" customHeight="false" outlineLevel="0" collapsed="false">
      <c r="A884" s="219"/>
      <c r="C884" s="222"/>
      <c r="N884" s="221"/>
    </row>
    <row r="885" customFormat="false" ht="14.25" hidden="false" customHeight="false" outlineLevel="0" collapsed="false">
      <c r="A885" s="219"/>
      <c r="C885" s="222"/>
      <c r="N885" s="221"/>
    </row>
    <row r="886" customFormat="false" ht="14.25" hidden="false" customHeight="false" outlineLevel="0" collapsed="false">
      <c r="A886" s="219"/>
      <c r="C886" s="222"/>
      <c r="N886" s="221"/>
    </row>
    <row r="887" customFormat="false" ht="15" hidden="false" customHeight="false" outlineLevel="0" collapsed="false">
      <c r="A887" s="219"/>
      <c r="C887" s="222"/>
      <c r="D887" s="223"/>
      <c r="L887" s="223"/>
      <c r="N887" s="221"/>
    </row>
    <row r="888" customFormat="false" ht="14.25" hidden="false" customHeight="false" outlineLevel="0" collapsed="false">
      <c r="A888" s="219"/>
      <c r="N888" s="221"/>
    </row>
    <row r="889" customFormat="false" ht="14.25" hidden="false" customHeight="false" outlineLevel="0" collapsed="false">
      <c r="A889" s="219"/>
      <c r="M889" s="224"/>
      <c r="N889" s="221"/>
    </row>
    <row r="890" customFormat="false" ht="14.25" hidden="false" customHeight="false" outlineLevel="0" collapsed="false">
      <c r="A890" s="219"/>
      <c r="C890" s="222"/>
      <c r="N890" s="221"/>
    </row>
    <row r="891" customFormat="false" ht="14.25" hidden="false" customHeight="false" outlineLevel="0" collapsed="false">
      <c r="A891" s="219"/>
      <c r="C891" s="222"/>
      <c r="N891" s="221"/>
    </row>
    <row r="892" customFormat="false" ht="14.25" hidden="false" customHeight="false" outlineLevel="0" collapsed="false">
      <c r="A892" s="219"/>
      <c r="C892" s="222"/>
      <c r="N892" s="221"/>
    </row>
    <row r="893" customFormat="false" ht="14.25" hidden="false" customHeight="false" outlineLevel="0" collapsed="false">
      <c r="A893" s="219"/>
      <c r="C893" s="222"/>
      <c r="N893" s="221"/>
    </row>
    <row r="894" customFormat="false" ht="14.25" hidden="false" customHeight="false" outlineLevel="0" collapsed="false">
      <c r="A894" s="219"/>
      <c r="C894" s="222"/>
      <c r="N894" s="221"/>
    </row>
    <row r="895" customFormat="false" ht="14.25" hidden="false" customHeight="false" outlineLevel="0" collapsed="false">
      <c r="A895" s="219"/>
      <c r="C895" s="222"/>
      <c r="N895" s="221"/>
    </row>
    <row r="896" customFormat="false" ht="14.25" hidden="false" customHeight="false" outlineLevel="0" collapsed="false">
      <c r="A896" s="219"/>
      <c r="C896" s="222"/>
      <c r="N896" s="221"/>
    </row>
    <row r="897" customFormat="false" ht="14.25" hidden="false" customHeight="false" outlineLevel="0" collapsed="false">
      <c r="A897" s="219"/>
      <c r="C897" s="220"/>
      <c r="N897" s="221"/>
    </row>
    <row r="898" customFormat="false" ht="14.25" hidden="false" customHeight="false" outlineLevel="0" collapsed="false">
      <c r="A898" s="219"/>
      <c r="N898" s="221"/>
    </row>
    <row r="899" customFormat="false" ht="14.25" hidden="false" customHeight="false" outlineLevel="0" collapsed="false">
      <c r="A899" s="219"/>
      <c r="L899" s="225"/>
      <c r="N899" s="221"/>
    </row>
    <row r="900" customFormat="false" ht="14.25" hidden="false" customHeight="false" outlineLevel="0" collapsed="false">
      <c r="A900" s="219"/>
      <c r="N900" s="221"/>
    </row>
    <row r="901" customFormat="false" ht="14.25" hidden="false" customHeight="false" outlineLevel="0" collapsed="false">
      <c r="A901" s="219"/>
      <c r="N901" s="221"/>
    </row>
    <row r="902" customFormat="false" ht="14.25" hidden="false" customHeight="false" outlineLevel="0" collapsed="false">
      <c r="A902" s="219"/>
      <c r="N902" s="221"/>
    </row>
    <row r="903" customFormat="false" ht="14.25" hidden="false" customHeight="false" outlineLevel="0" collapsed="false">
      <c r="A903" s="219"/>
      <c r="N903" s="221"/>
    </row>
    <row r="904" customFormat="false" ht="14.25" hidden="false" customHeight="false" outlineLevel="0" collapsed="false">
      <c r="A904" s="219"/>
      <c r="N904" s="221"/>
    </row>
    <row r="905" customFormat="false" ht="14.25" hidden="false" customHeight="false" outlineLevel="0" collapsed="false">
      <c r="A905" s="219"/>
      <c r="N905" s="221"/>
    </row>
    <row r="906" customFormat="false" ht="14.25" hidden="false" customHeight="false" outlineLevel="0" collapsed="false">
      <c r="A906" s="219"/>
      <c r="N906" s="221"/>
    </row>
    <row r="907" customFormat="false" ht="15" hidden="false" customHeight="false" outlineLevel="0" collapsed="false">
      <c r="A907" s="219"/>
      <c r="C907" s="222"/>
      <c r="D907" s="223"/>
      <c r="F907" s="223"/>
      <c r="L907" s="223"/>
      <c r="N907" s="221"/>
    </row>
    <row r="908" customFormat="false" ht="14.25" hidden="false" customHeight="false" outlineLevel="0" collapsed="false">
      <c r="A908" s="219"/>
      <c r="C908" s="222"/>
      <c r="N908" s="221"/>
    </row>
    <row r="909" customFormat="false" ht="14.25" hidden="false" customHeight="false" outlineLevel="0" collapsed="false">
      <c r="A909" s="219"/>
      <c r="C909" s="222"/>
      <c r="N909" s="221"/>
    </row>
    <row r="910" customFormat="false" ht="14.25" hidden="false" customHeight="false" outlineLevel="0" collapsed="false">
      <c r="A910" s="219"/>
      <c r="C910" s="222"/>
      <c r="N910" s="221"/>
    </row>
    <row r="911" customFormat="false" ht="14.25" hidden="false" customHeight="false" outlineLevel="0" collapsed="false">
      <c r="A911" s="219"/>
      <c r="C911" s="222"/>
      <c r="N911" s="221"/>
    </row>
    <row r="912" customFormat="false" ht="14.25" hidden="false" customHeight="false" outlineLevel="0" collapsed="false">
      <c r="A912" s="219"/>
      <c r="C912" s="222"/>
      <c r="N912" s="221"/>
    </row>
    <row r="913" customFormat="false" ht="14.25" hidden="false" customHeight="false" outlineLevel="0" collapsed="false">
      <c r="A913" s="219"/>
      <c r="C913" s="222"/>
      <c r="N913" s="221"/>
    </row>
    <row r="914" customFormat="false" ht="14.25" hidden="false" customHeight="false" outlineLevel="0" collapsed="false">
      <c r="A914" s="219"/>
      <c r="C914" s="222"/>
      <c r="N914" s="221"/>
    </row>
    <row r="915" customFormat="false" ht="14.25" hidden="false" customHeight="false" outlineLevel="0" collapsed="false">
      <c r="A915" s="219"/>
      <c r="C915" s="222"/>
      <c r="N915" s="221"/>
    </row>
    <row r="916" customFormat="false" ht="14.25" hidden="false" customHeight="false" outlineLevel="0" collapsed="false">
      <c r="A916" s="219"/>
      <c r="C916" s="222"/>
      <c r="N916" s="221"/>
    </row>
    <row r="917" customFormat="false" ht="14.25" hidden="false" customHeight="false" outlineLevel="0" collapsed="false">
      <c r="A917" s="219"/>
      <c r="C917" s="222"/>
      <c r="N917" s="221"/>
    </row>
    <row r="918" customFormat="false" ht="14.25" hidden="false" customHeight="false" outlineLevel="0" collapsed="false">
      <c r="A918" s="219"/>
      <c r="N918" s="221"/>
    </row>
    <row r="919" customFormat="false" ht="14.25" hidden="false" customHeight="false" outlineLevel="0" collapsed="false">
      <c r="A919" s="219"/>
      <c r="N919" s="221"/>
    </row>
    <row r="920" customFormat="false" ht="14.25" hidden="false" customHeight="false" outlineLevel="0" collapsed="false">
      <c r="A920" s="219"/>
      <c r="N920" s="221"/>
    </row>
    <row r="921" customFormat="false" ht="14.25" hidden="false" customHeight="false" outlineLevel="0" collapsed="false">
      <c r="A921" s="219"/>
      <c r="N921" s="221"/>
    </row>
    <row r="922" customFormat="false" ht="14.25" hidden="false" customHeight="false" outlineLevel="0" collapsed="false">
      <c r="A922" s="219"/>
      <c r="N922" s="221"/>
    </row>
    <row r="923" customFormat="false" ht="14.25" hidden="false" customHeight="false" outlineLevel="0" collapsed="false">
      <c r="A923" s="219"/>
      <c r="N923" s="221"/>
    </row>
    <row r="924" customFormat="false" ht="14.25" hidden="false" customHeight="false" outlineLevel="0" collapsed="false">
      <c r="A924" s="219"/>
      <c r="N924" s="221"/>
    </row>
    <row r="925" customFormat="false" ht="14.25" hidden="false" customHeight="false" outlineLevel="0" collapsed="false">
      <c r="A925" s="219"/>
      <c r="N925" s="221"/>
    </row>
    <row r="926" customFormat="false" ht="14.25" hidden="false" customHeight="false" outlineLevel="0" collapsed="false">
      <c r="A926" s="219"/>
      <c r="L926" s="225"/>
      <c r="N926" s="221"/>
    </row>
    <row r="927" customFormat="false" ht="14.25" hidden="false" customHeight="false" outlineLevel="0" collapsed="false">
      <c r="A927" s="219"/>
      <c r="L927" s="225"/>
      <c r="N927" s="221"/>
    </row>
    <row r="928" customFormat="false" ht="14.25" hidden="false" customHeight="false" outlineLevel="0" collapsed="false">
      <c r="A928" s="219"/>
      <c r="L928" s="225"/>
      <c r="N928" s="221"/>
    </row>
    <row r="929" customFormat="false" ht="14.25" hidden="false" customHeight="false" outlineLevel="0" collapsed="false">
      <c r="A929" s="219"/>
      <c r="L929" s="225"/>
      <c r="N929" s="221"/>
    </row>
    <row r="930" customFormat="false" ht="14.25" hidden="false" customHeight="false" outlineLevel="0" collapsed="false">
      <c r="A930" s="219"/>
      <c r="L930" s="225"/>
      <c r="N930" s="221"/>
    </row>
    <row r="931" customFormat="false" ht="14.25" hidden="false" customHeight="false" outlineLevel="0" collapsed="false">
      <c r="A931" s="219"/>
      <c r="L931" s="225"/>
      <c r="N931" s="221"/>
    </row>
    <row r="932" customFormat="false" ht="14.25" hidden="false" customHeight="false" outlineLevel="0" collapsed="false">
      <c r="A932" s="219"/>
      <c r="N932" s="221"/>
    </row>
    <row r="933" customFormat="false" ht="14.25" hidden="false" customHeight="false" outlineLevel="0" collapsed="false">
      <c r="A933" s="219"/>
      <c r="N933" s="221"/>
    </row>
    <row r="934" customFormat="false" ht="14.25" hidden="false" customHeight="false" outlineLevel="0" collapsed="false">
      <c r="A934" s="219"/>
      <c r="N934" s="221"/>
    </row>
    <row r="935" customFormat="false" ht="14.25" hidden="false" customHeight="false" outlineLevel="0" collapsed="false">
      <c r="A935" s="219"/>
      <c r="C935" s="222"/>
      <c r="N935" s="221"/>
    </row>
    <row r="936" customFormat="false" ht="14.25" hidden="false" customHeight="false" outlineLevel="0" collapsed="false">
      <c r="A936" s="219"/>
      <c r="C936" s="222"/>
      <c r="N936" s="221"/>
    </row>
    <row r="937" customFormat="false" ht="14.25" hidden="false" customHeight="false" outlineLevel="0" collapsed="false">
      <c r="A937" s="219"/>
      <c r="C937" s="222"/>
      <c r="N937" s="221"/>
    </row>
    <row r="938" customFormat="false" ht="14.25" hidden="false" customHeight="false" outlineLevel="0" collapsed="false">
      <c r="A938" s="219"/>
      <c r="C938" s="222"/>
      <c r="N938" s="221"/>
    </row>
    <row r="939" customFormat="false" ht="14.25" hidden="false" customHeight="false" outlineLevel="0" collapsed="false">
      <c r="A939" s="219"/>
      <c r="C939" s="222"/>
      <c r="N939" s="221"/>
    </row>
    <row r="940" customFormat="false" ht="14.25" hidden="false" customHeight="false" outlineLevel="0" collapsed="false">
      <c r="A940" s="219"/>
      <c r="C940" s="222"/>
      <c r="N940" s="221"/>
    </row>
    <row r="941" customFormat="false" ht="14.25" hidden="false" customHeight="false" outlineLevel="0" collapsed="false">
      <c r="A941" s="219"/>
      <c r="C941" s="222"/>
      <c r="N941" s="221"/>
    </row>
    <row r="942" customFormat="false" ht="14.25" hidden="false" customHeight="false" outlineLevel="0" collapsed="false">
      <c r="A942" s="219"/>
      <c r="N942" s="221"/>
    </row>
    <row r="943" customFormat="false" ht="14.25" hidden="false" customHeight="false" outlineLevel="0" collapsed="false">
      <c r="A943" s="219"/>
      <c r="N943" s="221"/>
    </row>
    <row r="944" customFormat="false" ht="14.25" hidden="false" customHeight="false" outlineLevel="0" collapsed="false">
      <c r="A944" s="219"/>
      <c r="N944" s="221"/>
    </row>
    <row r="945" customFormat="false" ht="14.25" hidden="false" customHeight="false" outlineLevel="0" collapsed="false">
      <c r="A945" s="219"/>
      <c r="N945" s="221"/>
    </row>
    <row r="946" customFormat="false" ht="14.25" hidden="false" customHeight="false" outlineLevel="0" collapsed="false">
      <c r="A946" s="219"/>
      <c r="N946" s="221"/>
    </row>
    <row r="947" customFormat="false" ht="14.25" hidden="false" customHeight="false" outlineLevel="0" collapsed="false">
      <c r="A947" s="219"/>
      <c r="N947" s="221"/>
    </row>
    <row r="948" customFormat="false" ht="14.25" hidden="false" customHeight="false" outlineLevel="0" collapsed="false">
      <c r="A948" s="219"/>
      <c r="N948" s="221"/>
    </row>
    <row r="949" customFormat="false" ht="14.25" hidden="false" customHeight="false" outlineLevel="0" collapsed="false">
      <c r="A949" s="219"/>
      <c r="N949" s="221"/>
    </row>
    <row r="950" customFormat="false" ht="14.25" hidden="false" customHeight="false" outlineLevel="0" collapsed="false">
      <c r="A950" s="219"/>
      <c r="N950" s="221"/>
    </row>
    <row r="951" customFormat="false" ht="14.25" hidden="false" customHeight="false" outlineLevel="0" collapsed="false">
      <c r="A951" s="219"/>
      <c r="N951" s="221"/>
    </row>
    <row r="952" customFormat="false" ht="14.25" hidden="false" customHeight="false" outlineLevel="0" collapsed="false">
      <c r="A952" s="219"/>
      <c r="N952" s="221"/>
    </row>
    <row r="953" customFormat="false" ht="14.25" hidden="false" customHeight="false" outlineLevel="0" collapsed="false">
      <c r="A953" s="219"/>
      <c r="N953" s="221"/>
    </row>
    <row r="954" customFormat="false" ht="14.25" hidden="false" customHeight="false" outlineLevel="0" collapsed="false">
      <c r="A954" s="219"/>
      <c r="L954" s="225"/>
      <c r="N954" s="221"/>
    </row>
    <row r="955" customFormat="false" ht="14.25" hidden="false" customHeight="false" outlineLevel="0" collapsed="false">
      <c r="A955" s="219"/>
      <c r="L955" s="225"/>
      <c r="N955" s="221"/>
    </row>
    <row r="956" customFormat="false" ht="14.25" hidden="false" customHeight="false" outlineLevel="0" collapsed="false">
      <c r="A956" s="219"/>
      <c r="L956" s="225"/>
      <c r="N956" s="221"/>
    </row>
    <row r="957" customFormat="false" ht="14.25" hidden="false" customHeight="false" outlineLevel="0" collapsed="false">
      <c r="A957" s="219"/>
      <c r="L957" s="225"/>
      <c r="N957" s="221"/>
    </row>
    <row r="958" customFormat="false" ht="14.25" hidden="false" customHeight="false" outlineLevel="0" collapsed="false">
      <c r="A958" s="219"/>
      <c r="N958" s="221"/>
    </row>
    <row r="959" customFormat="false" ht="14.25" hidden="false" customHeight="false" outlineLevel="0" collapsed="false">
      <c r="A959" s="219"/>
      <c r="L959" s="224"/>
      <c r="N959" s="221"/>
    </row>
    <row r="960" customFormat="false" ht="14.25" hidden="false" customHeight="false" outlineLevel="0" collapsed="false">
      <c r="A960" s="219"/>
      <c r="L960" s="224"/>
      <c r="N960" s="221"/>
    </row>
    <row r="961" customFormat="false" ht="14.25" hidden="false" customHeight="false" outlineLevel="0" collapsed="false">
      <c r="A961" s="219"/>
      <c r="N961" s="221"/>
    </row>
    <row r="962" customFormat="false" ht="14.25" hidden="false" customHeight="false" outlineLevel="0" collapsed="false">
      <c r="A962" s="219"/>
      <c r="L962" s="224"/>
      <c r="N962" s="221"/>
    </row>
    <row r="963" customFormat="false" ht="14.25" hidden="false" customHeight="false" outlineLevel="0" collapsed="false">
      <c r="A963" s="219"/>
      <c r="L963" s="224"/>
      <c r="N963" s="221"/>
    </row>
    <row r="964" customFormat="false" ht="14.25" hidden="false" customHeight="false" outlineLevel="0" collapsed="false">
      <c r="A964" s="219"/>
      <c r="C964" s="222"/>
      <c r="N964" s="221"/>
    </row>
    <row r="965" customFormat="false" ht="14.25" hidden="false" customHeight="false" outlineLevel="0" collapsed="false">
      <c r="A965" s="219"/>
      <c r="C965" s="222"/>
      <c r="N965" s="221"/>
    </row>
    <row r="966" customFormat="false" ht="14.25" hidden="false" customHeight="false" outlineLevel="0" collapsed="false">
      <c r="A966" s="219"/>
      <c r="C966" s="222"/>
      <c r="N966" s="221"/>
    </row>
    <row r="967" customFormat="false" ht="14.25" hidden="false" customHeight="false" outlineLevel="0" collapsed="false">
      <c r="A967" s="219"/>
      <c r="C967" s="222"/>
      <c r="N967" s="221"/>
    </row>
    <row r="968" customFormat="false" ht="14.25" hidden="false" customHeight="false" outlineLevel="0" collapsed="false">
      <c r="A968" s="219"/>
      <c r="C968" s="222"/>
      <c r="N968" s="221"/>
    </row>
    <row r="969" customFormat="false" ht="14.25" hidden="false" customHeight="false" outlineLevel="0" collapsed="false">
      <c r="A969" s="219"/>
      <c r="C969" s="222"/>
      <c r="N969" s="221"/>
    </row>
    <row r="970" customFormat="false" ht="14.25" hidden="false" customHeight="false" outlineLevel="0" collapsed="false">
      <c r="A970" s="219"/>
      <c r="C970" s="222"/>
      <c r="N970" s="221"/>
    </row>
    <row r="971" customFormat="false" ht="14.25" hidden="false" customHeight="false" outlineLevel="0" collapsed="false">
      <c r="A971" s="219"/>
      <c r="C971" s="222"/>
      <c r="N971" s="221"/>
    </row>
    <row r="972" customFormat="false" ht="14.25" hidden="false" customHeight="false" outlineLevel="0" collapsed="false">
      <c r="A972" s="219"/>
      <c r="C972" s="222"/>
      <c r="N972" s="221"/>
    </row>
    <row r="973" customFormat="false" ht="14.25" hidden="false" customHeight="false" outlineLevel="0" collapsed="false">
      <c r="A973" s="219"/>
      <c r="C973" s="222"/>
      <c r="N973" s="221"/>
    </row>
    <row r="974" customFormat="false" ht="14.25" hidden="false" customHeight="false" outlineLevel="0" collapsed="false">
      <c r="A974" s="219"/>
      <c r="C974" s="222"/>
      <c r="N974" s="221"/>
    </row>
    <row r="975" customFormat="false" ht="14.25" hidden="false" customHeight="false" outlineLevel="0" collapsed="false">
      <c r="A975" s="219"/>
      <c r="C975" s="222"/>
      <c r="N975" s="221"/>
    </row>
    <row r="976" customFormat="false" ht="14.25" hidden="false" customHeight="false" outlineLevel="0" collapsed="false">
      <c r="A976" s="219"/>
      <c r="C976" s="222"/>
      <c r="N976" s="221"/>
    </row>
    <row r="977" customFormat="false" ht="14.25" hidden="false" customHeight="false" outlineLevel="0" collapsed="false">
      <c r="A977" s="219"/>
      <c r="C977" s="222"/>
      <c r="N977" s="221"/>
    </row>
    <row r="978" customFormat="false" ht="14.25" hidden="false" customHeight="false" outlineLevel="0" collapsed="false">
      <c r="A978" s="219"/>
      <c r="C978" s="222"/>
      <c r="N978" s="221"/>
    </row>
    <row r="979" customFormat="false" ht="14.25" hidden="false" customHeight="false" outlineLevel="0" collapsed="false">
      <c r="A979" s="219"/>
      <c r="C979" s="222"/>
      <c r="N979" s="221"/>
    </row>
    <row r="980" customFormat="false" ht="14.25" hidden="false" customHeight="false" outlineLevel="0" collapsed="false">
      <c r="A980" s="219"/>
      <c r="C980" s="222"/>
      <c r="N980" s="221"/>
    </row>
    <row r="981" customFormat="false" ht="14.25" hidden="false" customHeight="false" outlineLevel="0" collapsed="false">
      <c r="A981" s="219"/>
      <c r="C981" s="222"/>
      <c r="N981" s="221"/>
    </row>
    <row r="982" customFormat="false" ht="14.25" hidden="false" customHeight="false" outlineLevel="0" collapsed="false">
      <c r="A982" s="219"/>
      <c r="C982" s="222"/>
      <c r="N982" s="221"/>
    </row>
    <row r="983" customFormat="false" ht="14.25" hidden="false" customHeight="false" outlineLevel="0" collapsed="false">
      <c r="A983" s="219"/>
      <c r="C983" s="222"/>
      <c r="N983" s="221"/>
    </row>
    <row r="984" customFormat="false" ht="14.25" hidden="false" customHeight="false" outlineLevel="0" collapsed="false">
      <c r="A984" s="219"/>
      <c r="C984" s="222"/>
      <c r="N984" s="221"/>
    </row>
    <row r="985" customFormat="false" ht="14.25" hidden="false" customHeight="false" outlineLevel="0" collapsed="false">
      <c r="A985" s="219"/>
      <c r="C985" s="222"/>
      <c r="N985" s="221"/>
    </row>
    <row r="986" customFormat="false" ht="14.25" hidden="false" customHeight="false" outlineLevel="0" collapsed="false">
      <c r="A986" s="219"/>
      <c r="C986" s="222"/>
      <c r="N986" s="221"/>
    </row>
    <row r="987" customFormat="false" ht="14.25" hidden="false" customHeight="false" outlineLevel="0" collapsed="false">
      <c r="A987" s="219"/>
      <c r="C987" s="222"/>
      <c r="N987" s="221"/>
    </row>
    <row r="988" customFormat="false" ht="14.25" hidden="false" customHeight="false" outlineLevel="0" collapsed="false">
      <c r="A988" s="219"/>
      <c r="C988" s="222"/>
      <c r="N988" s="221"/>
    </row>
    <row r="989" customFormat="false" ht="14.25" hidden="false" customHeight="false" outlineLevel="0" collapsed="false">
      <c r="A989" s="219"/>
      <c r="C989" s="222"/>
      <c r="N989" s="221"/>
    </row>
    <row r="990" customFormat="false" ht="14.25" hidden="false" customHeight="false" outlineLevel="0" collapsed="false">
      <c r="A990" s="219"/>
      <c r="C990" s="220"/>
      <c r="N990" s="221"/>
    </row>
    <row r="991" customFormat="false" ht="14.25" hidden="false" customHeight="false" outlineLevel="0" collapsed="false">
      <c r="A991" s="219"/>
      <c r="N991" s="221"/>
    </row>
    <row r="992" customFormat="false" ht="14.25" hidden="false" customHeight="false" outlineLevel="0" collapsed="false">
      <c r="A992" s="219"/>
      <c r="N992" s="221"/>
    </row>
    <row r="993" customFormat="false" ht="14.25" hidden="false" customHeight="false" outlineLevel="0" collapsed="false">
      <c r="A993" s="219"/>
      <c r="N993" s="221"/>
    </row>
    <row r="994" customFormat="false" ht="14.25" hidden="false" customHeight="false" outlineLevel="0" collapsed="false">
      <c r="A994" s="219"/>
      <c r="N994" s="221"/>
    </row>
    <row r="995" customFormat="false" ht="14.25" hidden="false" customHeight="false" outlineLevel="0" collapsed="false">
      <c r="A995" s="219"/>
      <c r="L995" s="225"/>
      <c r="N995" s="221"/>
    </row>
    <row r="996" customFormat="false" ht="14.25" hidden="false" customHeight="false" outlineLevel="0" collapsed="false">
      <c r="A996" s="219"/>
      <c r="L996" s="225"/>
      <c r="N996" s="221"/>
    </row>
    <row r="997" customFormat="false" ht="14.25" hidden="false" customHeight="false" outlineLevel="0" collapsed="false">
      <c r="A997" s="219"/>
      <c r="L997" s="225"/>
      <c r="N997" s="221"/>
    </row>
    <row r="998" customFormat="false" ht="14.25" hidden="false" customHeight="false" outlineLevel="0" collapsed="false">
      <c r="A998" s="219"/>
      <c r="L998" s="225"/>
      <c r="N998" s="221"/>
    </row>
    <row r="999" customFormat="false" ht="14.25" hidden="false" customHeight="false" outlineLevel="0" collapsed="false">
      <c r="A999" s="219"/>
      <c r="N999" s="221"/>
    </row>
    <row r="1000" customFormat="false" ht="14.25" hidden="false" customHeight="false" outlineLevel="0" collapsed="false">
      <c r="A1000" s="219"/>
      <c r="N1000" s="221"/>
    </row>
    <row r="1001" customFormat="false" ht="14.25" hidden="false" customHeight="false" outlineLevel="0" collapsed="false">
      <c r="A1001" s="219"/>
      <c r="L1001" s="224"/>
      <c r="N1001" s="221"/>
    </row>
    <row r="1002" customFormat="false" ht="14.25" hidden="false" customHeight="false" outlineLevel="0" collapsed="false">
      <c r="A1002" s="219"/>
      <c r="L1002" s="224"/>
      <c r="N1002" s="221"/>
    </row>
    <row r="1003" customFormat="false" ht="14.25" hidden="false" customHeight="false" outlineLevel="0" collapsed="false">
      <c r="A1003" s="219"/>
      <c r="L1003" s="224"/>
      <c r="N1003" s="221"/>
    </row>
    <row r="1004" customFormat="false" ht="14.25" hidden="false" customHeight="false" outlineLevel="0" collapsed="false">
      <c r="A1004" s="219"/>
      <c r="C1004" s="222"/>
      <c r="N1004" s="221"/>
    </row>
    <row r="1005" customFormat="false" ht="14.25" hidden="false" customHeight="false" outlineLevel="0" collapsed="false">
      <c r="A1005" s="219"/>
      <c r="C1005" s="222"/>
      <c r="N1005" s="221"/>
    </row>
    <row r="1006" customFormat="false" ht="14.25" hidden="false" customHeight="false" outlineLevel="0" collapsed="false">
      <c r="A1006" s="219"/>
      <c r="C1006" s="222"/>
      <c r="N1006" s="221"/>
    </row>
    <row r="1007" customFormat="false" ht="14.25" hidden="false" customHeight="false" outlineLevel="0" collapsed="false">
      <c r="A1007" s="219"/>
      <c r="C1007" s="222"/>
      <c r="N1007" s="221"/>
    </row>
    <row r="1008" customFormat="false" ht="14.25" hidden="false" customHeight="false" outlineLevel="0" collapsed="false">
      <c r="A1008" s="219"/>
      <c r="C1008" s="222"/>
      <c r="N1008" s="221"/>
    </row>
    <row r="1009" customFormat="false" ht="14.25" hidden="false" customHeight="false" outlineLevel="0" collapsed="false">
      <c r="A1009" s="219"/>
      <c r="C1009" s="222"/>
      <c r="N1009" s="221"/>
    </row>
    <row r="1010" customFormat="false" ht="14.25" hidden="false" customHeight="false" outlineLevel="0" collapsed="false">
      <c r="A1010" s="219"/>
      <c r="C1010" s="222"/>
      <c r="N1010" s="221"/>
    </row>
    <row r="1011" customFormat="false" ht="14.25" hidden="false" customHeight="false" outlineLevel="0" collapsed="false">
      <c r="A1011" s="219"/>
      <c r="C1011" s="222"/>
      <c r="N1011" s="221"/>
    </row>
    <row r="1012" customFormat="false" ht="14.25" hidden="false" customHeight="false" outlineLevel="0" collapsed="false">
      <c r="A1012" s="219"/>
      <c r="C1012" s="222"/>
      <c r="N1012" s="221"/>
    </row>
    <row r="1013" customFormat="false" ht="14.25" hidden="false" customHeight="false" outlineLevel="0" collapsed="false">
      <c r="A1013" s="219"/>
      <c r="C1013" s="222"/>
      <c r="N1013" s="221"/>
    </row>
    <row r="1014" customFormat="false" ht="14.25" hidden="false" customHeight="false" outlineLevel="0" collapsed="false">
      <c r="A1014" s="219"/>
      <c r="C1014" s="222"/>
      <c r="N1014" s="221"/>
    </row>
    <row r="1015" customFormat="false" ht="14.25" hidden="false" customHeight="false" outlineLevel="0" collapsed="false">
      <c r="A1015" s="219"/>
      <c r="C1015" s="222"/>
      <c r="N1015" s="221"/>
    </row>
    <row r="1016" customFormat="false" ht="14.25" hidden="false" customHeight="false" outlineLevel="0" collapsed="false">
      <c r="A1016" s="219"/>
      <c r="N1016" s="221"/>
    </row>
    <row r="1017" customFormat="false" ht="14.25" hidden="false" customHeight="false" outlineLevel="0" collapsed="false">
      <c r="A1017" s="219"/>
      <c r="N1017" s="221"/>
    </row>
    <row r="1018" customFormat="false" ht="14.25" hidden="false" customHeight="false" outlineLevel="0" collapsed="false">
      <c r="A1018" s="219"/>
      <c r="N1018" s="221"/>
    </row>
    <row r="1019" customFormat="false" ht="14.25" hidden="false" customHeight="false" outlineLevel="0" collapsed="false">
      <c r="A1019" s="219"/>
      <c r="N1019" s="221"/>
    </row>
    <row r="1020" customFormat="false" ht="14.25" hidden="false" customHeight="false" outlineLevel="0" collapsed="false">
      <c r="A1020" s="219"/>
      <c r="N1020" s="221"/>
    </row>
    <row r="1021" customFormat="false" ht="14.25" hidden="false" customHeight="false" outlineLevel="0" collapsed="false">
      <c r="A1021" s="219"/>
      <c r="N1021" s="221"/>
    </row>
    <row r="1022" customFormat="false" ht="14.25" hidden="false" customHeight="false" outlineLevel="0" collapsed="false">
      <c r="A1022" s="219"/>
      <c r="L1022" s="225"/>
      <c r="N1022" s="221"/>
    </row>
    <row r="1023" customFormat="false" ht="14.25" hidden="false" customHeight="false" outlineLevel="0" collapsed="false">
      <c r="A1023" s="219"/>
      <c r="L1023" s="225"/>
      <c r="N1023" s="221"/>
    </row>
    <row r="1024" customFormat="false" ht="14.25" hidden="false" customHeight="false" outlineLevel="0" collapsed="false">
      <c r="A1024" s="219"/>
      <c r="L1024" s="225"/>
      <c r="N1024" s="221"/>
    </row>
    <row r="1025" customFormat="false" ht="14.25" hidden="false" customHeight="false" outlineLevel="0" collapsed="false">
      <c r="A1025" s="219"/>
      <c r="L1025" s="225"/>
      <c r="N1025" s="221"/>
    </row>
    <row r="1026" customFormat="false" ht="14.25" hidden="false" customHeight="false" outlineLevel="0" collapsed="false">
      <c r="A1026" s="219"/>
      <c r="L1026" s="225"/>
      <c r="N1026" s="221"/>
    </row>
    <row r="1027" customFormat="false" ht="14.25" hidden="false" customHeight="false" outlineLevel="0" collapsed="false">
      <c r="A1027" s="219"/>
      <c r="L1027" s="225"/>
      <c r="N1027" s="221"/>
    </row>
    <row r="1028" customFormat="false" ht="14.25" hidden="false" customHeight="false" outlineLevel="0" collapsed="false">
      <c r="A1028" s="219"/>
      <c r="N1028" s="221"/>
    </row>
    <row r="1029" customFormat="false" ht="14.25" hidden="false" customHeight="false" outlineLevel="0" collapsed="false">
      <c r="A1029" s="219"/>
      <c r="N1029" s="221"/>
    </row>
    <row r="1030" customFormat="false" ht="14.25" hidden="false" customHeight="false" outlineLevel="0" collapsed="false">
      <c r="A1030" s="219"/>
      <c r="N1030" s="221"/>
    </row>
    <row r="1031" customFormat="false" ht="14.25" hidden="false" customHeight="false" outlineLevel="0" collapsed="false">
      <c r="A1031" s="219"/>
      <c r="N1031" s="221"/>
    </row>
    <row r="1032" customFormat="false" ht="14.25" hidden="false" customHeight="false" outlineLevel="0" collapsed="false">
      <c r="A1032" s="219"/>
      <c r="N1032" s="221"/>
    </row>
    <row r="1033" customFormat="false" ht="14.25" hidden="false" customHeight="false" outlineLevel="0" collapsed="false">
      <c r="A1033" s="219"/>
      <c r="N1033" s="221"/>
    </row>
    <row r="1034" customFormat="false" ht="14.25" hidden="false" customHeight="false" outlineLevel="0" collapsed="false">
      <c r="A1034" s="219"/>
      <c r="N1034" s="221"/>
    </row>
    <row r="1035" customFormat="false" ht="14.25" hidden="false" customHeight="false" outlineLevel="0" collapsed="false">
      <c r="A1035" s="219"/>
      <c r="N1035" s="221"/>
    </row>
    <row r="1036" customFormat="false" ht="14.25" hidden="false" customHeight="false" outlineLevel="0" collapsed="false">
      <c r="A1036" s="219"/>
      <c r="N1036" s="221"/>
    </row>
    <row r="1037" customFormat="false" ht="14.25" hidden="false" customHeight="false" outlineLevel="0" collapsed="false">
      <c r="A1037" s="219"/>
      <c r="N1037" s="221"/>
    </row>
    <row r="1038" customFormat="false" ht="14.25" hidden="false" customHeight="false" outlineLevel="0" collapsed="false">
      <c r="A1038" s="219"/>
      <c r="N1038" s="221"/>
    </row>
    <row r="1039" customFormat="false" ht="14.25" hidden="false" customHeight="false" outlineLevel="0" collapsed="false">
      <c r="A1039" s="219"/>
      <c r="C1039" s="222"/>
      <c r="N1039" s="221"/>
    </row>
    <row r="1040" customFormat="false" ht="14.25" hidden="false" customHeight="false" outlineLevel="0" collapsed="false">
      <c r="A1040" s="219"/>
      <c r="C1040" s="222"/>
      <c r="N1040" s="221"/>
    </row>
    <row r="1041" customFormat="false" ht="14.25" hidden="false" customHeight="false" outlineLevel="0" collapsed="false">
      <c r="A1041" s="219"/>
      <c r="C1041" s="222"/>
      <c r="N1041" s="221"/>
    </row>
    <row r="1042" customFormat="false" ht="14.25" hidden="false" customHeight="false" outlineLevel="0" collapsed="false">
      <c r="A1042" s="219"/>
      <c r="C1042" s="222"/>
      <c r="N1042" s="221"/>
    </row>
    <row r="1043" customFormat="false" ht="14.25" hidden="false" customHeight="false" outlineLevel="0" collapsed="false">
      <c r="A1043" s="219"/>
      <c r="C1043" s="222"/>
      <c r="N1043" s="221"/>
    </row>
    <row r="1044" customFormat="false" ht="14.25" hidden="false" customHeight="false" outlineLevel="0" collapsed="false">
      <c r="A1044" s="219"/>
      <c r="L1044" s="225"/>
      <c r="N1044" s="221"/>
    </row>
    <row r="1045" customFormat="false" ht="14.25" hidden="false" customHeight="false" outlineLevel="0" collapsed="false">
      <c r="A1045" s="219"/>
      <c r="L1045" s="225"/>
      <c r="N1045" s="221"/>
    </row>
    <row r="1046" customFormat="false" ht="14.25" hidden="false" customHeight="false" outlineLevel="0" collapsed="false">
      <c r="A1046" s="219"/>
      <c r="L1046" s="225"/>
      <c r="N1046" s="221"/>
    </row>
    <row r="1047" customFormat="false" ht="14.25" hidden="false" customHeight="false" outlineLevel="0" collapsed="false">
      <c r="A1047" s="219"/>
      <c r="L1047" s="225"/>
      <c r="N1047" s="221"/>
    </row>
    <row r="1048" customFormat="false" ht="14.25" hidden="false" customHeight="false" outlineLevel="0" collapsed="false">
      <c r="A1048" s="219"/>
      <c r="L1048" s="225"/>
      <c r="N1048" s="221"/>
    </row>
    <row r="1049" customFormat="false" ht="14.25" hidden="false" customHeight="false" outlineLevel="0" collapsed="false">
      <c r="A1049" s="219"/>
      <c r="L1049" s="225"/>
      <c r="N1049" s="221"/>
    </row>
    <row r="1050" customFormat="false" ht="14.25" hidden="false" customHeight="false" outlineLevel="0" collapsed="false">
      <c r="A1050" s="219"/>
      <c r="L1050" s="225"/>
      <c r="N1050" s="221"/>
    </row>
    <row r="1051" customFormat="false" ht="14.25" hidden="false" customHeight="false" outlineLevel="0" collapsed="false">
      <c r="A1051" s="219"/>
      <c r="L1051" s="225"/>
      <c r="N1051" s="221"/>
    </row>
    <row r="1052" customFormat="false" ht="14.25" hidden="false" customHeight="false" outlineLevel="0" collapsed="false">
      <c r="A1052" s="219"/>
      <c r="L1052" s="225"/>
      <c r="N1052" s="221"/>
    </row>
    <row r="1053" customFormat="false" ht="14.25" hidden="false" customHeight="false" outlineLevel="0" collapsed="false">
      <c r="A1053" s="219"/>
      <c r="N1053" s="221"/>
    </row>
    <row r="1054" customFormat="false" ht="14.25" hidden="false" customHeight="false" outlineLevel="0" collapsed="false">
      <c r="A1054" s="219"/>
      <c r="N1054" s="221"/>
    </row>
    <row r="1055" customFormat="false" ht="14.25" hidden="false" customHeight="false" outlineLevel="0" collapsed="false">
      <c r="A1055" s="219"/>
      <c r="N1055" s="221"/>
    </row>
    <row r="1056" customFormat="false" ht="14.25" hidden="false" customHeight="false" outlineLevel="0" collapsed="false">
      <c r="A1056" s="219"/>
      <c r="N1056" s="221"/>
    </row>
    <row r="1057" customFormat="false" ht="14.25" hidden="false" customHeight="false" outlineLevel="0" collapsed="false">
      <c r="A1057" s="219"/>
      <c r="N1057" s="221"/>
    </row>
    <row r="1058" customFormat="false" ht="14.25" hidden="false" customHeight="false" outlineLevel="0" collapsed="false">
      <c r="A1058" s="219"/>
      <c r="N1058" s="221"/>
    </row>
    <row r="1059" customFormat="false" ht="14.25" hidden="false" customHeight="false" outlineLevel="0" collapsed="false">
      <c r="A1059" s="219"/>
      <c r="N1059" s="221"/>
    </row>
    <row r="1060" customFormat="false" ht="14.25" hidden="false" customHeight="false" outlineLevel="0" collapsed="false">
      <c r="A1060" s="219"/>
      <c r="C1060" s="222"/>
      <c r="N1060" s="221"/>
    </row>
    <row r="1061" customFormat="false" ht="15" hidden="false" customHeight="false" outlineLevel="0" collapsed="false">
      <c r="A1061" s="219"/>
      <c r="C1061" s="222"/>
      <c r="D1061" s="223"/>
      <c r="F1061" s="223"/>
      <c r="L1061" s="223"/>
      <c r="N1061" s="221"/>
    </row>
    <row r="1062" customFormat="false" ht="14.25" hidden="false" customHeight="false" outlineLevel="0" collapsed="false">
      <c r="A1062" s="219"/>
      <c r="C1062" s="220"/>
      <c r="N1062" s="221"/>
    </row>
    <row r="1063" customFormat="false" ht="15" hidden="false" customHeight="false" outlineLevel="0" collapsed="false">
      <c r="A1063" s="219"/>
      <c r="C1063" s="222"/>
      <c r="D1063" s="223"/>
      <c r="L1063" s="223"/>
      <c r="N1063" s="221"/>
    </row>
    <row r="1064" customFormat="false" ht="14.25" hidden="false" customHeight="false" outlineLevel="0" collapsed="false">
      <c r="A1064" s="219"/>
      <c r="N1064" s="221"/>
    </row>
    <row r="1065" customFormat="false" ht="15" hidden="false" customHeight="false" outlineLevel="0" collapsed="false">
      <c r="A1065" s="219"/>
      <c r="C1065" s="222"/>
      <c r="D1065" s="223"/>
      <c r="L1065" s="223"/>
      <c r="N1065" s="221"/>
    </row>
    <row r="1066" customFormat="false" ht="15" hidden="false" customHeight="false" outlineLevel="0" collapsed="false">
      <c r="A1066" s="219"/>
      <c r="C1066" s="222"/>
      <c r="D1066" s="223"/>
      <c r="L1066" s="223"/>
      <c r="N1066" s="221"/>
    </row>
    <row r="1067" customFormat="false" ht="15" hidden="false" customHeight="false" outlineLevel="0" collapsed="false">
      <c r="A1067" s="219"/>
      <c r="C1067" s="222"/>
      <c r="D1067" s="223"/>
      <c r="L1067" s="223"/>
      <c r="N1067" s="221"/>
    </row>
    <row r="1068" customFormat="false" ht="14.25" hidden="false" customHeight="false" outlineLevel="0" collapsed="false">
      <c r="A1068" s="219"/>
      <c r="C1068" s="222"/>
      <c r="N1068" s="221"/>
    </row>
    <row r="1069" customFormat="false" ht="14.25" hidden="false" customHeight="false" outlineLevel="0" collapsed="false">
      <c r="A1069" s="219"/>
      <c r="C1069" s="222"/>
      <c r="N1069" s="221"/>
    </row>
    <row r="1070" customFormat="false" ht="14.25" hidden="false" customHeight="false" outlineLevel="0" collapsed="false">
      <c r="A1070" s="219"/>
      <c r="C1070" s="222"/>
      <c r="N1070" s="221"/>
    </row>
    <row r="1071" customFormat="false" ht="14.25" hidden="false" customHeight="false" outlineLevel="0" collapsed="false">
      <c r="A1071" s="219"/>
      <c r="C1071" s="222"/>
      <c r="N1071" s="221"/>
    </row>
    <row r="1072" customFormat="false" ht="14.25" hidden="false" customHeight="false" outlineLevel="0" collapsed="false">
      <c r="A1072" s="219"/>
      <c r="C1072" s="222"/>
      <c r="N1072" s="221"/>
    </row>
    <row r="1073" customFormat="false" ht="14.25" hidden="false" customHeight="false" outlineLevel="0" collapsed="false">
      <c r="A1073" s="219"/>
      <c r="C1073" s="222"/>
      <c r="N1073" s="221"/>
    </row>
    <row r="1074" customFormat="false" ht="15" hidden="false" customHeight="false" outlineLevel="0" collapsed="false">
      <c r="A1074" s="219"/>
      <c r="C1074" s="222"/>
      <c r="D1074" s="223"/>
      <c r="L1074" s="223"/>
      <c r="N1074" s="221"/>
    </row>
    <row r="1075" customFormat="false" ht="15" hidden="false" customHeight="false" outlineLevel="0" collapsed="false">
      <c r="A1075" s="219"/>
      <c r="C1075" s="222"/>
      <c r="D1075" s="223"/>
      <c r="F1075" s="223"/>
      <c r="L1075" s="223"/>
      <c r="N1075" s="221"/>
    </row>
    <row r="1076" customFormat="false" ht="14.25" hidden="false" customHeight="false" outlineLevel="0" collapsed="false">
      <c r="A1076" s="219"/>
      <c r="C1076" s="222"/>
      <c r="N1076" s="221"/>
    </row>
    <row r="1077" customFormat="false" ht="14.25" hidden="false" customHeight="false" outlineLevel="0" collapsed="false">
      <c r="A1077" s="219"/>
      <c r="C1077" s="222"/>
      <c r="N1077" s="221"/>
    </row>
    <row r="1078" customFormat="false" ht="14.25" hidden="false" customHeight="false" outlineLevel="0" collapsed="false">
      <c r="A1078" s="219"/>
      <c r="C1078" s="222"/>
      <c r="N1078" s="221"/>
    </row>
    <row r="1079" customFormat="false" ht="14.25" hidden="false" customHeight="false" outlineLevel="0" collapsed="false">
      <c r="A1079" s="219"/>
      <c r="C1079" s="222"/>
      <c r="N1079" s="221"/>
    </row>
    <row r="1080" customFormat="false" ht="14.25" hidden="false" customHeight="false" outlineLevel="0" collapsed="false">
      <c r="A1080" s="219"/>
      <c r="C1080" s="222"/>
      <c r="N1080" s="221"/>
    </row>
    <row r="1081" customFormat="false" ht="14.25" hidden="false" customHeight="false" outlineLevel="0" collapsed="false">
      <c r="A1081" s="219"/>
      <c r="C1081" s="222"/>
      <c r="N1081" s="221"/>
    </row>
    <row r="1082" customFormat="false" ht="14.25" hidden="false" customHeight="false" outlineLevel="0" collapsed="false">
      <c r="A1082" s="219"/>
      <c r="C1082" s="220"/>
      <c r="N1082" s="221"/>
    </row>
    <row r="1083" customFormat="false" ht="14.25" hidden="false" customHeight="false" outlineLevel="0" collapsed="false">
      <c r="A1083" s="219"/>
      <c r="C1083" s="220"/>
      <c r="N1083" s="221"/>
    </row>
    <row r="1084" customFormat="false" ht="14.25" hidden="false" customHeight="false" outlineLevel="0" collapsed="false">
      <c r="A1084" s="219"/>
      <c r="C1084" s="222"/>
      <c r="N1084" s="221"/>
    </row>
    <row r="1085" customFormat="false" ht="14.25" hidden="false" customHeight="false" outlineLevel="0" collapsed="false">
      <c r="A1085" s="219"/>
      <c r="C1085" s="222"/>
      <c r="N1085" s="221"/>
    </row>
    <row r="1086" customFormat="false" ht="14.25" hidden="false" customHeight="false" outlineLevel="0" collapsed="false">
      <c r="A1086" s="219"/>
      <c r="C1086" s="220"/>
      <c r="N1086" s="221"/>
    </row>
    <row r="1087" customFormat="false" ht="14.25" hidden="false" customHeight="false" outlineLevel="0" collapsed="false">
      <c r="A1087" s="219"/>
      <c r="N1087" s="221"/>
    </row>
    <row r="1088" customFormat="false" ht="14.25" hidden="false" customHeight="false" outlineLevel="0" collapsed="false">
      <c r="A1088" s="219"/>
      <c r="N1088" s="221"/>
    </row>
    <row r="1089" customFormat="false" ht="14.25" hidden="false" customHeight="false" outlineLevel="0" collapsed="false">
      <c r="A1089" s="219"/>
      <c r="N1089" s="221"/>
    </row>
    <row r="1090" customFormat="false" ht="14.25" hidden="false" customHeight="false" outlineLevel="0" collapsed="false">
      <c r="A1090" s="219"/>
      <c r="N1090" s="221"/>
    </row>
    <row r="1091" customFormat="false" ht="14.25" hidden="false" customHeight="false" outlineLevel="0" collapsed="false">
      <c r="A1091" s="219"/>
      <c r="N1091" s="221"/>
    </row>
    <row r="1092" customFormat="false" ht="14.25" hidden="false" customHeight="false" outlineLevel="0" collapsed="false">
      <c r="A1092" s="219"/>
      <c r="N1092" s="221"/>
    </row>
    <row r="1093" customFormat="false" ht="14.25" hidden="false" customHeight="false" outlineLevel="0" collapsed="false">
      <c r="A1093" s="219"/>
      <c r="N1093" s="221"/>
    </row>
    <row r="1094" customFormat="false" ht="14.25" hidden="false" customHeight="false" outlineLevel="0" collapsed="false">
      <c r="A1094" s="219"/>
      <c r="N1094" s="221"/>
    </row>
    <row r="1095" customFormat="false" ht="14.25" hidden="false" customHeight="false" outlineLevel="0" collapsed="false">
      <c r="A1095" s="219"/>
      <c r="N1095" s="221"/>
    </row>
    <row r="1096" customFormat="false" ht="14.25" hidden="false" customHeight="false" outlineLevel="0" collapsed="false">
      <c r="A1096" s="219"/>
      <c r="L1096" s="225"/>
      <c r="N1096" s="221"/>
    </row>
    <row r="1097" customFormat="false" ht="14.25" hidden="false" customHeight="false" outlineLevel="0" collapsed="false">
      <c r="A1097" s="219"/>
      <c r="L1097" s="225"/>
      <c r="N1097" s="221"/>
    </row>
    <row r="1098" customFormat="false" ht="14.25" hidden="false" customHeight="false" outlineLevel="0" collapsed="false">
      <c r="A1098" s="219"/>
      <c r="L1098" s="225"/>
      <c r="N1098" s="221"/>
    </row>
    <row r="1099" customFormat="false" ht="14.25" hidden="false" customHeight="false" outlineLevel="0" collapsed="false">
      <c r="A1099" s="219"/>
      <c r="N1099" s="221"/>
    </row>
    <row r="1100" customFormat="false" ht="14.25" hidden="false" customHeight="false" outlineLevel="0" collapsed="false">
      <c r="A1100" s="219"/>
      <c r="N1100" s="221"/>
    </row>
    <row r="1101" customFormat="false" ht="14.25" hidden="false" customHeight="false" outlineLevel="0" collapsed="false">
      <c r="A1101" s="219"/>
      <c r="N1101" s="221"/>
    </row>
    <row r="1102" customFormat="false" ht="14.25" hidden="false" customHeight="false" outlineLevel="0" collapsed="false">
      <c r="A1102" s="219"/>
      <c r="N1102" s="221"/>
    </row>
    <row r="1103" customFormat="false" ht="14.25" hidden="false" customHeight="false" outlineLevel="0" collapsed="false">
      <c r="A1103" s="219"/>
      <c r="L1103" s="224"/>
      <c r="N1103" s="221"/>
    </row>
    <row r="1104" customFormat="false" ht="14.25" hidden="false" customHeight="false" outlineLevel="0" collapsed="false">
      <c r="A1104" s="219"/>
      <c r="N1104" s="221"/>
    </row>
    <row r="1105" customFormat="false" ht="14.25" hidden="false" customHeight="false" outlineLevel="0" collapsed="false">
      <c r="A1105" s="219"/>
      <c r="N1105" s="221"/>
    </row>
    <row r="1106" customFormat="false" ht="14.25" hidden="false" customHeight="false" outlineLevel="0" collapsed="false">
      <c r="A1106" s="219"/>
      <c r="C1106" s="222"/>
      <c r="N1106" s="221"/>
    </row>
    <row r="1107" customFormat="false" ht="15" hidden="false" customHeight="false" outlineLevel="0" collapsed="false">
      <c r="A1107" s="219"/>
      <c r="C1107" s="222"/>
      <c r="D1107" s="223"/>
      <c r="L1107" s="223"/>
      <c r="N1107" s="221"/>
    </row>
    <row r="1108" customFormat="false" ht="14.25" hidden="false" customHeight="false" outlineLevel="0" collapsed="false">
      <c r="A1108" s="219"/>
      <c r="N1108" s="221"/>
    </row>
    <row r="1109" customFormat="false" ht="14.25" hidden="false" customHeight="false" outlineLevel="0" collapsed="false">
      <c r="A1109" s="219"/>
      <c r="C1109" s="222"/>
      <c r="N1109" s="221"/>
    </row>
    <row r="1110" customFormat="false" ht="14.25" hidden="false" customHeight="false" outlineLevel="0" collapsed="false">
      <c r="A1110" s="219"/>
      <c r="C1110" s="222"/>
      <c r="N1110" s="221"/>
    </row>
    <row r="1111" customFormat="false" ht="14.25" hidden="false" customHeight="false" outlineLevel="0" collapsed="false">
      <c r="A1111" s="219"/>
      <c r="C1111" s="222"/>
      <c r="N1111" s="221"/>
    </row>
    <row r="1112" customFormat="false" ht="14.25" hidden="false" customHeight="false" outlineLevel="0" collapsed="false">
      <c r="A1112" s="219"/>
      <c r="C1112" s="222"/>
      <c r="N1112" s="221"/>
    </row>
    <row r="1113" customFormat="false" ht="14.25" hidden="false" customHeight="false" outlineLevel="0" collapsed="false">
      <c r="A1113" s="219"/>
      <c r="C1113" s="222"/>
      <c r="N1113" s="221"/>
    </row>
    <row r="1114" customFormat="false" ht="14.25" hidden="false" customHeight="false" outlineLevel="0" collapsed="false">
      <c r="A1114" s="219"/>
      <c r="C1114" s="222"/>
      <c r="N1114" s="221"/>
    </row>
    <row r="1115" customFormat="false" ht="14.25" hidden="false" customHeight="false" outlineLevel="0" collapsed="false">
      <c r="A1115" s="219"/>
      <c r="C1115" s="222"/>
      <c r="N1115" s="221"/>
    </row>
    <row r="1116" customFormat="false" ht="14.25" hidden="false" customHeight="false" outlineLevel="0" collapsed="false">
      <c r="A1116" s="219"/>
      <c r="C1116" s="222"/>
      <c r="N1116" s="221"/>
    </row>
    <row r="1117" customFormat="false" ht="14.25" hidden="false" customHeight="false" outlineLevel="0" collapsed="false">
      <c r="A1117" s="219"/>
      <c r="C1117" s="222"/>
      <c r="N1117" s="221"/>
    </row>
    <row r="1118" customFormat="false" ht="14.25" hidden="false" customHeight="false" outlineLevel="0" collapsed="false">
      <c r="A1118" s="219"/>
      <c r="C1118" s="222"/>
      <c r="N1118" s="221"/>
    </row>
    <row r="1119" customFormat="false" ht="14.25" hidden="false" customHeight="false" outlineLevel="0" collapsed="false">
      <c r="A1119" s="219"/>
      <c r="C1119" s="222"/>
      <c r="N1119" s="221"/>
    </row>
    <row r="1120" customFormat="false" ht="14.25" hidden="false" customHeight="false" outlineLevel="0" collapsed="false">
      <c r="A1120" s="219"/>
      <c r="C1120" s="222"/>
      <c r="N1120" s="221"/>
    </row>
    <row r="1121" customFormat="false" ht="14.25" hidden="false" customHeight="false" outlineLevel="0" collapsed="false">
      <c r="A1121" s="219"/>
      <c r="C1121" s="222"/>
      <c r="N1121" s="221"/>
    </row>
    <row r="1122" customFormat="false" ht="14.25" hidden="false" customHeight="false" outlineLevel="0" collapsed="false">
      <c r="A1122" s="219"/>
      <c r="C1122" s="222"/>
      <c r="N1122" s="221"/>
    </row>
    <row r="1123" customFormat="false" ht="14.25" hidden="false" customHeight="false" outlineLevel="0" collapsed="false">
      <c r="A1123" s="219"/>
      <c r="C1123" s="222"/>
      <c r="N1123" s="221"/>
    </row>
    <row r="1124" customFormat="false" ht="14.25" hidden="false" customHeight="false" outlineLevel="0" collapsed="false">
      <c r="A1124" s="219"/>
      <c r="C1124" s="220"/>
      <c r="N1124" s="221"/>
    </row>
    <row r="1125" customFormat="false" ht="14.25" hidden="false" customHeight="false" outlineLevel="0" collapsed="false">
      <c r="A1125" s="219"/>
      <c r="C1125" s="222"/>
      <c r="N1125" s="221"/>
    </row>
    <row r="1126" customFormat="false" ht="14.25" hidden="false" customHeight="false" outlineLevel="0" collapsed="false">
      <c r="A1126" s="219"/>
      <c r="C1126" s="222"/>
      <c r="N1126" s="221"/>
    </row>
    <row r="1127" customFormat="false" ht="14.25" hidden="false" customHeight="false" outlineLevel="0" collapsed="false">
      <c r="A1127" s="219"/>
      <c r="C1127" s="222"/>
      <c r="N1127" s="221"/>
    </row>
    <row r="1128" customFormat="false" ht="15" hidden="false" customHeight="false" outlineLevel="0" collapsed="false">
      <c r="A1128" s="219"/>
      <c r="C1128" s="222"/>
      <c r="D1128" s="223"/>
      <c r="L1128" s="223"/>
      <c r="N1128" s="221"/>
    </row>
    <row r="1129" customFormat="false" ht="14.25" hidden="false" customHeight="false" outlineLevel="0" collapsed="false">
      <c r="A1129" s="219"/>
      <c r="C1129" s="222"/>
      <c r="N1129" s="221"/>
    </row>
    <row r="1130" customFormat="false" ht="15" hidden="false" customHeight="false" outlineLevel="0" collapsed="false">
      <c r="A1130" s="226"/>
      <c r="B1130" s="227"/>
      <c r="C1130" s="222"/>
      <c r="D1130" s="228"/>
      <c r="E1130" s="226"/>
      <c r="F1130" s="228"/>
      <c r="G1130" s="229"/>
      <c r="H1130" s="230"/>
      <c r="I1130" s="227"/>
      <c r="J1130" s="231"/>
      <c r="K1130" s="232"/>
      <c r="L1130" s="228"/>
      <c r="M1130" s="226"/>
      <c r="N1130" s="233"/>
      <c r="O1130" s="234"/>
    </row>
    <row r="1131" customFormat="false" ht="14.25" hidden="false" customHeight="false" outlineLevel="0" collapsed="false">
      <c r="A1131" s="219"/>
      <c r="C1131" s="222"/>
      <c r="N1131" s="221"/>
    </row>
    <row r="1132" customFormat="false" ht="14.25" hidden="false" customHeight="false" outlineLevel="0" collapsed="false">
      <c r="A1132" s="219"/>
      <c r="C1132" s="222"/>
      <c r="N1132" s="221"/>
    </row>
    <row r="1133" customFormat="false" ht="14.25" hidden="false" customHeight="false" outlineLevel="0" collapsed="false">
      <c r="A1133" s="219"/>
      <c r="C1133" s="222"/>
      <c r="N1133" s="221"/>
    </row>
    <row r="1134" customFormat="false" ht="14.25" hidden="false" customHeight="false" outlineLevel="0" collapsed="false">
      <c r="A1134" s="219"/>
      <c r="C1134" s="222"/>
      <c r="N1134" s="221"/>
    </row>
    <row r="1135" customFormat="false" ht="14.25" hidden="false" customHeight="false" outlineLevel="0" collapsed="false">
      <c r="A1135" s="219"/>
      <c r="N1135" s="221"/>
    </row>
    <row r="1136" customFormat="false" ht="14.25" hidden="false" customHeight="false" outlineLevel="0" collapsed="false">
      <c r="A1136" s="219"/>
      <c r="N1136" s="221"/>
    </row>
    <row r="1137" customFormat="false" ht="14.25" hidden="false" customHeight="false" outlineLevel="0" collapsed="false">
      <c r="A1137" s="219"/>
      <c r="N1137" s="221"/>
    </row>
    <row r="1138" customFormat="false" ht="14.25" hidden="false" customHeight="false" outlineLevel="0" collapsed="false">
      <c r="A1138" s="219"/>
      <c r="N1138" s="221"/>
    </row>
    <row r="1139" customFormat="false" ht="14.25" hidden="false" customHeight="false" outlineLevel="0" collapsed="false">
      <c r="A1139" s="219"/>
      <c r="N1139" s="221"/>
    </row>
    <row r="1140" customFormat="false" ht="14.25" hidden="false" customHeight="false" outlineLevel="0" collapsed="false">
      <c r="A1140" s="219"/>
      <c r="C1140" s="220"/>
      <c r="N1140" s="221"/>
    </row>
    <row r="1141" customFormat="false" ht="15" hidden="false" customHeight="false" outlineLevel="0" collapsed="false">
      <c r="A1141" s="219"/>
      <c r="C1141" s="222"/>
      <c r="D1141" s="223"/>
      <c r="F1141" s="223"/>
      <c r="L1141" s="223"/>
      <c r="N1141" s="221"/>
    </row>
    <row r="1142" customFormat="false" ht="15" hidden="false" customHeight="false" outlineLevel="0" collapsed="false">
      <c r="A1142" s="219"/>
      <c r="C1142" s="222"/>
      <c r="D1142" s="228"/>
      <c r="L1142" s="223"/>
      <c r="N1142" s="221"/>
    </row>
    <row r="1143" customFormat="false" ht="14.25" hidden="false" customHeight="false" outlineLevel="0" collapsed="false">
      <c r="A1143" s="219"/>
      <c r="C1143" s="220"/>
      <c r="N1143" s="221"/>
    </row>
    <row r="1144" customFormat="false" ht="15" hidden="false" customHeight="false" outlineLevel="0" collapsed="false">
      <c r="A1144" s="219"/>
      <c r="C1144" s="222"/>
      <c r="D1144" s="223"/>
      <c r="L1144" s="223"/>
      <c r="N1144" s="221"/>
    </row>
    <row r="1145" customFormat="false" ht="14.25" hidden="false" customHeight="false" outlineLevel="0" collapsed="false">
      <c r="A1145" s="219"/>
      <c r="N1145" s="221"/>
    </row>
    <row r="1146" customFormat="false" ht="14.25" hidden="false" customHeight="false" outlineLevel="0" collapsed="false">
      <c r="A1146" s="219"/>
      <c r="N1146" s="221"/>
    </row>
    <row r="1147" customFormat="false" ht="15" hidden="false" customHeight="false" outlineLevel="0" collapsed="false">
      <c r="A1147" s="219"/>
      <c r="C1147" s="222"/>
      <c r="D1147" s="223"/>
      <c r="L1147" s="223"/>
      <c r="N1147" s="221"/>
    </row>
    <row r="1148" customFormat="false" ht="14.25" hidden="false" customHeight="false" outlineLevel="0" collapsed="false">
      <c r="A1148" s="219"/>
      <c r="C1148" s="220"/>
      <c r="N1148" s="221"/>
    </row>
    <row r="1149" customFormat="false" ht="14.25" hidden="false" customHeight="false" outlineLevel="0" collapsed="false">
      <c r="A1149" s="219"/>
      <c r="N1149" s="221"/>
    </row>
    <row r="1150" customFormat="false" ht="14.25" hidden="false" customHeight="false" outlineLevel="0" collapsed="false">
      <c r="A1150" s="219"/>
      <c r="C1150" s="220"/>
      <c r="N1150" s="221"/>
    </row>
    <row r="1151" customFormat="false" ht="14.25" hidden="false" customHeight="false" outlineLevel="0" collapsed="false">
      <c r="A1151" s="219"/>
      <c r="C1151" s="220"/>
      <c r="N1151" s="221"/>
    </row>
    <row r="1152" customFormat="false" ht="14.25" hidden="false" customHeight="false" outlineLevel="0" collapsed="false">
      <c r="A1152" s="219"/>
      <c r="C1152" s="220"/>
      <c r="N1152" s="221"/>
    </row>
    <row r="1153" customFormat="false" ht="14.25" hidden="false" customHeight="false" outlineLevel="0" collapsed="false">
      <c r="A1153" s="219"/>
      <c r="C1153" s="220"/>
      <c r="N1153" s="221"/>
    </row>
    <row r="1154" customFormat="false" ht="15" hidden="false" customHeight="false" outlineLevel="0" collapsed="false">
      <c r="A1154" s="219"/>
      <c r="C1154" s="222"/>
      <c r="D1154" s="223"/>
      <c r="L1154" s="223"/>
      <c r="N1154" s="221"/>
    </row>
    <row r="1155" customFormat="false" ht="15" hidden="false" customHeight="false" outlineLevel="0" collapsed="false">
      <c r="A1155" s="219"/>
      <c r="C1155" s="222"/>
      <c r="D1155" s="223"/>
      <c r="L1155" s="223"/>
      <c r="N1155" s="221"/>
    </row>
    <row r="1156" customFormat="false" ht="14.25" hidden="false" customHeight="false" outlineLevel="0" collapsed="false">
      <c r="A1156" s="219"/>
      <c r="N1156" s="221"/>
    </row>
    <row r="1157" customFormat="false" ht="14.25" hidden="false" customHeight="false" outlineLevel="0" collapsed="false">
      <c r="A1157" s="219"/>
      <c r="N1157" s="221"/>
    </row>
    <row r="1158" customFormat="false" ht="14.25" hidden="false" customHeight="false" outlineLevel="0" collapsed="false">
      <c r="A1158" s="219"/>
      <c r="N1158" s="221"/>
    </row>
    <row r="1159" customFormat="false" ht="14.25" hidden="false" customHeight="false" outlineLevel="0" collapsed="false">
      <c r="A1159" s="219"/>
      <c r="C1159" s="220"/>
      <c r="N1159" s="221"/>
    </row>
    <row r="1160" customFormat="false" ht="14.25" hidden="false" customHeight="false" outlineLevel="0" collapsed="false">
      <c r="A1160" s="219"/>
      <c r="C1160" s="220"/>
      <c r="N1160" s="221"/>
    </row>
    <row r="1161" customFormat="false" ht="14.25" hidden="false" customHeight="false" outlineLevel="0" collapsed="false">
      <c r="A1161" s="219"/>
      <c r="C1161" s="220"/>
      <c r="N1161" s="221"/>
    </row>
    <row r="1162" customFormat="false" ht="14.25" hidden="false" customHeight="false" outlineLevel="0" collapsed="false">
      <c r="A1162" s="219"/>
      <c r="C1162" s="220"/>
      <c r="N1162" s="221"/>
    </row>
    <row r="1163" customFormat="false" ht="14.25" hidden="false" customHeight="false" outlineLevel="0" collapsed="false">
      <c r="A1163" s="219"/>
      <c r="C1163" s="220"/>
      <c r="N1163" s="221"/>
    </row>
    <row r="1164" customFormat="false" ht="15" hidden="false" customHeight="false" outlineLevel="0" collapsed="false">
      <c r="A1164" s="219"/>
      <c r="C1164" s="222"/>
      <c r="D1164" s="223"/>
      <c r="L1164" s="223"/>
      <c r="N1164" s="221"/>
    </row>
    <row r="1165" customFormat="false" ht="15" hidden="false" customHeight="false" outlineLevel="0" collapsed="false">
      <c r="A1165" s="219"/>
      <c r="C1165" s="222"/>
      <c r="D1165" s="223"/>
      <c r="L1165" s="223"/>
      <c r="N1165" s="221"/>
    </row>
    <row r="1166" customFormat="false" ht="15" hidden="false" customHeight="false" outlineLevel="0" collapsed="false">
      <c r="A1166" s="219"/>
      <c r="C1166" s="222"/>
      <c r="D1166" s="223"/>
      <c r="L1166" s="223"/>
      <c r="N1166" s="221"/>
    </row>
    <row r="1167" customFormat="false" ht="15" hidden="false" customHeight="false" outlineLevel="0" collapsed="false">
      <c r="A1167" s="219"/>
      <c r="C1167" s="222"/>
      <c r="D1167" s="223"/>
      <c r="F1167" s="223"/>
      <c r="L1167" s="223"/>
      <c r="N1167" s="221"/>
    </row>
    <row r="1168" customFormat="false" ht="14.25" hidden="false" customHeight="false" outlineLevel="0" collapsed="false">
      <c r="A1168" s="219"/>
      <c r="N1168" s="221"/>
    </row>
    <row r="1169" customFormat="false" ht="14.25" hidden="false" customHeight="false" outlineLevel="0" collapsed="false">
      <c r="A1169" s="219"/>
      <c r="N1169" s="221"/>
    </row>
    <row r="1170" customFormat="false" ht="15" hidden="false" customHeight="false" outlineLevel="0" collapsed="false">
      <c r="A1170" s="219"/>
      <c r="C1170" s="222"/>
      <c r="D1170" s="223"/>
      <c r="F1170" s="223"/>
      <c r="L1170" s="223"/>
      <c r="N1170" s="221"/>
    </row>
    <row r="1171" customFormat="false" ht="14.25" hidden="false" customHeight="false" outlineLevel="0" collapsed="false">
      <c r="A1171" s="219"/>
      <c r="N1171" s="221"/>
    </row>
    <row r="1172" customFormat="false" ht="14.25" hidden="false" customHeight="false" outlineLevel="0" collapsed="false">
      <c r="A1172" s="219"/>
      <c r="C1172" s="220"/>
      <c r="N1172" s="221"/>
    </row>
    <row r="1173" customFormat="false" ht="14.25" hidden="false" customHeight="false" outlineLevel="0" collapsed="false">
      <c r="A1173" s="219"/>
      <c r="C1173" s="220"/>
      <c r="N1173" s="221"/>
    </row>
    <row r="1174" customFormat="false" ht="14.25" hidden="false" customHeight="false" outlineLevel="0" collapsed="false">
      <c r="A1174" s="219"/>
      <c r="C1174" s="220"/>
      <c r="N1174" s="221"/>
    </row>
    <row r="1175" customFormat="false" ht="15" hidden="false" customHeight="false" outlineLevel="0" collapsed="false">
      <c r="A1175" s="219"/>
      <c r="C1175" s="222"/>
      <c r="D1175" s="228"/>
      <c r="L1175" s="223"/>
      <c r="N1175" s="221"/>
    </row>
    <row r="1176" customFormat="false" ht="14.25" hidden="false" customHeight="false" outlineLevel="0" collapsed="false">
      <c r="A1176" s="219"/>
      <c r="N1176" s="221"/>
    </row>
    <row r="1177" customFormat="false" ht="14.25" hidden="false" customHeight="false" outlineLevel="0" collapsed="false">
      <c r="A1177" s="219"/>
      <c r="N1177" s="221"/>
    </row>
    <row r="1178" customFormat="false" ht="15" hidden="false" customHeight="false" outlineLevel="0" collapsed="false">
      <c r="A1178" s="219"/>
      <c r="C1178" s="222"/>
      <c r="D1178" s="223"/>
      <c r="F1178" s="223"/>
      <c r="L1178" s="223"/>
      <c r="N1178" s="221"/>
    </row>
    <row r="1179" customFormat="false" ht="14.25" hidden="false" customHeight="false" outlineLevel="0" collapsed="false">
      <c r="A1179" s="219"/>
      <c r="C1179" s="220"/>
      <c r="N1179" s="221"/>
    </row>
    <row r="1180" customFormat="false" ht="15" hidden="false" customHeight="false" outlineLevel="0" collapsed="false">
      <c r="A1180" s="219"/>
      <c r="C1180" s="222"/>
      <c r="D1180" s="228"/>
      <c r="L1180" s="223"/>
      <c r="N1180" s="221"/>
    </row>
    <row r="1181" customFormat="false" ht="14.25" hidden="false" customHeight="false" outlineLevel="0" collapsed="false">
      <c r="A1181" s="219"/>
      <c r="N1181" s="221"/>
    </row>
    <row r="1182" customFormat="false" ht="14.25" hidden="false" customHeight="false" outlineLevel="0" collapsed="false">
      <c r="A1182" s="219"/>
      <c r="C1182" s="220"/>
      <c r="N1182" s="221"/>
      <c r="O1182" s="235"/>
    </row>
    <row r="1183" customFormat="false" ht="14.25" hidden="false" customHeight="false" outlineLevel="0" collapsed="false">
      <c r="A1183" s="219"/>
      <c r="C1183" s="220"/>
      <c r="N1183" s="221"/>
      <c r="O1183" s="235"/>
    </row>
    <row r="1184" customFormat="false" ht="14.25" hidden="false" customHeight="false" outlineLevel="0" collapsed="false">
      <c r="A1184" s="219"/>
      <c r="C1184" s="220"/>
      <c r="N1184" s="221"/>
      <c r="O1184" s="235"/>
    </row>
    <row r="1185" customFormat="false" ht="14.25" hidden="false" customHeight="false" outlineLevel="0" collapsed="false">
      <c r="A1185" s="219"/>
      <c r="C1185" s="220"/>
      <c r="N1185" s="221"/>
      <c r="O1185" s="235"/>
    </row>
    <row r="1186" customFormat="false" ht="14.25" hidden="false" customHeight="false" outlineLevel="0" collapsed="false">
      <c r="A1186" s="219"/>
      <c r="C1186" s="220"/>
      <c r="N1186" s="221"/>
      <c r="O1186" s="235"/>
    </row>
    <row r="1187" customFormat="false" ht="15" hidden="false" customHeight="false" outlineLevel="0" collapsed="false">
      <c r="A1187" s="219"/>
      <c r="C1187" s="222"/>
      <c r="D1187" s="223"/>
      <c r="F1187" s="223"/>
      <c r="L1187" s="223"/>
      <c r="N1187" s="221"/>
      <c r="O1187" s="235"/>
    </row>
    <row r="1188" customFormat="false" ht="15" hidden="false" customHeight="false" outlineLevel="0" collapsed="false">
      <c r="A1188" s="219"/>
      <c r="C1188" s="222"/>
      <c r="D1188" s="223"/>
      <c r="L1188" s="223"/>
      <c r="N1188" s="221"/>
      <c r="O1188" s="235"/>
    </row>
    <row r="1189" customFormat="false" ht="15" hidden="false" customHeight="false" outlineLevel="0" collapsed="false">
      <c r="A1189" s="219"/>
      <c r="C1189" s="222"/>
      <c r="D1189" s="223"/>
      <c r="F1189" s="223"/>
      <c r="L1189" s="223"/>
      <c r="N1189" s="221"/>
      <c r="O1189" s="235"/>
    </row>
    <row r="1190" customFormat="false" ht="14.25" hidden="false" customHeight="false" outlineLevel="0" collapsed="false">
      <c r="A1190" s="219"/>
      <c r="N1190" s="221"/>
      <c r="O1190" s="235"/>
    </row>
    <row r="1191" customFormat="false" ht="14.25" hidden="false" customHeight="false" outlineLevel="0" collapsed="false">
      <c r="A1191" s="219"/>
      <c r="N1191" s="221"/>
      <c r="O1191" s="235"/>
    </row>
    <row r="1192" customFormat="false" ht="15" hidden="false" customHeight="false" outlineLevel="0" collapsed="false">
      <c r="A1192" s="219"/>
      <c r="C1192" s="222"/>
      <c r="D1192" s="223"/>
      <c r="F1192" s="223"/>
      <c r="L1192" s="223"/>
      <c r="N1192" s="221"/>
      <c r="O1192" s="235"/>
    </row>
    <row r="1193" customFormat="false" ht="15" hidden="false" customHeight="false" outlineLevel="0" collapsed="false">
      <c r="A1193" s="219"/>
      <c r="C1193" s="222"/>
      <c r="D1193" s="223"/>
      <c r="L1193" s="223"/>
      <c r="N1193" s="221"/>
      <c r="O1193" s="235"/>
    </row>
    <row r="1194" customFormat="false" ht="15" hidden="false" customHeight="false" outlineLevel="0" collapsed="false">
      <c r="A1194" s="219"/>
      <c r="C1194" s="222"/>
      <c r="D1194" s="223"/>
      <c r="L1194" s="223"/>
      <c r="N1194" s="221"/>
      <c r="O1194" s="235"/>
    </row>
    <row r="1195" customFormat="false" ht="15" hidden="false" customHeight="false" outlineLevel="0" collapsed="false">
      <c r="A1195" s="219"/>
      <c r="C1195" s="222"/>
      <c r="D1195" s="223"/>
      <c r="L1195" s="223"/>
      <c r="N1195" s="221"/>
      <c r="O1195" s="235"/>
    </row>
    <row r="1196" customFormat="false" ht="14.25" hidden="false" customHeight="false" outlineLevel="0" collapsed="false">
      <c r="A1196" s="219"/>
      <c r="N1196" s="221"/>
      <c r="O1196" s="235"/>
    </row>
    <row r="1197" customFormat="false" ht="14.25" hidden="false" customHeight="false" outlineLevel="0" collapsed="false">
      <c r="A1197" s="219"/>
      <c r="C1197" s="220"/>
      <c r="N1197" s="221"/>
      <c r="O1197" s="235"/>
    </row>
    <row r="1198" customFormat="false" ht="14.25" hidden="false" customHeight="false" outlineLevel="0" collapsed="false">
      <c r="A1198" s="219"/>
      <c r="C1198" s="220"/>
      <c r="N1198" s="221"/>
      <c r="O1198" s="235"/>
    </row>
    <row r="1199" customFormat="false" ht="14.25" hidden="false" customHeight="false" outlineLevel="0" collapsed="false">
      <c r="A1199" s="219"/>
      <c r="C1199" s="220"/>
      <c r="N1199" s="221"/>
      <c r="O1199" s="235"/>
    </row>
    <row r="1200" customFormat="false" ht="15" hidden="false" customHeight="false" outlineLevel="0" collapsed="false">
      <c r="A1200" s="219"/>
      <c r="C1200" s="222"/>
      <c r="D1200" s="223"/>
      <c r="F1200" s="223"/>
      <c r="L1200" s="223"/>
      <c r="N1200" s="221"/>
      <c r="O1200" s="235"/>
    </row>
    <row r="1201" customFormat="false" ht="15" hidden="false" customHeight="false" outlineLevel="0" collapsed="false">
      <c r="A1201" s="219"/>
      <c r="C1201" s="222"/>
      <c r="D1201" s="223"/>
      <c r="F1201" s="223"/>
      <c r="L1201" s="223"/>
      <c r="N1201" s="221"/>
      <c r="O1201" s="235"/>
    </row>
    <row r="1202" customFormat="false" ht="14.25" hidden="false" customHeight="false" outlineLevel="0" collapsed="false">
      <c r="A1202" s="219"/>
      <c r="N1202" s="221"/>
      <c r="O1202" s="235"/>
    </row>
    <row r="1203" customFormat="false" ht="14.25" hidden="false" customHeight="false" outlineLevel="0" collapsed="false">
      <c r="A1203" s="219"/>
      <c r="N1203" s="221"/>
      <c r="O1203" s="235"/>
    </row>
    <row r="1204" customFormat="false" ht="15" hidden="false" customHeight="false" outlineLevel="0" collapsed="false">
      <c r="A1204" s="219"/>
      <c r="C1204" s="222"/>
      <c r="D1204" s="223"/>
      <c r="F1204" s="223"/>
      <c r="L1204" s="223"/>
      <c r="N1204" s="221"/>
      <c r="O1204" s="236"/>
    </row>
    <row r="1205" customFormat="false" ht="14.25" hidden="false" customHeight="false" outlineLevel="0" collapsed="false">
      <c r="A1205" s="219"/>
      <c r="C1205" s="220"/>
      <c r="N1205" s="221"/>
    </row>
    <row r="1206" customFormat="false" ht="14.25" hidden="false" customHeight="false" outlineLevel="0" collapsed="false">
      <c r="A1206" s="219"/>
      <c r="C1206" s="220"/>
      <c r="N1206" s="221"/>
    </row>
    <row r="1207" customFormat="false" ht="14.25" hidden="false" customHeight="false" outlineLevel="0" collapsed="false">
      <c r="A1207" s="219"/>
      <c r="N1207" s="221"/>
    </row>
    <row r="1208" customFormat="false" ht="14.25" hidden="false" customHeight="false" outlineLevel="0" collapsed="false">
      <c r="A1208" s="219"/>
      <c r="C1208" s="220"/>
      <c r="N1208" s="221"/>
    </row>
    <row r="1209" customFormat="false" ht="14.25" hidden="false" customHeight="false" outlineLevel="0" collapsed="false">
      <c r="A1209" s="219"/>
      <c r="C1209" s="220"/>
      <c r="N1209" s="221"/>
    </row>
    <row r="1210" customFormat="false" ht="14.25" hidden="false" customHeight="false" outlineLevel="0" collapsed="false">
      <c r="A1210" s="219"/>
      <c r="N1210" s="221"/>
    </row>
    <row r="1211" customFormat="false" ht="14.25" hidden="false" customHeight="false" outlineLevel="0" collapsed="false">
      <c r="A1211" s="219"/>
      <c r="C1211" s="220"/>
      <c r="N1211" s="221"/>
    </row>
    <row r="1212" customFormat="false" ht="14.25" hidden="false" customHeight="false" outlineLevel="0" collapsed="false">
      <c r="A1212" s="219"/>
      <c r="C1212" s="220"/>
      <c r="N1212" s="221"/>
    </row>
    <row r="1213" customFormat="false" ht="15" hidden="false" customHeight="false" outlineLevel="0" collapsed="false">
      <c r="A1213" s="219"/>
      <c r="C1213" s="222"/>
      <c r="D1213" s="228"/>
      <c r="L1213" s="223"/>
      <c r="N1213" s="221"/>
    </row>
    <row r="1214" customFormat="false" ht="14.25" hidden="false" customHeight="false" outlineLevel="0" collapsed="false">
      <c r="A1214" s="219"/>
      <c r="N1214" s="221"/>
    </row>
    <row r="1215" customFormat="false" ht="14.25" hidden="false" customHeight="false" outlineLevel="0" collapsed="false">
      <c r="A1215" s="219"/>
      <c r="C1215" s="220"/>
      <c r="N1215" s="221"/>
    </row>
    <row r="1216" customFormat="false" ht="14.25" hidden="false" customHeight="false" outlineLevel="0" collapsed="false">
      <c r="A1216" s="219"/>
      <c r="C1216" s="220"/>
      <c r="N1216" s="221"/>
    </row>
    <row r="1217" customFormat="false" ht="14.25" hidden="false" customHeight="false" outlineLevel="0" collapsed="false">
      <c r="A1217" s="219"/>
      <c r="C1217" s="220"/>
      <c r="N1217" s="221"/>
    </row>
    <row r="1218" customFormat="false" ht="15" hidden="false" customHeight="false" outlineLevel="0" collapsed="false">
      <c r="A1218" s="219"/>
      <c r="C1218" s="222"/>
      <c r="D1218" s="223"/>
      <c r="F1218" s="223"/>
      <c r="L1218" s="223"/>
      <c r="N1218" s="221"/>
    </row>
    <row r="1219" customFormat="false" ht="15" hidden="false" customHeight="false" outlineLevel="0" collapsed="false">
      <c r="A1219" s="219"/>
      <c r="C1219" s="222"/>
      <c r="D1219" s="223"/>
      <c r="F1219" s="223"/>
      <c r="L1219" s="223"/>
      <c r="N1219" s="221"/>
    </row>
    <row r="1220" customFormat="false" ht="14.25" hidden="false" customHeight="false" outlineLevel="0" collapsed="false">
      <c r="A1220" s="219"/>
      <c r="N1220" s="221"/>
    </row>
    <row r="1221" customFormat="false" ht="14.25" hidden="false" customHeight="false" outlineLevel="0" collapsed="false">
      <c r="A1221" s="219"/>
      <c r="N1221" s="221"/>
    </row>
    <row r="1222" customFormat="false" ht="14.25" hidden="false" customHeight="false" outlineLevel="0" collapsed="false">
      <c r="A1222" s="219"/>
      <c r="C1222" s="220"/>
      <c r="M1222" s="224"/>
      <c r="N1222" s="221"/>
    </row>
    <row r="1223" customFormat="false" ht="14.25" hidden="false" customHeight="false" outlineLevel="0" collapsed="false">
      <c r="A1223" s="219"/>
      <c r="C1223" s="220"/>
      <c r="N1223" s="221"/>
    </row>
    <row r="1224" customFormat="false" ht="14.25" hidden="false" customHeight="false" outlineLevel="0" collapsed="false">
      <c r="A1224" s="219"/>
      <c r="C1224" s="220"/>
      <c r="N1224" s="221"/>
    </row>
    <row r="1225" customFormat="false" ht="14.25" hidden="false" customHeight="false" outlineLevel="0" collapsed="false">
      <c r="A1225" s="219"/>
      <c r="C1225" s="220"/>
      <c r="N1225" s="221"/>
    </row>
    <row r="1226" customFormat="false" ht="14.25" hidden="false" customHeight="false" outlineLevel="0" collapsed="false">
      <c r="A1226" s="219"/>
      <c r="C1226" s="220"/>
      <c r="N1226" s="221"/>
    </row>
    <row r="1227" customFormat="false" ht="14.25" hidden="false" customHeight="false" outlineLevel="0" collapsed="false">
      <c r="A1227" s="219"/>
      <c r="C1227" s="220"/>
      <c r="N1227" s="221"/>
    </row>
    <row r="1228" customFormat="false" ht="14.25" hidden="false" customHeight="false" outlineLevel="0" collapsed="false">
      <c r="A1228" s="219"/>
      <c r="C1228" s="220"/>
      <c r="N1228" s="221"/>
    </row>
    <row r="1229" customFormat="false" ht="14.25" hidden="false" customHeight="false" outlineLevel="0" collapsed="false">
      <c r="A1229" s="219"/>
      <c r="C1229" s="220"/>
      <c r="N1229" s="221"/>
    </row>
    <row r="1230" customFormat="false" ht="14.25" hidden="false" customHeight="false" outlineLevel="0" collapsed="false">
      <c r="A1230" s="219"/>
      <c r="C1230" s="220"/>
      <c r="N1230" s="221"/>
    </row>
    <row r="1231" customFormat="false" ht="14.25" hidden="false" customHeight="false" outlineLevel="0" collapsed="false">
      <c r="A1231" s="219"/>
      <c r="C1231" s="220"/>
      <c r="N1231" s="221"/>
    </row>
    <row r="1232" customFormat="false" ht="14.25" hidden="false" customHeight="false" outlineLevel="0" collapsed="false">
      <c r="A1232" s="219"/>
      <c r="C1232" s="220"/>
      <c r="N1232" s="221"/>
    </row>
    <row r="1233" customFormat="false" ht="14.25" hidden="false" customHeight="false" outlineLevel="0" collapsed="false">
      <c r="A1233" s="219"/>
      <c r="C1233" s="220"/>
      <c r="N1233" s="221"/>
    </row>
    <row r="1234" customFormat="false" ht="14.25" hidden="false" customHeight="false" outlineLevel="0" collapsed="false">
      <c r="A1234" s="219"/>
      <c r="C1234" s="220"/>
      <c r="N1234" s="221"/>
    </row>
    <row r="1235" customFormat="false" ht="14.25" hidden="false" customHeight="false" outlineLevel="0" collapsed="false">
      <c r="A1235" s="219"/>
      <c r="C1235" s="220"/>
      <c r="N1235" s="221"/>
    </row>
    <row r="1236" customFormat="false" ht="14.25" hidden="false" customHeight="false" outlineLevel="0" collapsed="false">
      <c r="A1236" s="219"/>
      <c r="C1236" s="220"/>
      <c r="N1236" s="221"/>
    </row>
    <row r="1237" customFormat="false" ht="14.25" hidden="false" customHeight="false" outlineLevel="0" collapsed="false">
      <c r="A1237" s="219"/>
      <c r="C1237" s="220"/>
      <c r="N1237" s="221"/>
    </row>
    <row r="1238" customFormat="false" ht="14.25" hidden="false" customHeight="false" outlineLevel="0" collapsed="false">
      <c r="A1238" s="219"/>
      <c r="C1238" s="220"/>
      <c r="N1238" s="221"/>
    </row>
    <row r="1239" customFormat="false" ht="14.25" hidden="false" customHeight="false" outlineLevel="0" collapsed="false">
      <c r="A1239" s="219"/>
      <c r="C1239" s="220"/>
      <c r="N1239" s="221"/>
    </row>
    <row r="1240" customFormat="false" ht="14.25" hidden="false" customHeight="false" outlineLevel="0" collapsed="false">
      <c r="A1240" s="219"/>
      <c r="C1240" s="220"/>
      <c r="N1240" s="221"/>
    </row>
    <row r="1241" customFormat="false" ht="14.25" hidden="false" customHeight="false" outlineLevel="0" collapsed="false">
      <c r="A1241" s="219"/>
      <c r="C1241" s="220"/>
      <c r="N1241" s="221"/>
    </row>
    <row r="1242" customFormat="false" ht="14.25" hidden="false" customHeight="false" outlineLevel="0" collapsed="false">
      <c r="A1242" s="219"/>
      <c r="C1242" s="220"/>
      <c r="N1242" s="221"/>
    </row>
    <row r="1243" customFormat="false" ht="14.25" hidden="false" customHeight="false" outlineLevel="0" collapsed="false">
      <c r="A1243" s="219"/>
      <c r="C1243" s="220"/>
      <c r="N1243" s="221"/>
    </row>
    <row r="1244" customFormat="false" ht="14.25" hidden="false" customHeight="false" outlineLevel="0" collapsed="false">
      <c r="A1244" s="219"/>
      <c r="C1244" s="220"/>
      <c r="N1244" s="221"/>
    </row>
    <row r="1245" customFormat="false" ht="14.25" hidden="false" customHeight="false" outlineLevel="0" collapsed="false">
      <c r="A1245" s="219"/>
      <c r="C1245" s="220"/>
      <c r="N1245" s="221"/>
    </row>
    <row r="1246" customFormat="false" ht="14.25" hidden="false" customHeight="false" outlineLevel="0" collapsed="false">
      <c r="A1246" s="219"/>
      <c r="C1246" s="220"/>
      <c r="N1246" s="221"/>
    </row>
    <row r="1247" customFormat="false" ht="14.25" hidden="false" customHeight="false" outlineLevel="0" collapsed="false">
      <c r="A1247" s="219"/>
      <c r="C1247" s="220"/>
      <c r="N1247" s="221"/>
    </row>
    <row r="1248" customFormat="false" ht="14.25" hidden="false" customHeight="false" outlineLevel="0" collapsed="false">
      <c r="A1248" s="219"/>
      <c r="C1248" s="220"/>
      <c r="N1248" s="221"/>
    </row>
    <row r="1249" customFormat="false" ht="14.25" hidden="false" customHeight="false" outlineLevel="0" collapsed="false">
      <c r="A1249" s="219"/>
      <c r="C1249" s="220"/>
      <c r="N1249" s="221"/>
    </row>
    <row r="1250" customFormat="false" ht="14.25" hidden="false" customHeight="false" outlineLevel="0" collapsed="false">
      <c r="A1250" s="219"/>
      <c r="C1250" s="220"/>
      <c r="N1250" s="221"/>
    </row>
    <row r="1251" customFormat="false" ht="14.25" hidden="false" customHeight="false" outlineLevel="0" collapsed="false">
      <c r="A1251" s="219"/>
      <c r="C1251" s="220"/>
      <c r="N1251" s="221"/>
    </row>
    <row r="1252" customFormat="false" ht="14.25" hidden="false" customHeight="false" outlineLevel="0" collapsed="false">
      <c r="A1252" s="219"/>
      <c r="C1252" s="220"/>
      <c r="N1252" s="221"/>
    </row>
    <row r="1253" customFormat="false" ht="14.25" hidden="false" customHeight="false" outlineLevel="0" collapsed="false">
      <c r="A1253" s="219"/>
      <c r="C1253" s="220"/>
      <c r="N1253" s="221"/>
    </row>
    <row r="1254" customFormat="false" ht="14.25" hidden="false" customHeight="false" outlineLevel="0" collapsed="false">
      <c r="A1254" s="219"/>
      <c r="C1254" s="220"/>
      <c r="N1254" s="221"/>
    </row>
    <row r="1255" customFormat="false" ht="14.25" hidden="false" customHeight="false" outlineLevel="0" collapsed="false">
      <c r="A1255" s="219"/>
      <c r="C1255" s="220"/>
      <c r="N1255" s="221"/>
    </row>
    <row r="1256" customFormat="false" ht="14.25" hidden="false" customHeight="false" outlineLevel="0" collapsed="false">
      <c r="A1256" s="219"/>
      <c r="C1256" s="220"/>
      <c r="N1256" s="221"/>
    </row>
    <row r="1257" customFormat="false" ht="14.25" hidden="false" customHeight="false" outlineLevel="0" collapsed="false">
      <c r="A1257" s="219"/>
      <c r="C1257" s="220"/>
      <c r="N1257" s="221"/>
    </row>
    <row r="1258" customFormat="false" ht="14.25" hidden="false" customHeight="false" outlineLevel="0" collapsed="false">
      <c r="A1258" s="219"/>
      <c r="C1258" s="220"/>
      <c r="N1258" s="221"/>
    </row>
    <row r="1259" customFormat="false" ht="14.25" hidden="false" customHeight="false" outlineLevel="0" collapsed="false">
      <c r="A1259" s="219"/>
      <c r="C1259" s="220"/>
      <c r="N1259" s="221"/>
    </row>
    <row r="1260" customFormat="false" ht="14.25" hidden="false" customHeight="false" outlineLevel="0" collapsed="false">
      <c r="A1260" s="219"/>
      <c r="C1260" s="220"/>
      <c r="N1260" s="221"/>
    </row>
    <row r="1261" customFormat="false" ht="14.25" hidden="false" customHeight="false" outlineLevel="0" collapsed="false">
      <c r="A1261" s="219"/>
      <c r="C1261" s="220"/>
      <c r="N1261" s="221"/>
    </row>
    <row r="1262" customFormat="false" ht="14.25" hidden="false" customHeight="false" outlineLevel="0" collapsed="false">
      <c r="A1262" s="219"/>
      <c r="C1262" s="220"/>
      <c r="N1262" s="221"/>
    </row>
    <row r="1263" customFormat="false" ht="14.25" hidden="false" customHeight="false" outlineLevel="0" collapsed="false">
      <c r="A1263" s="219"/>
      <c r="C1263" s="220"/>
      <c r="N1263" s="221"/>
    </row>
    <row r="1264" customFormat="false" ht="14.25" hidden="false" customHeight="false" outlineLevel="0" collapsed="false">
      <c r="A1264" s="219"/>
      <c r="C1264" s="220"/>
      <c r="N1264" s="221"/>
    </row>
    <row r="1265" customFormat="false" ht="14.25" hidden="false" customHeight="false" outlineLevel="0" collapsed="false">
      <c r="A1265" s="219"/>
      <c r="C1265" s="220"/>
      <c r="N1265" s="221"/>
    </row>
    <row r="1266" customFormat="false" ht="14.25" hidden="false" customHeight="false" outlineLevel="0" collapsed="false">
      <c r="A1266" s="219"/>
      <c r="C1266" s="220"/>
      <c r="N1266" s="221"/>
    </row>
    <row r="1267" customFormat="false" ht="14.25" hidden="false" customHeight="false" outlineLevel="0" collapsed="false">
      <c r="A1267" s="219"/>
      <c r="C1267" s="220"/>
      <c r="N1267" s="221"/>
    </row>
    <row r="1268" customFormat="false" ht="14.25" hidden="false" customHeight="false" outlineLevel="0" collapsed="false">
      <c r="A1268" s="219"/>
      <c r="C1268" s="220"/>
      <c r="N1268" s="221"/>
    </row>
    <row r="1269" customFormat="false" ht="14.25" hidden="false" customHeight="false" outlineLevel="0" collapsed="false">
      <c r="A1269" s="219"/>
      <c r="C1269" s="220"/>
      <c r="N1269" s="221"/>
    </row>
    <row r="1270" customFormat="false" ht="14.25" hidden="false" customHeight="false" outlineLevel="0" collapsed="false">
      <c r="A1270" s="219"/>
      <c r="C1270" s="220"/>
      <c r="N1270" s="221"/>
    </row>
    <row r="1271" customFormat="false" ht="14.25" hidden="false" customHeight="false" outlineLevel="0" collapsed="false">
      <c r="A1271" s="219"/>
      <c r="C1271" s="220"/>
      <c r="N1271" s="221"/>
    </row>
    <row r="1272" customFormat="false" ht="14.25" hidden="false" customHeight="false" outlineLevel="0" collapsed="false">
      <c r="A1272" s="219"/>
      <c r="C1272" s="220"/>
      <c r="N1272" s="221"/>
    </row>
    <row r="1273" customFormat="false" ht="14.25" hidden="false" customHeight="false" outlineLevel="0" collapsed="false">
      <c r="A1273" s="219"/>
      <c r="C1273" s="220"/>
      <c r="N1273" s="221"/>
    </row>
    <row r="1274" customFormat="false" ht="14.25" hidden="false" customHeight="false" outlineLevel="0" collapsed="false">
      <c r="A1274" s="219"/>
      <c r="C1274" s="220"/>
      <c r="N1274" s="221"/>
    </row>
    <row r="1275" customFormat="false" ht="14.25" hidden="false" customHeight="false" outlineLevel="0" collapsed="false">
      <c r="A1275" s="219"/>
      <c r="C1275" s="220"/>
      <c r="N1275" s="221"/>
    </row>
    <row r="1276" customFormat="false" ht="14.25" hidden="false" customHeight="false" outlineLevel="0" collapsed="false">
      <c r="A1276" s="219"/>
      <c r="C1276" s="220"/>
      <c r="N1276" s="221"/>
    </row>
    <row r="1277" customFormat="false" ht="14.25" hidden="false" customHeight="false" outlineLevel="0" collapsed="false">
      <c r="A1277" s="219"/>
      <c r="C1277" s="220"/>
      <c r="N1277" s="221"/>
    </row>
    <row r="1278" customFormat="false" ht="14.25" hidden="false" customHeight="false" outlineLevel="0" collapsed="false">
      <c r="A1278" s="219"/>
      <c r="C1278" s="220"/>
      <c r="N1278" s="221"/>
    </row>
    <row r="1279" customFormat="false" ht="14.25" hidden="false" customHeight="false" outlineLevel="0" collapsed="false">
      <c r="A1279" s="219"/>
      <c r="C1279" s="220"/>
      <c r="N1279" s="221"/>
    </row>
    <row r="1280" customFormat="false" ht="14.25" hidden="false" customHeight="false" outlineLevel="0" collapsed="false">
      <c r="A1280" s="219"/>
      <c r="C1280" s="220"/>
      <c r="N1280" s="221"/>
    </row>
    <row r="1281" customFormat="false" ht="14.25" hidden="false" customHeight="false" outlineLevel="0" collapsed="false">
      <c r="A1281" s="219"/>
      <c r="C1281" s="220"/>
      <c r="N1281" s="221"/>
    </row>
    <row r="1282" customFormat="false" ht="14.25" hidden="false" customHeight="false" outlineLevel="0" collapsed="false">
      <c r="A1282" s="219"/>
      <c r="C1282" s="220"/>
      <c r="N1282" s="221"/>
    </row>
    <row r="1283" customFormat="false" ht="14.25" hidden="false" customHeight="false" outlineLevel="0" collapsed="false">
      <c r="A1283" s="219"/>
      <c r="C1283" s="220"/>
      <c r="N1283" s="221"/>
    </row>
    <row r="1284" customFormat="false" ht="14.25" hidden="false" customHeight="false" outlineLevel="0" collapsed="false">
      <c r="A1284" s="219"/>
      <c r="C1284" s="220"/>
      <c r="N1284" s="221"/>
    </row>
    <row r="1285" customFormat="false" ht="14.25" hidden="false" customHeight="false" outlineLevel="0" collapsed="false">
      <c r="A1285" s="219"/>
      <c r="C1285" s="220"/>
      <c r="N1285" s="221"/>
    </row>
    <row r="1286" customFormat="false" ht="14.25" hidden="false" customHeight="false" outlineLevel="0" collapsed="false">
      <c r="A1286" s="219"/>
      <c r="C1286" s="220"/>
      <c r="N1286" s="221"/>
    </row>
    <row r="1287" customFormat="false" ht="14.25" hidden="false" customHeight="false" outlineLevel="0" collapsed="false">
      <c r="A1287" s="219"/>
      <c r="C1287" s="220"/>
      <c r="N1287" s="221"/>
    </row>
    <row r="1288" customFormat="false" ht="14.25" hidden="false" customHeight="false" outlineLevel="0" collapsed="false">
      <c r="A1288" s="219"/>
      <c r="C1288" s="220"/>
      <c r="N1288" s="221"/>
    </row>
    <row r="1289" customFormat="false" ht="14.25" hidden="false" customHeight="false" outlineLevel="0" collapsed="false">
      <c r="A1289" s="219"/>
      <c r="C1289" s="220"/>
      <c r="N1289" s="221"/>
    </row>
    <row r="1290" customFormat="false" ht="14.25" hidden="false" customHeight="false" outlineLevel="0" collapsed="false">
      <c r="A1290" s="219"/>
      <c r="C1290" s="220"/>
      <c r="N1290" s="221"/>
    </row>
    <row r="1291" customFormat="false" ht="14.25" hidden="false" customHeight="false" outlineLevel="0" collapsed="false">
      <c r="A1291" s="219"/>
      <c r="C1291" s="220"/>
      <c r="N1291" s="221"/>
    </row>
    <row r="1292" customFormat="false" ht="14.25" hidden="false" customHeight="false" outlineLevel="0" collapsed="false">
      <c r="A1292" s="219"/>
      <c r="C1292" s="220"/>
      <c r="N1292" s="221"/>
    </row>
    <row r="1293" customFormat="false" ht="14.25" hidden="false" customHeight="false" outlineLevel="0" collapsed="false">
      <c r="A1293" s="219"/>
      <c r="C1293" s="220"/>
      <c r="N1293" s="221"/>
    </row>
    <row r="1294" customFormat="false" ht="14.25" hidden="false" customHeight="false" outlineLevel="0" collapsed="false">
      <c r="A1294" s="219"/>
      <c r="C1294" s="220"/>
      <c r="N1294" s="221"/>
    </row>
    <row r="1295" customFormat="false" ht="14.25" hidden="false" customHeight="false" outlineLevel="0" collapsed="false">
      <c r="A1295" s="219"/>
      <c r="C1295" s="220"/>
      <c r="N1295" s="221"/>
    </row>
    <row r="1296" customFormat="false" ht="14.25" hidden="false" customHeight="false" outlineLevel="0" collapsed="false">
      <c r="A1296" s="219"/>
      <c r="C1296" s="220"/>
      <c r="M1296" s="224"/>
      <c r="N1296" s="221"/>
    </row>
    <row r="1297" customFormat="false" ht="14.25" hidden="false" customHeight="false" outlineLevel="0" collapsed="false">
      <c r="A1297" s="219"/>
      <c r="C1297" s="220"/>
      <c r="N1297" s="221"/>
    </row>
    <row r="1298" customFormat="false" ht="14.25" hidden="false" customHeight="false" outlineLevel="0" collapsed="false">
      <c r="A1298" s="219"/>
      <c r="C1298" s="220"/>
      <c r="N1298" s="221"/>
    </row>
    <row r="1299" customFormat="false" ht="14.25" hidden="false" customHeight="false" outlineLevel="0" collapsed="false">
      <c r="A1299" s="219"/>
      <c r="C1299" s="220"/>
      <c r="N1299" s="221"/>
    </row>
    <row r="1300" customFormat="false" ht="14.25" hidden="false" customHeight="false" outlineLevel="0" collapsed="false">
      <c r="A1300" s="219"/>
      <c r="C1300" s="220"/>
      <c r="N1300" s="221"/>
    </row>
    <row r="1301" customFormat="false" ht="14.25" hidden="false" customHeight="false" outlineLevel="0" collapsed="false">
      <c r="A1301" s="219"/>
      <c r="C1301" s="220"/>
      <c r="N1301" s="221"/>
    </row>
    <row r="1302" customFormat="false" ht="14.25" hidden="false" customHeight="false" outlineLevel="0" collapsed="false">
      <c r="A1302" s="219"/>
      <c r="C1302" s="220"/>
      <c r="N1302" s="221"/>
    </row>
    <row r="1303" customFormat="false" ht="14.25" hidden="false" customHeight="false" outlineLevel="0" collapsed="false">
      <c r="A1303" s="219"/>
      <c r="C1303" s="220"/>
      <c r="N1303" s="221"/>
    </row>
    <row r="1304" customFormat="false" ht="14.25" hidden="false" customHeight="false" outlineLevel="0" collapsed="false">
      <c r="A1304" s="219"/>
      <c r="C1304" s="220"/>
      <c r="N1304" s="221"/>
    </row>
    <row r="1305" customFormat="false" ht="14.25" hidden="false" customHeight="false" outlineLevel="0" collapsed="false">
      <c r="A1305" s="219"/>
      <c r="C1305" s="220"/>
      <c r="N1305" s="221"/>
    </row>
    <row r="1306" customFormat="false" ht="14.25" hidden="false" customHeight="false" outlineLevel="0" collapsed="false">
      <c r="A1306" s="219"/>
      <c r="C1306" s="220"/>
      <c r="N1306" s="221"/>
    </row>
    <row r="1307" customFormat="false" ht="14.25" hidden="false" customHeight="false" outlineLevel="0" collapsed="false">
      <c r="A1307" s="219"/>
      <c r="C1307" s="220"/>
      <c r="N1307" s="221"/>
    </row>
    <row r="1308" customFormat="false" ht="14.25" hidden="false" customHeight="false" outlineLevel="0" collapsed="false">
      <c r="A1308" s="219"/>
      <c r="C1308" s="220"/>
      <c r="N1308" s="221"/>
    </row>
    <row r="1309" customFormat="false" ht="14.25" hidden="false" customHeight="false" outlineLevel="0" collapsed="false">
      <c r="A1309" s="219"/>
      <c r="C1309" s="220"/>
      <c r="N1309" s="221"/>
    </row>
    <row r="1310" customFormat="false" ht="14.25" hidden="false" customHeight="false" outlineLevel="0" collapsed="false">
      <c r="A1310" s="219"/>
      <c r="C1310" s="220"/>
      <c r="N1310" s="221"/>
    </row>
    <row r="1311" customFormat="false" ht="14.25" hidden="false" customHeight="false" outlineLevel="0" collapsed="false">
      <c r="A1311" s="219"/>
      <c r="C1311" s="220"/>
      <c r="N1311" s="221"/>
    </row>
    <row r="1312" customFormat="false" ht="14.25" hidden="false" customHeight="false" outlineLevel="0" collapsed="false">
      <c r="A1312" s="219"/>
      <c r="C1312" s="220"/>
      <c r="N1312" s="221"/>
    </row>
    <row r="1313" customFormat="false" ht="14.25" hidden="false" customHeight="false" outlineLevel="0" collapsed="false">
      <c r="A1313" s="219"/>
      <c r="C1313" s="220"/>
      <c r="N1313" s="221"/>
    </row>
    <row r="1314" customFormat="false" ht="14.25" hidden="false" customHeight="false" outlineLevel="0" collapsed="false">
      <c r="A1314" s="219"/>
      <c r="C1314" s="220"/>
      <c r="N1314" s="221"/>
    </row>
    <row r="1315" customFormat="false" ht="14.25" hidden="false" customHeight="false" outlineLevel="0" collapsed="false">
      <c r="A1315" s="219"/>
      <c r="C1315" s="220"/>
      <c r="N1315" s="221"/>
    </row>
    <row r="1316" customFormat="false" ht="14.25" hidden="false" customHeight="false" outlineLevel="0" collapsed="false">
      <c r="A1316" s="219"/>
      <c r="C1316" s="220"/>
      <c r="N1316" s="221"/>
    </row>
    <row r="1317" customFormat="false" ht="14.25" hidden="false" customHeight="false" outlineLevel="0" collapsed="false">
      <c r="A1317" s="219"/>
      <c r="C1317" s="220"/>
      <c r="N1317" s="221"/>
    </row>
    <row r="1318" customFormat="false" ht="14.25" hidden="false" customHeight="false" outlineLevel="0" collapsed="false">
      <c r="A1318" s="219"/>
      <c r="C1318" s="220"/>
      <c r="N1318" s="221"/>
    </row>
    <row r="1319" customFormat="false" ht="14.25" hidden="false" customHeight="false" outlineLevel="0" collapsed="false">
      <c r="A1319" s="219"/>
      <c r="C1319" s="220"/>
      <c r="N1319" s="221"/>
    </row>
    <row r="1320" customFormat="false" ht="14.25" hidden="false" customHeight="false" outlineLevel="0" collapsed="false">
      <c r="A1320" s="219"/>
      <c r="C1320" s="220"/>
      <c r="N1320" s="221"/>
    </row>
    <row r="1321" customFormat="false" ht="14.25" hidden="false" customHeight="false" outlineLevel="0" collapsed="false">
      <c r="A1321" s="219"/>
      <c r="C1321" s="220"/>
      <c r="N1321" s="221"/>
    </row>
    <row r="1322" customFormat="false" ht="14.25" hidden="false" customHeight="false" outlineLevel="0" collapsed="false">
      <c r="A1322" s="219"/>
      <c r="C1322" s="220"/>
      <c r="N1322" s="221"/>
    </row>
    <row r="1323" customFormat="false" ht="14.25" hidden="false" customHeight="false" outlineLevel="0" collapsed="false">
      <c r="A1323" s="219"/>
      <c r="C1323" s="220"/>
      <c r="N1323" s="221"/>
    </row>
    <row r="1324" customFormat="false" ht="14.25" hidden="false" customHeight="false" outlineLevel="0" collapsed="false">
      <c r="A1324" s="219"/>
      <c r="C1324" s="220"/>
      <c r="N1324" s="221"/>
    </row>
    <row r="1325" customFormat="false" ht="14.25" hidden="false" customHeight="false" outlineLevel="0" collapsed="false">
      <c r="A1325" s="219"/>
      <c r="C1325" s="220"/>
      <c r="N1325" s="221"/>
    </row>
    <row r="1326" customFormat="false" ht="14.25" hidden="false" customHeight="false" outlineLevel="0" collapsed="false">
      <c r="A1326" s="219"/>
      <c r="C1326" s="220"/>
      <c r="N1326" s="221"/>
    </row>
    <row r="1327" customFormat="false" ht="14.25" hidden="false" customHeight="false" outlineLevel="0" collapsed="false">
      <c r="A1327" s="219"/>
      <c r="C1327" s="220"/>
      <c r="N1327" s="221"/>
    </row>
    <row r="1328" customFormat="false" ht="14.25" hidden="false" customHeight="false" outlineLevel="0" collapsed="false">
      <c r="A1328" s="219"/>
      <c r="C1328" s="220"/>
      <c r="N1328" s="221"/>
    </row>
    <row r="1329" customFormat="false" ht="14.25" hidden="false" customHeight="false" outlineLevel="0" collapsed="false">
      <c r="A1329" s="219"/>
      <c r="C1329" s="220"/>
      <c r="N1329" s="221"/>
    </row>
    <row r="1330" customFormat="false" ht="14.25" hidden="false" customHeight="false" outlineLevel="0" collapsed="false">
      <c r="A1330" s="219"/>
      <c r="C1330" s="220"/>
      <c r="N1330" s="221"/>
    </row>
    <row r="1331" customFormat="false" ht="14.25" hidden="false" customHeight="false" outlineLevel="0" collapsed="false">
      <c r="A1331" s="219"/>
      <c r="C1331" s="220"/>
      <c r="N1331" s="221"/>
    </row>
    <row r="1332" customFormat="false" ht="14.25" hidden="false" customHeight="false" outlineLevel="0" collapsed="false">
      <c r="A1332" s="219"/>
      <c r="C1332" s="220"/>
      <c r="N1332" s="221"/>
    </row>
    <row r="1333" customFormat="false" ht="14.25" hidden="false" customHeight="false" outlineLevel="0" collapsed="false">
      <c r="A1333" s="219"/>
      <c r="C1333" s="220"/>
      <c r="N1333" s="221"/>
    </row>
    <row r="1334" customFormat="false" ht="14.25" hidden="false" customHeight="false" outlineLevel="0" collapsed="false">
      <c r="A1334" s="219"/>
      <c r="C1334" s="220"/>
      <c r="N1334" s="221"/>
    </row>
    <row r="1335" customFormat="false" ht="14.25" hidden="false" customHeight="false" outlineLevel="0" collapsed="false">
      <c r="A1335" s="219"/>
      <c r="C1335" s="220"/>
      <c r="N1335" s="221"/>
    </row>
    <row r="1336" customFormat="false" ht="14.25" hidden="false" customHeight="false" outlineLevel="0" collapsed="false">
      <c r="A1336" s="219"/>
      <c r="C1336" s="220"/>
      <c r="N1336" s="221"/>
    </row>
    <row r="1337" customFormat="false" ht="14.25" hidden="false" customHeight="false" outlineLevel="0" collapsed="false">
      <c r="A1337" s="219"/>
      <c r="C1337" s="220"/>
      <c r="N1337" s="221"/>
    </row>
    <row r="1338" customFormat="false" ht="14.25" hidden="false" customHeight="false" outlineLevel="0" collapsed="false">
      <c r="A1338" s="219"/>
      <c r="C1338" s="220"/>
      <c r="N1338" s="221"/>
    </row>
    <row r="1339" customFormat="false" ht="14.25" hidden="false" customHeight="false" outlineLevel="0" collapsed="false">
      <c r="A1339" s="219"/>
      <c r="C1339" s="220"/>
      <c r="N1339" s="221"/>
    </row>
    <row r="1340" customFormat="false" ht="14.25" hidden="false" customHeight="false" outlineLevel="0" collapsed="false">
      <c r="A1340" s="219"/>
      <c r="C1340" s="220"/>
      <c r="N1340" s="221"/>
    </row>
    <row r="1341" customFormat="false" ht="14.25" hidden="false" customHeight="false" outlineLevel="0" collapsed="false">
      <c r="A1341" s="219"/>
      <c r="C1341" s="220"/>
      <c r="N1341" s="221"/>
    </row>
    <row r="1342" customFormat="false" ht="14.25" hidden="false" customHeight="false" outlineLevel="0" collapsed="false">
      <c r="A1342" s="219"/>
      <c r="C1342" s="220"/>
      <c r="N1342" s="221"/>
    </row>
    <row r="1343" customFormat="false" ht="14.25" hidden="false" customHeight="false" outlineLevel="0" collapsed="false">
      <c r="A1343" s="219"/>
      <c r="C1343" s="220"/>
      <c r="N1343" s="221"/>
    </row>
    <row r="1344" customFormat="false" ht="14.25" hidden="false" customHeight="false" outlineLevel="0" collapsed="false">
      <c r="A1344" s="219"/>
      <c r="C1344" s="220"/>
      <c r="N1344" s="221"/>
    </row>
    <row r="1345" customFormat="false" ht="14.25" hidden="false" customHeight="false" outlineLevel="0" collapsed="false">
      <c r="A1345" s="219"/>
      <c r="C1345" s="220"/>
      <c r="N1345" s="221"/>
    </row>
    <row r="1346" customFormat="false" ht="14.25" hidden="false" customHeight="false" outlineLevel="0" collapsed="false">
      <c r="A1346" s="219"/>
      <c r="C1346" s="220"/>
      <c r="N1346" s="221"/>
    </row>
    <row r="1347" customFormat="false" ht="14.25" hidden="false" customHeight="false" outlineLevel="0" collapsed="false">
      <c r="A1347" s="219"/>
      <c r="C1347" s="220"/>
      <c r="N1347" s="221"/>
    </row>
    <row r="1348" customFormat="false" ht="14.25" hidden="false" customHeight="false" outlineLevel="0" collapsed="false">
      <c r="A1348" s="219"/>
      <c r="C1348" s="220"/>
      <c r="N1348" s="221"/>
    </row>
    <row r="1349" customFormat="false" ht="14.25" hidden="false" customHeight="false" outlineLevel="0" collapsed="false">
      <c r="A1349" s="219"/>
      <c r="C1349" s="220"/>
      <c r="N1349" s="221"/>
    </row>
    <row r="1350" customFormat="false" ht="14.25" hidden="false" customHeight="false" outlineLevel="0" collapsed="false">
      <c r="A1350" s="219"/>
      <c r="C1350" s="220"/>
      <c r="N1350" s="221"/>
    </row>
    <row r="1351" customFormat="false" ht="14.25" hidden="false" customHeight="false" outlineLevel="0" collapsed="false">
      <c r="A1351" s="219"/>
      <c r="C1351" s="220"/>
      <c r="N1351" s="221"/>
    </row>
    <row r="1352" customFormat="false" ht="14.25" hidden="false" customHeight="false" outlineLevel="0" collapsed="false">
      <c r="A1352" s="219"/>
      <c r="C1352" s="220"/>
      <c r="N1352" s="221"/>
    </row>
    <row r="1353" customFormat="false" ht="14.25" hidden="false" customHeight="false" outlineLevel="0" collapsed="false">
      <c r="A1353" s="219"/>
      <c r="C1353" s="220"/>
      <c r="N1353" s="221"/>
    </row>
    <row r="1354" customFormat="false" ht="14.25" hidden="false" customHeight="false" outlineLevel="0" collapsed="false">
      <c r="A1354" s="219"/>
      <c r="C1354" s="220"/>
      <c r="N1354" s="221"/>
    </row>
    <row r="1355" customFormat="false" ht="14.25" hidden="false" customHeight="false" outlineLevel="0" collapsed="false">
      <c r="A1355" s="219"/>
      <c r="C1355" s="220"/>
      <c r="N1355" s="221"/>
    </row>
    <row r="1356" customFormat="false" ht="14.25" hidden="false" customHeight="false" outlineLevel="0" collapsed="false">
      <c r="A1356" s="219"/>
      <c r="C1356" s="220"/>
      <c r="N1356" s="221"/>
    </row>
    <row r="1357" customFormat="false" ht="14.25" hidden="false" customHeight="false" outlineLevel="0" collapsed="false">
      <c r="A1357" s="219"/>
      <c r="C1357" s="220"/>
      <c r="N1357" s="221"/>
    </row>
    <row r="1358" customFormat="false" ht="14.25" hidden="false" customHeight="false" outlineLevel="0" collapsed="false">
      <c r="A1358" s="219"/>
      <c r="C1358" s="220"/>
      <c r="N1358" s="221"/>
    </row>
    <row r="1359" customFormat="false" ht="14.25" hidden="false" customHeight="false" outlineLevel="0" collapsed="false">
      <c r="A1359" s="219"/>
      <c r="C1359" s="220"/>
      <c r="N1359" s="221"/>
    </row>
    <row r="1360" customFormat="false" ht="14.25" hidden="false" customHeight="false" outlineLevel="0" collapsed="false">
      <c r="A1360" s="219"/>
      <c r="C1360" s="220"/>
      <c r="N1360" s="221"/>
    </row>
    <row r="1361" customFormat="false" ht="14.25" hidden="false" customHeight="false" outlineLevel="0" collapsed="false">
      <c r="A1361" s="219"/>
      <c r="C1361" s="220"/>
      <c r="N1361" s="221"/>
    </row>
    <row r="1362" customFormat="false" ht="14.25" hidden="false" customHeight="false" outlineLevel="0" collapsed="false">
      <c r="A1362" s="219"/>
      <c r="C1362" s="220"/>
      <c r="N1362" s="221"/>
    </row>
    <row r="1363" customFormat="false" ht="14.25" hidden="false" customHeight="false" outlineLevel="0" collapsed="false">
      <c r="A1363" s="219"/>
      <c r="C1363" s="220"/>
      <c r="N1363" s="221"/>
    </row>
    <row r="1364" customFormat="false" ht="14.25" hidden="false" customHeight="false" outlineLevel="0" collapsed="false">
      <c r="A1364" s="219"/>
      <c r="C1364" s="220"/>
      <c r="N1364" s="221"/>
    </row>
    <row r="1365" customFormat="false" ht="14.25" hidden="false" customHeight="false" outlineLevel="0" collapsed="false">
      <c r="A1365" s="219"/>
      <c r="C1365" s="220"/>
      <c r="N1365" s="221"/>
    </row>
    <row r="1366" customFormat="false" ht="14.25" hidden="false" customHeight="false" outlineLevel="0" collapsed="false">
      <c r="A1366" s="219"/>
      <c r="C1366" s="220"/>
      <c r="N1366" s="221"/>
    </row>
    <row r="1367" customFormat="false" ht="14.25" hidden="false" customHeight="false" outlineLevel="0" collapsed="false">
      <c r="A1367" s="219"/>
      <c r="C1367" s="220"/>
      <c r="N1367" s="221"/>
    </row>
    <row r="1368" customFormat="false" ht="14.25" hidden="false" customHeight="false" outlineLevel="0" collapsed="false">
      <c r="A1368" s="219"/>
      <c r="C1368" s="220"/>
      <c r="N1368" s="221"/>
    </row>
    <row r="1369" customFormat="false" ht="14.25" hidden="false" customHeight="false" outlineLevel="0" collapsed="false">
      <c r="A1369" s="219"/>
      <c r="C1369" s="220"/>
      <c r="N1369" s="221"/>
    </row>
    <row r="1370" customFormat="false" ht="14.25" hidden="false" customHeight="false" outlineLevel="0" collapsed="false">
      <c r="A1370" s="219"/>
      <c r="C1370" s="220"/>
      <c r="N1370" s="221"/>
    </row>
    <row r="1371" customFormat="false" ht="14.25" hidden="false" customHeight="false" outlineLevel="0" collapsed="false">
      <c r="A1371" s="219"/>
      <c r="C1371" s="220"/>
      <c r="N1371" s="221"/>
    </row>
    <row r="1372" customFormat="false" ht="14.25" hidden="false" customHeight="false" outlineLevel="0" collapsed="false">
      <c r="A1372" s="219"/>
      <c r="C1372" s="220"/>
      <c r="N1372" s="221"/>
    </row>
    <row r="1373" customFormat="false" ht="14.25" hidden="false" customHeight="false" outlineLevel="0" collapsed="false">
      <c r="A1373" s="219"/>
      <c r="C1373" s="220"/>
      <c r="N1373" s="221"/>
    </row>
    <row r="1374" customFormat="false" ht="14.25" hidden="false" customHeight="false" outlineLevel="0" collapsed="false">
      <c r="A1374" s="219"/>
      <c r="C1374" s="220"/>
      <c r="N1374" s="221"/>
    </row>
    <row r="1375" customFormat="false" ht="14.25" hidden="false" customHeight="false" outlineLevel="0" collapsed="false">
      <c r="A1375" s="219"/>
      <c r="C1375" s="220"/>
      <c r="N1375" s="221"/>
    </row>
    <row r="1376" customFormat="false" ht="14.25" hidden="false" customHeight="false" outlineLevel="0" collapsed="false">
      <c r="A1376" s="219"/>
      <c r="C1376" s="220"/>
      <c r="N1376" s="221"/>
    </row>
    <row r="1377" customFormat="false" ht="14.25" hidden="false" customHeight="false" outlineLevel="0" collapsed="false">
      <c r="A1377" s="219"/>
      <c r="C1377" s="220"/>
      <c r="N1377" s="221"/>
    </row>
    <row r="1378" customFormat="false" ht="14.25" hidden="false" customHeight="false" outlineLevel="0" collapsed="false">
      <c r="A1378" s="219"/>
      <c r="C1378" s="220"/>
      <c r="N1378" s="221"/>
    </row>
    <row r="1379" customFormat="false" ht="14.25" hidden="false" customHeight="false" outlineLevel="0" collapsed="false">
      <c r="A1379" s="219"/>
      <c r="C1379" s="220"/>
      <c r="N1379" s="221"/>
    </row>
    <row r="1380" customFormat="false" ht="14.25" hidden="false" customHeight="false" outlineLevel="0" collapsed="false">
      <c r="A1380" s="219"/>
      <c r="C1380" s="220"/>
      <c r="N1380" s="221"/>
    </row>
    <row r="1381" customFormat="false" ht="14.25" hidden="false" customHeight="false" outlineLevel="0" collapsed="false">
      <c r="A1381" s="219"/>
      <c r="C1381" s="220"/>
      <c r="N1381" s="221"/>
    </row>
    <row r="1382" customFormat="false" ht="14.25" hidden="false" customHeight="false" outlineLevel="0" collapsed="false">
      <c r="A1382" s="219"/>
      <c r="C1382" s="220"/>
      <c r="N1382" s="221"/>
    </row>
    <row r="1383" customFormat="false" ht="14.25" hidden="false" customHeight="false" outlineLevel="0" collapsed="false">
      <c r="A1383" s="219"/>
      <c r="C1383" s="220"/>
      <c r="N1383" s="221"/>
    </row>
    <row r="1384" customFormat="false" ht="14.25" hidden="false" customHeight="false" outlineLevel="0" collapsed="false">
      <c r="A1384" s="219"/>
      <c r="C1384" s="220"/>
      <c r="N1384" s="221"/>
    </row>
    <row r="1385" customFormat="false" ht="14.25" hidden="false" customHeight="false" outlineLevel="0" collapsed="false">
      <c r="A1385" s="219"/>
      <c r="C1385" s="220"/>
      <c r="N1385" s="221"/>
    </row>
    <row r="1386" customFormat="false" ht="14.25" hidden="false" customHeight="false" outlineLevel="0" collapsed="false">
      <c r="A1386" s="219"/>
      <c r="C1386" s="220"/>
      <c r="N1386" s="221"/>
    </row>
    <row r="1387" customFormat="false" ht="14.25" hidden="false" customHeight="false" outlineLevel="0" collapsed="false">
      <c r="A1387" s="219"/>
      <c r="C1387" s="220"/>
      <c r="N1387" s="221"/>
    </row>
    <row r="1388" customFormat="false" ht="14.25" hidden="false" customHeight="false" outlineLevel="0" collapsed="false">
      <c r="A1388" s="219"/>
      <c r="C1388" s="220"/>
      <c r="N1388" s="221"/>
    </row>
    <row r="1389" customFormat="false" ht="14.25" hidden="false" customHeight="false" outlineLevel="0" collapsed="false">
      <c r="A1389" s="219"/>
      <c r="C1389" s="220"/>
      <c r="N1389" s="221"/>
    </row>
    <row r="1390" customFormat="false" ht="14.25" hidden="false" customHeight="false" outlineLevel="0" collapsed="false">
      <c r="A1390" s="219"/>
      <c r="C1390" s="220"/>
      <c r="N1390" s="221"/>
    </row>
    <row r="1391" customFormat="false" ht="14.25" hidden="false" customHeight="false" outlineLevel="0" collapsed="false">
      <c r="A1391" s="219"/>
      <c r="C1391" s="220"/>
      <c r="N1391" s="221"/>
    </row>
    <row r="1392" customFormat="false" ht="14.25" hidden="false" customHeight="false" outlineLevel="0" collapsed="false">
      <c r="A1392" s="219"/>
      <c r="C1392" s="220"/>
      <c r="N1392" s="221"/>
    </row>
    <row r="1393" customFormat="false" ht="14.25" hidden="false" customHeight="false" outlineLevel="0" collapsed="false">
      <c r="A1393" s="219"/>
      <c r="C1393" s="220"/>
      <c r="N1393" s="221"/>
    </row>
    <row r="1394" customFormat="false" ht="14.25" hidden="false" customHeight="false" outlineLevel="0" collapsed="false">
      <c r="A1394" s="219"/>
      <c r="C1394" s="220"/>
      <c r="N1394" s="221"/>
    </row>
    <row r="1395" customFormat="false" ht="14.25" hidden="false" customHeight="false" outlineLevel="0" collapsed="false">
      <c r="A1395" s="219"/>
      <c r="C1395" s="220"/>
      <c r="N1395" s="221"/>
    </row>
    <row r="1396" customFormat="false" ht="14.25" hidden="false" customHeight="false" outlineLevel="0" collapsed="false">
      <c r="A1396" s="219"/>
      <c r="C1396" s="220"/>
      <c r="N1396" s="221"/>
    </row>
    <row r="1397" customFormat="false" ht="14.25" hidden="false" customHeight="false" outlineLevel="0" collapsed="false">
      <c r="A1397" s="219"/>
      <c r="C1397" s="220"/>
      <c r="N1397" s="221"/>
    </row>
    <row r="1398" customFormat="false" ht="14.25" hidden="false" customHeight="false" outlineLevel="0" collapsed="false">
      <c r="A1398" s="219"/>
      <c r="C1398" s="220"/>
      <c r="N1398" s="221"/>
    </row>
    <row r="1399" customFormat="false" ht="14.25" hidden="false" customHeight="false" outlineLevel="0" collapsed="false">
      <c r="A1399" s="219"/>
      <c r="C1399" s="220"/>
      <c r="N1399" s="221"/>
    </row>
    <row r="1400" customFormat="false" ht="14.25" hidden="false" customHeight="false" outlineLevel="0" collapsed="false">
      <c r="A1400" s="219"/>
      <c r="C1400" s="220"/>
      <c r="N1400" s="221"/>
    </row>
    <row r="1401" customFormat="false" ht="14.25" hidden="false" customHeight="false" outlineLevel="0" collapsed="false">
      <c r="A1401" s="219"/>
      <c r="C1401" s="220"/>
      <c r="N1401" s="221"/>
    </row>
    <row r="1402" customFormat="false" ht="14.25" hidden="false" customHeight="false" outlineLevel="0" collapsed="false">
      <c r="A1402" s="219"/>
      <c r="C1402" s="220"/>
      <c r="N1402" s="221"/>
    </row>
    <row r="1403" customFormat="false" ht="14.25" hidden="false" customHeight="false" outlineLevel="0" collapsed="false">
      <c r="A1403" s="219"/>
      <c r="C1403" s="220"/>
      <c r="N1403" s="221"/>
    </row>
    <row r="1404" customFormat="false" ht="14.25" hidden="false" customHeight="false" outlineLevel="0" collapsed="false">
      <c r="A1404" s="219"/>
      <c r="C1404" s="220"/>
      <c r="N1404" s="221"/>
    </row>
    <row r="1405" customFormat="false" ht="14.25" hidden="false" customHeight="false" outlineLevel="0" collapsed="false">
      <c r="A1405" s="219"/>
      <c r="C1405" s="220"/>
      <c r="N1405" s="221"/>
    </row>
    <row r="1406" customFormat="false" ht="14.25" hidden="false" customHeight="false" outlineLevel="0" collapsed="false">
      <c r="A1406" s="219"/>
      <c r="C1406" s="220"/>
      <c r="N1406" s="221"/>
    </row>
    <row r="1407" customFormat="false" ht="14.25" hidden="false" customHeight="false" outlineLevel="0" collapsed="false">
      <c r="A1407" s="219"/>
      <c r="C1407" s="220"/>
      <c r="N1407" s="221"/>
    </row>
    <row r="1408" customFormat="false" ht="14.25" hidden="false" customHeight="false" outlineLevel="0" collapsed="false">
      <c r="A1408" s="219"/>
      <c r="C1408" s="220"/>
      <c r="N1408" s="221"/>
    </row>
    <row r="1409" customFormat="false" ht="14.25" hidden="false" customHeight="false" outlineLevel="0" collapsed="false">
      <c r="A1409" s="219"/>
      <c r="C1409" s="220"/>
      <c r="N1409" s="221"/>
    </row>
    <row r="1410" customFormat="false" ht="14.25" hidden="false" customHeight="false" outlineLevel="0" collapsed="false">
      <c r="A1410" s="219"/>
      <c r="C1410" s="220"/>
      <c r="N1410" s="221"/>
    </row>
    <row r="1411" customFormat="false" ht="14.25" hidden="false" customHeight="false" outlineLevel="0" collapsed="false">
      <c r="A1411" s="219"/>
      <c r="C1411" s="220"/>
      <c r="N1411" s="221"/>
    </row>
    <row r="1412" customFormat="false" ht="14.25" hidden="false" customHeight="false" outlineLevel="0" collapsed="false">
      <c r="A1412" s="219"/>
      <c r="C1412" s="220"/>
      <c r="N1412" s="221"/>
    </row>
    <row r="1413" customFormat="false" ht="14.25" hidden="false" customHeight="false" outlineLevel="0" collapsed="false">
      <c r="A1413" s="219"/>
      <c r="C1413" s="220"/>
      <c r="N1413" s="221"/>
    </row>
    <row r="1414" customFormat="false" ht="14.25" hidden="false" customHeight="false" outlineLevel="0" collapsed="false">
      <c r="A1414" s="219"/>
      <c r="C1414" s="220"/>
      <c r="N1414" s="221"/>
    </row>
    <row r="1415" customFormat="false" ht="14.25" hidden="false" customHeight="false" outlineLevel="0" collapsed="false">
      <c r="A1415" s="219"/>
      <c r="C1415" s="220"/>
      <c r="N1415" s="221"/>
    </row>
    <row r="1416" customFormat="false" ht="14.25" hidden="false" customHeight="false" outlineLevel="0" collapsed="false">
      <c r="A1416" s="219"/>
      <c r="C1416" s="220"/>
      <c r="N1416" s="221"/>
    </row>
    <row r="1417" customFormat="false" ht="14.25" hidden="false" customHeight="false" outlineLevel="0" collapsed="false">
      <c r="A1417" s="219"/>
      <c r="C1417" s="220"/>
      <c r="N1417" s="221"/>
    </row>
    <row r="1418" customFormat="false" ht="14.25" hidden="false" customHeight="false" outlineLevel="0" collapsed="false">
      <c r="A1418" s="219"/>
      <c r="C1418" s="220"/>
      <c r="N1418" s="221"/>
    </row>
    <row r="1419" customFormat="false" ht="14.25" hidden="false" customHeight="false" outlineLevel="0" collapsed="false">
      <c r="A1419" s="219"/>
      <c r="C1419" s="220"/>
      <c r="N1419" s="221"/>
    </row>
    <row r="1420" customFormat="false" ht="14.25" hidden="false" customHeight="false" outlineLevel="0" collapsed="false">
      <c r="A1420" s="219"/>
      <c r="C1420" s="220"/>
      <c r="N1420" s="221"/>
    </row>
    <row r="1421" customFormat="false" ht="14.25" hidden="false" customHeight="false" outlineLevel="0" collapsed="false">
      <c r="A1421" s="219"/>
      <c r="C1421" s="220"/>
      <c r="N1421" s="221"/>
    </row>
    <row r="1422" customFormat="false" ht="14.25" hidden="false" customHeight="false" outlineLevel="0" collapsed="false">
      <c r="A1422" s="219"/>
      <c r="C1422" s="220"/>
      <c r="N1422" s="221"/>
    </row>
    <row r="1423" customFormat="false" ht="14.25" hidden="false" customHeight="false" outlineLevel="0" collapsed="false">
      <c r="A1423" s="219"/>
      <c r="C1423" s="220"/>
      <c r="N1423" s="221"/>
    </row>
    <row r="1424" customFormat="false" ht="14.25" hidden="false" customHeight="false" outlineLevel="0" collapsed="false">
      <c r="A1424" s="219"/>
      <c r="C1424" s="220"/>
      <c r="N1424" s="221"/>
    </row>
    <row r="1425" customFormat="false" ht="14.25" hidden="false" customHeight="false" outlineLevel="0" collapsed="false">
      <c r="A1425" s="219"/>
      <c r="C1425" s="220"/>
      <c r="N1425" s="221"/>
    </row>
    <row r="1426" customFormat="false" ht="14.25" hidden="false" customHeight="false" outlineLevel="0" collapsed="false">
      <c r="A1426" s="219"/>
      <c r="C1426" s="220"/>
      <c r="N1426" s="221"/>
    </row>
    <row r="1427" customFormat="false" ht="14.25" hidden="false" customHeight="false" outlineLevel="0" collapsed="false">
      <c r="A1427" s="219"/>
      <c r="C1427" s="220"/>
      <c r="N1427" s="221"/>
    </row>
    <row r="1428" customFormat="false" ht="14.25" hidden="false" customHeight="false" outlineLevel="0" collapsed="false">
      <c r="A1428" s="219"/>
      <c r="C1428" s="220"/>
      <c r="N1428" s="221"/>
    </row>
    <row r="1429" customFormat="false" ht="14.25" hidden="false" customHeight="false" outlineLevel="0" collapsed="false">
      <c r="A1429" s="219"/>
      <c r="C1429" s="220"/>
      <c r="N1429" s="221"/>
    </row>
    <row r="1430" customFormat="false" ht="14.25" hidden="false" customHeight="false" outlineLevel="0" collapsed="false">
      <c r="A1430" s="219"/>
      <c r="C1430" s="220"/>
      <c r="N1430" s="221"/>
    </row>
    <row r="1431" customFormat="false" ht="14.25" hidden="false" customHeight="false" outlineLevel="0" collapsed="false">
      <c r="A1431" s="219"/>
      <c r="C1431" s="220"/>
      <c r="N1431" s="221"/>
    </row>
    <row r="1432" customFormat="false" ht="14.25" hidden="false" customHeight="false" outlineLevel="0" collapsed="false">
      <c r="A1432" s="219"/>
      <c r="C1432" s="220"/>
      <c r="N1432" s="221"/>
    </row>
    <row r="1433" customFormat="false" ht="14.25" hidden="false" customHeight="false" outlineLevel="0" collapsed="false">
      <c r="A1433" s="219"/>
      <c r="C1433" s="220"/>
      <c r="N1433" s="221"/>
    </row>
    <row r="1434" customFormat="false" ht="14.25" hidden="false" customHeight="false" outlineLevel="0" collapsed="false">
      <c r="A1434" s="219"/>
      <c r="C1434" s="220"/>
      <c r="N1434" s="221"/>
    </row>
    <row r="1435" customFormat="false" ht="14.25" hidden="false" customHeight="false" outlineLevel="0" collapsed="false">
      <c r="A1435" s="219"/>
      <c r="C1435" s="220"/>
      <c r="N1435" s="221"/>
    </row>
    <row r="1436" customFormat="false" ht="14.25" hidden="false" customHeight="false" outlineLevel="0" collapsed="false">
      <c r="A1436" s="219"/>
      <c r="C1436" s="220"/>
      <c r="N1436" s="221"/>
    </row>
    <row r="1437" customFormat="false" ht="14.25" hidden="false" customHeight="false" outlineLevel="0" collapsed="false">
      <c r="A1437" s="219"/>
      <c r="C1437" s="220"/>
      <c r="N1437" s="221"/>
    </row>
    <row r="1438" customFormat="false" ht="14.25" hidden="false" customHeight="false" outlineLevel="0" collapsed="false">
      <c r="A1438" s="219"/>
      <c r="C1438" s="220"/>
      <c r="N1438" s="221"/>
    </row>
    <row r="1439" customFormat="false" ht="14.25" hidden="false" customHeight="false" outlineLevel="0" collapsed="false">
      <c r="A1439" s="219"/>
      <c r="C1439" s="220"/>
      <c r="N1439" s="221"/>
    </row>
    <row r="1440" customFormat="false" ht="14.25" hidden="false" customHeight="false" outlineLevel="0" collapsed="false">
      <c r="A1440" s="219"/>
      <c r="C1440" s="220"/>
      <c r="N1440" s="221"/>
    </row>
    <row r="1441" customFormat="false" ht="14.25" hidden="false" customHeight="false" outlineLevel="0" collapsed="false">
      <c r="A1441" s="219"/>
      <c r="C1441" s="220"/>
      <c r="N1441" s="221"/>
    </row>
    <row r="1442" customFormat="false" ht="14.25" hidden="false" customHeight="false" outlineLevel="0" collapsed="false">
      <c r="A1442" s="219"/>
      <c r="C1442" s="220"/>
      <c r="N1442" s="221"/>
    </row>
    <row r="1443" customFormat="false" ht="14.25" hidden="false" customHeight="false" outlineLevel="0" collapsed="false">
      <c r="A1443" s="219"/>
      <c r="C1443" s="220"/>
      <c r="N1443" s="221"/>
    </row>
    <row r="1444" customFormat="false" ht="14.25" hidden="false" customHeight="false" outlineLevel="0" collapsed="false">
      <c r="A1444" s="219"/>
      <c r="C1444" s="220"/>
      <c r="N1444" s="221"/>
    </row>
    <row r="1445" customFormat="false" ht="14.25" hidden="false" customHeight="false" outlineLevel="0" collapsed="false">
      <c r="A1445" s="219"/>
      <c r="C1445" s="220"/>
      <c r="N1445" s="221"/>
    </row>
    <row r="1446" customFormat="false" ht="14.25" hidden="false" customHeight="false" outlineLevel="0" collapsed="false">
      <c r="A1446" s="219"/>
      <c r="C1446" s="220"/>
      <c r="N1446" s="221"/>
    </row>
    <row r="1447" customFormat="false" ht="14.25" hidden="false" customHeight="false" outlineLevel="0" collapsed="false">
      <c r="A1447" s="219"/>
      <c r="C1447" s="220"/>
      <c r="N1447" s="221"/>
    </row>
    <row r="1448" customFormat="false" ht="14.25" hidden="false" customHeight="false" outlineLevel="0" collapsed="false">
      <c r="A1448" s="219"/>
      <c r="C1448" s="220"/>
      <c r="N1448" s="221"/>
    </row>
    <row r="1449" customFormat="false" ht="14.25" hidden="false" customHeight="false" outlineLevel="0" collapsed="false">
      <c r="A1449" s="219"/>
      <c r="C1449" s="220"/>
      <c r="N1449" s="221"/>
    </row>
    <row r="1450" customFormat="false" ht="14.25" hidden="false" customHeight="false" outlineLevel="0" collapsed="false">
      <c r="A1450" s="219"/>
      <c r="C1450" s="220"/>
      <c r="N1450" s="221"/>
    </row>
    <row r="1451" customFormat="false" ht="14.25" hidden="false" customHeight="false" outlineLevel="0" collapsed="false">
      <c r="A1451" s="219"/>
      <c r="C1451" s="220"/>
      <c r="N1451" s="221"/>
    </row>
    <row r="1452" customFormat="false" ht="14.25" hidden="false" customHeight="false" outlineLevel="0" collapsed="false">
      <c r="A1452" s="219"/>
      <c r="C1452" s="220"/>
      <c r="N1452" s="221"/>
    </row>
    <row r="1453" customFormat="false" ht="14.25" hidden="false" customHeight="false" outlineLevel="0" collapsed="false">
      <c r="A1453" s="219"/>
      <c r="C1453" s="220"/>
      <c r="N1453" s="221"/>
    </row>
    <row r="1454" customFormat="false" ht="14.25" hidden="false" customHeight="false" outlineLevel="0" collapsed="false">
      <c r="A1454" s="219"/>
      <c r="C1454" s="220"/>
      <c r="N1454" s="221"/>
    </row>
    <row r="1455" customFormat="false" ht="14.25" hidden="false" customHeight="false" outlineLevel="0" collapsed="false">
      <c r="A1455" s="219"/>
      <c r="C1455" s="220"/>
      <c r="N1455" s="221"/>
    </row>
    <row r="1456" customFormat="false" ht="14.25" hidden="false" customHeight="false" outlineLevel="0" collapsed="false">
      <c r="A1456" s="219"/>
      <c r="C1456" s="220"/>
      <c r="N1456" s="221"/>
    </row>
    <row r="1457" customFormat="false" ht="14.25" hidden="false" customHeight="false" outlineLevel="0" collapsed="false">
      <c r="A1457" s="219"/>
      <c r="C1457" s="220"/>
      <c r="N1457" s="221"/>
    </row>
    <row r="1458" customFormat="false" ht="14.25" hidden="false" customHeight="false" outlineLevel="0" collapsed="false">
      <c r="A1458" s="219"/>
      <c r="C1458" s="220"/>
      <c r="N1458" s="221"/>
    </row>
    <row r="1459" customFormat="false" ht="14.25" hidden="false" customHeight="false" outlineLevel="0" collapsed="false">
      <c r="A1459" s="219"/>
      <c r="C1459" s="220"/>
      <c r="N1459" s="221"/>
    </row>
    <row r="1460" customFormat="false" ht="14.25" hidden="false" customHeight="false" outlineLevel="0" collapsed="false">
      <c r="A1460" s="219"/>
      <c r="C1460" s="220"/>
      <c r="N1460" s="221"/>
    </row>
    <row r="1461" customFormat="false" ht="14.25" hidden="false" customHeight="false" outlineLevel="0" collapsed="false">
      <c r="A1461" s="219"/>
      <c r="C1461" s="220"/>
      <c r="N1461" s="221"/>
    </row>
    <row r="1462" customFormat="false" ht="14.25" hidden="false" customHeight="false" outlineLevel="0" collapsed="false">
      <c r="A1462" s="219"/>
      <c r="C1462" s="220"/>
      <c r="N1462" s="221"/>
    </row>
    <row r="1463" customFormat="false" ht="14.25" hidden="false" customHeight="false" outlineLevel="0" collapsed="false">
      <c r="A1463" s="219"/>
      <c r="C1463" s="220"/>
      <c r="N1463" s="221"/>
    </row>
    <row r="1464" customFormat="false" ht="14.25" hidden="false" customHeight="false" outlineLevel="0" collapsed="false">
      <c r="A1464" s="219"/>
      <c r="C1464" s="220"/>
      <c r="N1464" s="221"/>
    </row>
    <row r="1465" customFormat="false" ht="14.25" hidden="false" customHeight="false" outlineLevel="0" collapsed="false">
      <c r="A1465" s="219"/>
      <c r="C1465" s="220"/>
      <c r="N1465" s="221"/>
    </row>
    <row r="1466" customFormat="false" ht="14.25" hidden="false" customHeight="false" outlineLevel="0" collapsed="false">
      <c r="A1466" s="219"/>
      <c r="C1466" s="220"/>
      <c r="N1466" s="221"/>
    </row>
    <row r="1467" customFormat="false" ht="14.25" hidden="false" customHeight="false" outlineLevel="0" collapsed="false">
      <c r="A1467" s="219"/>
      <c r="C1467" s="220"/>
      <c r="N1467" s="221"/>
    </row>
    <row r="1468" customFormat="false" ht="14.25" hidden="false" customHeight="false" outlineLevel="0" collapsed="false">
      <c r="A1468" s="219"/>
      <c r="C1468" s="220"/>
      <c r="N1468" s="221"/>
    </row>
    <row r="1469" customFormat="false" ht="14.25" hidden="false" customHeight="false" outlineLevel="0" collapsed="false">
      <c r="A1469" s="219"/>
      <c r="C1469" s="220"/>
      <c r="N1469" s="221"/>
    </row>
    <row r="1470" customFormat="false" ht="14.25" hidden="false" customHeight="false" outlineLevel="0" collapsed="false">
      <c r="A1470" s="219"/>
      <c r="C1470" s="220"/>
      <c r="N1470" s="221"/>
    </row>
    <row r="1471" customFormat="false" ht="14.25" hidden="false" customHeight="false" outlineLevel="0" collapsed="false">
      <c r="A1471" s="219"/>
      <c r="C1471" s="220"/>
      <c r="N1471" s="221"/>
    </row>
    <row r="1472" customFormat="false" ht="14.25" hidden="false" customHeight="false" outlineLevel="0" collapsed="false">
      <c r="A1472" s="219"/>
      <c r="C1472" s="220"/>
      <c r="N1472" s="221"/>
    </row>
    <row r="1473" customFormat="false" ht="14.25" hidden="false" customHeight="false" outlineLevel="0" collapsed="false">
      <c r="A1473" s="219"/>
      <c r="C1473" s="220"/>
      <c r="N1473" s="221"/>
    </row>
    <row r="1474" customFormat="false" ht="14.25" hidden="false" customHeight="false" outlineLevel="0" collapsed="false">
      <c r="A1474" s="219"/>
      <c r="C1474" s="220"/>
      <c r="N1474" s="221"/>
    </row>
    <row r="1475" customFormat="false" ht="14.25" hidden="false" customHeight="false" outlineLevel="0" collapsed="false">
      <c r="A1475" s="219"/>
      <c r="C1475" s="220"/>
      <c r="N1475" s="221"/>
    </row>
    <row r="1476" customFormat="false" ht="14.25" hidden="false" customHeight="false" outlineLevel="0" collapsed="false">
      <c r="A1476" s="219"/>
      <c r="C1476" s="220"/>
      <c r="N1476" s="221"/>
    </row>
    <row r="1477" customFormat="false" ht="14.25" hidden="false" customHeight="false" outlineLevel="0" collapsed="false">
      <c r="A1477" s="219"/>
      <c r="C1477" s="220"/>
      <c r="N1477" s="221"/>
    </row>
    <row r="1478" customFormat="false" ht="14.25" hidden="false" customHeight="false" outlineLevel="0" collapsed="false">
      <c r="A1478" s="219"/>
      <c r="C1478" s="220"/>
      <c r="N1478" s="221"/>
    </row>
    <row r="1479" customFormat="false" ht="14.25" hidden="false" customHeight="false" outlineLevel="0" collapsed="false">
      <c r="A1479" s="219"/>
      <c r="C1479" s="220"/>
      <c r="N1479" s="221"/>
    </row>
    <row r="1480" customFormat="false" ht="14.25" hidden="false" customHeight="false" outlineLevel="0" collapsed="false">
      <c r="A1480" s="219"/>
      <c r="C1480" s="220"/>
      <c r="N1480" s="221"/>
    </row>
    <row r="1481" customFormat="false" ht="14.25" hidden="false" customHeight="false" outlineLevel="0" collapsed="false">
      <c r="A1481" s="219"/>
      <c r="C1481" s="220"/>
      <c r="N1481" s="221"/>
    </row>
    <row r="1482" customFormat="false" ht="14.25" hidden="false" customHeight="false" outlineLevel="0" collapsed="false">
      <c r="A1482" s="219"/>
      <c r="C1482" s="220"/>
      <c r="N1482" s="221"/>
    </row>
    <row r="1483" customFormat="false" ht="14.25" hidden="false" customHeight="false" outlineLevel="0" collapsed="false">
      <c r="A1483" s="219"/>
      <c r="C1483" s="220"/>
      <c r="N1483" s="221"/>
    </row>
    <row r="1484" customFormat="false" ht="14.25" hidden="false" customHeight="false" outlineLevel="0" collapsed="false">
      <c r="A1484" s="219"/>
      <c r="C1484" s="220"/>
      <c r="N1484" s="221"/>
    </row>
    <row r="1485" customFormat="false" ht="14.25" hidden="false" customHeight="false" outlineLevel="0" collapsed="false">
      <c r="A1485" s="219"/>
      <c r="C1485" s="220"/>
      <c r="N1485" s="221"/>
    </row>
    <row r="1486" customFormat="false" ht="14.25" hidden="false" customHeight="false" outlineLevel="0" collapsed="false">
      <c r="A1486" s="219"/>
      <c r="C1486" s="220"/>
      <c r="N1486" s="221"/>
    </row>
    <row r="1487" customFormat="false" ht="14.25" hidden="false" customHeight="false" outlineLevel="0" collapsed="false">
      <c r="A1487" s="219"/>
      <c r="C1487" s="220"/>
      <c r="N1487" s="221"/>
    </row>
    <row r="1488" customFormat="false" ht="14.25" hidden="false" customHeight="false" outlineLevel="0" collapsed="false">
      <c r="A1488" s="219"/>
      <c r="C1488" s="220"/>
      <c r="N1488" s="221"/>
    </row>
    <row r="1489" customFormat="false" ht="14.25" hidden="false" customHeight="false" outlineLevel="0" collapsed="false">
      <c r="A1489" s="219"/>
      <c r="C1489" s="220"/>
      <c r="N1489" s="221"/>
    </row>
    <row r="1490" customFormat="false" ht="14.25" hidden="false" customHeight="false" outlineLevel="0" collapsed="false">
      <c r="A1490" s="219"/>
      <c r="C1490" s="220"/>
      <c r="N1490" s="221"/>
    </row>
    <row r="1491" customFormat="false" ht="14.25" hidden="false" customHeight="false" outlineLevel="0" collapsed="false">
      <c r="A1491" s="219"/>
      <c r="C1491" s="220"/>
      <c r="N1491" s="221"/>
    </row>
    <row r="1492" customFormat="false" ht="14.25" hidden="false" customHeight="false" outlineLevel="0" collapsed="false">
      <c r="A1492" s="219"/>
      <c r="C1492" s="220"/>
      <c r="N1492" s="221"/>
    </row>
    <row r="1493" customFormat="false" ht="14.25" hidden="false" customHeight="false" outlineLevel="0" collapsed="false">
      <c r="A1493" s="219"/>
      <c r="C1493" s="220"/>
      <c r="N1493" s="221"/>
    </row>
    <row r="1494" customFormat="false" ht="14.25" hidden="false" customHeight="false" outlineLevel="0" collapsed="false">
      <c r="A1494" s="219"/>
      <c r="C1494" s="220"/>
      <c r="N1494" s="221"/>
    </row>
    <row r="1495" customFormat="false" ht="14.25" hidden="false" customHeight="false" outlineLevel="0" collapsed="false">
      <c r="A1495" s="219"/>
      <c r="C1495" s="220"/>
      <c r="N1495" s="221"/>
    </row>
    <row r="1496" customFormat="false" ht="14.25" hidden="false" customHeight="false" outlineLevel="0" collapsed="false">
      <c r="A1496" s="219"/>
      <c r="C1496" s="220"/>
      <c r="N1496" s="221"/>
    </row>
    <row r="1497" customFormat="false" ht="14.25" hidden="false" customHeight="false" outlineLevel="0" collapsed="false">
      <c r="A1497" s="219"/>
      <c r="C1497" s="220"/>
      <c r="N1497" s="221"/>
    </row>
    <row r="1498" customFormat="false" ht="14.25" hidden="false" customHeight="false" outlineLevel="0" collapsed="false">
      <c r="A1498" s="219"/>
      <c r="C1498" s="220"/>
      <c r="N1498" s="221"/>
    </row>
    <row r="1499" customFormat="false" ht="14.25" hidden="false" customHeight="false" outlineLevel="0" collapsed="false">
      <c r="A1499" s="219"/>
      <c r="C1499" s="220"/>
      <c r="N1499" s="221"/>
    </row>
    <row r="1500" customFormat="false" ht="14.25" hidden="false" customHeight="false" outlineLevel="0" collapsed="false">
      <c r="A1500" s="219"/>
      <c r="C1500" s="220"/>
      <c r="N1500" s="221"/>
    </row>
    <row r="1501" customFormat="false" ht="14.25" hidden="false" customHeight="false" outlineLevel="0" collapsed="false">
      <c r="A1501" s="219"/>
      <c r="C1501" s="220"/>
      <c r="N1501" s="221"/>
    </row>
    <row r="1502" customFormat="false" ht="14.25" hidden="false" customHeight="false" outlineLevel="0" collapsed="false">
      <c r="A1502" s="219"/>
      <c r="C1502" s="220"/>
      <c r="N1502" s="221"/>
    </row>
    <row r="1503" customFormat="false" ht="14.25" hidden="false" customHeight="false" outlineLevel="0" collapsed="false">
      <c r="A1503" s="219"/>
      <c r="C1503" s="220"/>
      <c r="N1503" s="221"/>
    </row>
    <row r="1504" customFormat="false" ht="14.25" hidden="false" customHeight="false" outlineLevel="0" collapsed="false">
      <c r="A1504" s="219"/>
      <c r="C1504" s="220"/>
      <c r="N1504" s="221"/>
    </row>
    <row r="1505" customFormat="false" ht="14.25" hidden="false" customHeight="false" outlineLevel="0" collapsed="false">
      <c r="A1505" s="219"/>
      <c r="C1505" s="220"/>
      <c r="N1505" s="221"/>
    </row>
    <row r="1506" customFormat="false" ht="14.25" hidden="false" customHeight="false" outlineLevel="0" collapsed="false">
      <c r="A1506" s="219"/>
      <c r="C1506" s="220"/>
      <c r="M1506" s="224"/>
      <c r="N1506" s="221"/>
    </row>
    <row r="1507" customFormat="false" ht="14.25" hidden="false" customHeight="false" outlineLevel="0" collapsed="false">
      <c r="A1507" s="219"/>
      <c r="C1507" s="220"/>
      <c r="N1507" s="221"/>
    </row>
    <row r="1508" customFormat="false" ht="14.25" hidden="false" customHeight="false" outlineLevel="0" collapsed="false">
      <c r="A1508" s="219"/>
      <c r="C1508" s="220"/>
      <c r="N1508" s="221"/>
    </row>
    <row r="1509" customFormat="false" ht="14.25" hidden="false" customHeight="false" outlineLevel="0" collapsed="false">
      <c r="A1509" s="219"/>
      <c r="C1509" s="220"/>
      <c r="N1509" s="221"/>
    </row>
    <row r="1510" customFormat="false" ht="14.25" hidden="false" customHeight="false" outlineLevel="0" collapsed="false">
      <c r="A1510" s="219"/>
      <c r="C1510" s="220"/>
      <c r="N1510" s="221"/>
    </row>
    <row r="1511" customFormat="false" ht="14.25" hidden="false" customHeight="false" outlineLevel="0" collapsed="false">
      <c r="A1511" s="219"/>
      <c r="C1511" s="220"/>
      <c r="N1511" s="221"/>
    </row>
    <row r="1512" customFormat="false" ht="14.25" hidden="false" customHeight="false" outlineLevel="0" collapsed="false">
      <c r="A1512" s="219"/>
      <c r="C1512" s="220"/>
      <c r="N1512" s="221"/>
    </row>
    <row r="1513" customFormat="false" ht="14.25" hidden="false" customHeight="false" outlineLevel="0" collapsed="false">
      <c r="A1513" s="219"/>
      <c r="C1513" s="220"/>
      <c r="N1513" s="221"/>
    </row>
    <row r="1514" customFormat="false" ht="14.25" hidden="false" customHeight="false" outlineLevel="0" collapsed="false">
      <c r="A1514" s="219"/>
      <c r="C1514" s="220"/>
      <c r="N1514" s="221"/>
    </row>
    <row r="1515" customFormat="false" ht="14.25" hidden="false" customHeight="false" outlineLevel="0" collapsed="false">
      <c r="A1515" s="219"/>
      <c r="C1515" s="220"/>
      <c r="N1515" s="221"/>
    </row>
    <row r="1516" customFormat="false" ht="14.25" hidden="false" customHeight="false" outlineLevel="0" collapsed="false">
      <c r="A1516" s="219"/>
      <c r="C1516" s="220"/>
      <c r="N1516" s="221"/>
    </row>
    <row r="1517" customFormat="false" ht="14.25" hidden="false" customHeight="false" outlineLevel="0" collapsed="false">
      <c r="A1517" s="219"/>
      <c r="C1517" s="220"/>
      <c r="N1517" s="221"/>
    </row>
    <row r="1518" customFormat="false" ht="14.25" hidden="false" customHeight="false" outlineLevel="0" collapsed="false">
      <c r="A1518" s="219"/>
      <c r="C1518" s="220"/>
      <c r="N1518" s="221"/>
    </row>
    <row r="1519" customFormat="false" ht="14.25" hidden="false" customHeight="false" outlineLevel="0" collapsed="false">
      <c r="A1519" s="219"/>
      <c r="C1519" s="220"/>
      <c r="N1519" s="221"/>
    </row>
    <row r="1520" customFormat="false" ht="14.25" hidden="false" customHeight="false" outlineLevel="0" collapsed="false">
      <c r="A1520" s="219"/>
      <c r="C1520" s="220"/>
      <c r="N1520" s="221"/>
    </row>
    <row r="1521" customFormat="false" ht="14.25" hidden="false" customHeight="false" outlineLevel="0" collapsed="false">
      <c r="A1521" s="219"/>
      <c r="C1521" s="220"/>
      <c r="N1521" s="221"/>
    </row>
    <row r="1522" customFormat="false" ht="14.25" hidden="false" customHeight="false" outlineLevel="0" collapsed="false">
      <c r="A1522" s="219"/>
      <c r="C1522" s="220"/>
      <c r="N1522" s="221"/>
    </row>
    <row r="1523" customFormat="false" ht="14.25" hidden="false" customHeight="false" outlineLevel="0" collapsed="false">
      <c r="A1523" s="219"/>
      <c r="C1523" s="220"/>
      <c r="N1523" s="221"/>
    </row>
    <row r="1524" customFormat="false" ht="14.25" hidden="false" customHeight="false" outlineLevel="0" collapsed="false">
      <c r="A1524" s="219"/>
      <c r="C1524" s="220"/>
      <c r="N1524" s="221"/>
    </row>
    <row r="1525" customFormat="false" ht="14.25" hidden="false" customHeight="false" outlineLevel="0" collapsed="false">
      <c r="A1525" s="219"/>
      <c r="C1525" s="220"/>
      <c r="N1525" s="221"/>
    </row>
    <row r="1526" customFormat="false" ht="14.25" hidden="false" customHeight="false" outlineLevel="0" collapsed="false">
      <c r="A1526" s="219"/>
      <c r="C1526" s="220"/>
      <c r="N1526" s="221"/>
    </row>
    <row r="1527" customFormat="false" ht="14.25" hidden="false" customHeight="false" outlineLevel="0" collapsed="false">
      <c r="A1527" s="219"/>
      <c r="C1527" s="220"/>
      <c r="N1527" s="221"/>
    </row>
    <row r="1528" customFormat="false" ht="14.25" hidden="false" customHeight="false" outlineLevel="0" collapsed="false">
      <c r="A1528" s="219"/>
      <c r="C1528" s="220"/>
      <c r="N1528" s="221"/>
    </row>
    <row r="1529" customFormat="false" ht="14.25" hidden="false" customHeight="false" outlineLevel="0" collapsed="false">
      <c r="A1529" s="219"/>
      <c r="C1529" s="220"/>
      <c r="N1529" s="221"/>
    </row>
    <row r="1530" customFormat="false" ht="14.25" hidden="false" customHeight="false" outlineLevel="0" collapsed="false">
      <c r="A1530" s="219"/>
      <c r="C1530" s="220"/>
      <c r="N1530" s="221"/>
    </row>
    <row r="1531" customFormat="false" ht="14.25" hidden="false" customHeight="false" outlineLevel="0" collapsed="false">
      <c r="A1531" s="219"/>
      <c r="C1531" s="220"/>
      <c r="N1531" s="221"/>
    </row>
    <row r="1532" customFormat="false" ht="14.25" hidden="false" customHeight="false" outlineLevel="0" collapsed="false">
      <c r="A1532" s="219"/>
      <c r="C1532" s="220"/>
      <c r="N1532" s="221"/>
    </row>
    <row r="1533" customFormat="false" ht="14.25" hidden="false" customHeight="false" outlineLevel="0" collapsed="false">
      <c r="A1533" s="219"/>
      <c r="C1533" s="220"/>
      <c r="N1533" s="221"/>
    </row>
    <row r="1534" customFormat="false" ht="14.25" hidden="false" customHeight="false" outlineLevel="0" collapsed="false">
      <c r="A1534" s="219"/>
      <c r="C1534" s="220"/>
      <c r="N1534" s="221"/>
    </row>
    <row r="1535" customFormat="false" ht="14.25" hidden="false" customHeight="false" outlineLevel="0" collapsed="false">
      <c r="A1535" s="219"/>
      <c r="C1535" s="220"/>
      <c r="N1535" s="221"/>
    </row>
    <row r="1536" customFormat="false" ht="14.25" hidden="false" customHeight="false" outlineLevel="0" collapsed="false">
      <c r="A1536" s="219"/>
      <c r="C1536" s="220"/>
      <c r="M1536" s="224"/>
      <c r="N1536" s="221"/>
    </row>
    <row r="1537" customFormat="false" ht="14.25" hidden="false" customHeight="false" outlineLevel="0" collapsed="false">
      <c r="A1537" s="219"/>
      <c r="C1537" s="220"/>
      <c r="N1537" s="221"/>
    </row>
    <row r="1538" customFormat="false" ht="14.25" hidden="false" customHeight="false" outlineLevel="0" collapsed="false">
      <c r="A1538" s="219"/>
      <c r="C1538" s="220"/>
      <c r="N1538" s="221"/>
    </row>
    <row r="1539" customFormat="false" ht="14.25" hidden="false" customHeight="false" outlineLevel="0" collapsed="false">
      <c r="A1539" s="219"/>
      <c r="C1539" s="220"/>
      <c r="N1539" s="221"/>
    </row>
    <row r="1540" customFormat="false" ht="14.25" hidden="false" customHeight="false" outlineLevel="0" collapsed="false">
      <c r="A1540" s="219"/>
      <c r="C1540" s="220"/>
      <c r="N1540" s="221"/>
    </row>
    <row r="1541" customFormat="false" ht="14.25" hidden="false" customHeight="false" outlineLevel="0" collapsed="false">
      <c r="A1541" s="219"/>
      <c r="C1541" s="220"/>
      <c r="N1541" s="221"/>
    </row>
    <row r="1542" customFormat="false" ht="14.25" hidden="false" customHeight="false" outlineLevel="0" collapsed="false">
      <c r="A1542" s="219"/>
      <c r="C1542" s="220"/>
      <c r="N1542" s="221"/>
    </row>
    <row r="1543" customFormat="false" ht="14.25" hidden="false" customHeight="false" outlineLevel="0" collapsed="false">
      <c r="A1543" s="219"/>
      <c r="C1543" s="220"/>
      <c r="N1543" s="221"/>
    </row>
    <row r="1544" customFormat="false" ht="14.25" hidden="false" customHeight="false" outlineLevel="0" collapsed="false">
      <c r="A1544" s="219"/>
      <c r="C1544" s="220"/>
      <c r="N1544" s="221"/>
    </row>
    <row r="1545" customFormat="false" ht="14.25" hidden="false" customHeight="false" outlineLevel="0" collapsed="false">
      <c r="A1545" s="219"/>
      <c r="C1545" s="220"/>
      <c r="N1545" s="221"/>
    </row>
    <row r="1546" customFormat="false" ht="14.25" hidden="false" customHeight="false" outlineLevel="0" collapsed="false">
      <c r="A1546" s="219"/>
      <c r="C1546" s="220"/>
      <c r="N1546" s="221"/>
    </row>
    <row r="1547" customFormat="false" ht="14.25" hidden="false" customHeight="false" outlineLevel="0" collapsed="false">
      <c r="A1547" s="219"/>
      <c r="C1547" s="220"/>
      <c r="N1547" s="221"/>
    </row>
    <row r="1548" customFormat="false" ht="14.25" hidden="false" customHeight="false" outlineLevel="0" collapsed="false">
      <c r="A1548" s="219"/>
      <c r="C1548" s="220"/>
      <c r="N1548" s="221"/>
    </row>
    <row r="1549" customFormat="false" ht="14.25" hidden="false" customHeight="false" outlineLevel="0" collapsed="false">
      <c r="A1549" s="219"/>
      <c r="C1549" s="220"/>
      <c r="N1549" s="221"/>
    </row>
    <row r="1550" customFormat="false" ht="14.25" hidden="false" customHeight="false" outlineLevel="0" collapsed="false">
      <c r="A1550" s="219"/>
      <c r="C1550" s="220"/>
      <c r="N1550" s="221"/>
    </row>
    <row r="1551" customFormat="false" ht="14.25" hidden="false" customHeight="false" outlineLevel="0" collapsed="false">
      <c r="A1551" s="219"/>
      <c r="C1551" s="220"/>
      <c r="N1551" s="221"/>
    </row>
    <row r="1552" customFormat="false" ht="14.25" hidden="false" customHeight="false" outlineLevel="0" collapsed="false">
      <c r="A1552" s="219"/>
      <c r="C1552" s="220"/>
      <c r="M1552" s="224"/>
      <c r="N1552" s="221"/>
    </row>
    <row r="1553" customFormat="false" ht="14.25" hidden="false" customHeight="false" outlineLevel="0" collapsed="false">
      <c r="A1553" s="219"/>
      <c r="C1553" s="220"/>
      <c r="N1553" s="221"/>
    </row>
    <row r="1554" customFormat="false" ht="14.25" hidden="false" customHeight="false" outlineLevel="0" collapsed="false">
      <c r="A1554" s="219"/>
      <c r="C1554" s="220"/>
      <c r="N1554" s="221"/>
    </row>
    <row r="1555" customFormat="false" ht="14.25" hidden="false" customHeight="false" outlineLevel="0" collapsed="false">
      <c r="A1555" s="219"/>
      <c r="C1555" s="220"/>
      <c r="N1555" s="221"/>
    </row>
    <row r="1556" customFormat="false" ht="14.25" hidden="false" customHeight="false" outlineLevel="0" collapsed="false">
      <c r="A1556" s="219"/>
      <c r="C1556" s="220"/>
      <c r="N1556" s="221"/>
    </row>
    <row r="1557" customFormat="false" ht="14.25" hidden="false" customHeight="false" outlineLevel="0" collapsed="false">
      <c r="A1557" s="219"/>
      <c r="C1557" s="220"/>
      <c r="N1557" s="221"/>
    </row>
    <row r="1558" customFormat="false" ht="14.25" hidden="false" customHeight="false" outlineLevel="0" collapsed="false">
      <c r="A1558" s="219"/>
      <c r="C1558" s="220"/>
      <c r="N1558" s="221"/>
    </row>
    <row r="1559" customFormat="false" ht="14.25" hidden="false" customHeight="false" outlineLevel="0" collapsed="false">
      <c r="A1559" s="219"/>
      <c r="C1559" s="220"/>
      <c r="N1559" s="221"/>
    </row>
    <row r="1560" customFormat="false" ht="14.25" hidden="false" customHeight="false" outlineLevel="0" collapsed="false">
      <c r="A1560" s="219"/>
      <c r="C1560" s="220"/>
      <c r="M1560" s="224"/>
      <c r="N1560" s="221"/>
    </row>
    <row r="1561" customFormat="false" ht="14.25" hidden="false" customHeight="false" outlineLevel="0" collapsed="false">
      <c r="A1561" s="219"/>
      <c r="C1561" s="220"/>
      <c r="N1561" s="221"/>
    </row>
    <row r="1562" customFormat="false" ht="14.25" hidden="false" customHeight="false" outlineLevel="0" collapsed="false">
      <c r="A1562" s="219"/>
      <c r="C1562" s="220"/>
      <c r="N1562" s="221"/>
    </row>
    <row r="1563" customFormat="false" ht="14.25" hidden="false" customHeight="false" outlineLevel="0" collapsed="false">
      <c r="A1563" s="219"/>
      <c r="C1563" s="220"/>
      <c r="M1563" s="224"/>
      <c r="N1563" s="221"/>
    </row>
    <row r="1564" customFormat="false" ht="14.25" hidden="false" customHeight="false" outlineLevel="0" collapsed="false">
      <c r="A1564" s="219"/>
      <c r="C1564" s="220"/>
      <c r="N1564" s="221"/>
    </row>
    <row r="1565" customFormat="false" ht="14.25" hidden="false" customHeight="false" outlineLevel="0" collapsed="false">
      <c r="A1565" s="219"/>
      <c r="C1565" s="220"/>
      <c r="N1565" s="221"/>
    </row>
    <row r="1566" customFormat="false" ht="14.25" hidden="false" customHeight="false" outlineLevel="0" collapsed="false">
      <c r="A1566" s="219"/>
      <c r="C1566" s="220"/>
      <c r="N1566" s="221"/>
    </row>
    <row r="1567" customFormat="false" ht="14.25" hidden="false" customHeight="false" outlineLevel="0" collapsed="false">
      <c r="A1567" s="219"/>
      <c r="C1567" s="220"/>
      <c r="N1567" s="221"/>
    </row>
    <row r="1568" customFormat="false" ht="14.25" hidden="false" customHeight="false" outlineLevel="0" collapsed="false">
      <c r="A1568" s="219"/>
      <c r="C1568" s="220"/>
      <c r="N1568" s="221"/>
    </row>
    <row r="1569" customFormat="false" ht="14.25" hidden="false" customHeight="false" outlineLevel="0" collapsed="false">
      <c r="A1569" s="219"/>
      <c r="C1569" s="220"/>
      <c r="N1569" s="221"/>
    </row>
    <row r="1570" customFormat="false" ht="14.25" hidden="false" customHeight="false" outlineLevel="0" collapsed="false">
      <c r="A1570" s="219"/>
      <c r="C1570" s="220"/>
      <c r="N1570" s="221"/>
    </row>
    <row r="1571" customFormat="false" ht="14.25" hidden="false" customHeight="false" outlineLevel="0" collapsed="false">
      <c r="A1571" s="219"/>
      <c r="C1571" s="220"/>
      <c r="N1571" s="221"/>
    </row>
    <row r="1572" customFormat="false" ht="14.25" hidden="false" customHeight="false" outlineLevel="0" collapsed="false">
      <c r="A1572" s="219"/>
      <c r="C1572" s="220"/>
      <c r="N1572" s="221"/>
    </row>
    <row r="1573" customFormat="false" ht="14.25" hidden="false" customHeight="false" outlineLevel="0" collapsed="false">
      <c r="A1573" s="219"/>
      <c r="C1573" s="220"/>
      <c r="N1573" s="221"/>
    </row>
    <row r="1574" customFormat="false" ht="14.25" hidden="false" customHeight="false" outlineLevel="0" collapsed="false">
      <c r="A1574" s="219"/>
      <c r="C1574" s="220"/>
      <c r="N1574" s="221"/>
    </row>
    <row r="1575" customFormat="false" ht="14.25" hidden="false" customHeight="false" outlineLevel="0" collapsed="false">
      <c r="A1575" s="219"/>
      <c r="C1575" s="220"/>
      <c r="N1575" s="221"/>
    </row>
    <row r="1576" customFormat="false" ht="14.25" hidden="false" customHeight="false" outlineLevel="0" collapsed="false">
      <c r="A1576" s="219"/>
      <c r="C1576" s="220"/>
      <c r="N1576" s="221"/>
    </row>
    <row r="1577" customFormat="false" ht="14.25" hidden="false" customHeight="false" outlineLevel="0" collapsed="false">
      <c r="A1577" s="219"/>
      <c r="C1577" s="220"/>
      <c r="N1577" s="221"/>
    </row>
    <row r="1578" customFormat="false" ht="14.25" hidden="false" customHeight="false" outlineLevel="0" collapsed="false">
      <c r="A1578" s="219"/>
      <c r="C1578" s="220"/>
      <c r="N1578" s="221"/>
    </row>
    <row r="1579" customFormat="false" ht="14.25" hidden="false" customHeight="false" outlineLevel="0" collapsed="false">
      <c r="A1579" s="219"/>
      <c r="C1579" s="220"/>
      <c r="N1579" s="221"/>
    </row>
    <row r="1580" customFormat="false" ht="14.25" hidden="false" customHeight="false" outlineLevel="0" collapsed="false">
      <c r="A1580" s="219"/>
      <c r="C1580" s="220"/>
      <c r="N1580" s="221"/>
    </row>
    <row r="1581" customFormat="false" ht="14.25" hidden="false" customHeight="false" outlineLevel="0" collapsed="false">
      <c r="A1581" s="219"/>
      <c r="C1581" s="220"/>
      <c r="N1581" s="221"/>
    </row>
    <row r="1582" customFormat="false" ht="14.25" hidden="false" customHeight="false" outlineLevel="0" collapsed="false">
      <c r="A1582" s="219"/>
      <c r="C1582" s="220"/>
      <c r="N1582" s="221"/>
    </row>
    <row r="1583" customFormat="false" ht="14.25" hidden="false" customHeight="false" outlineLevel="0" collapsed="false">
      <c r="A1583" s="219"/>
      <c r="C1583" s="220"/>
      <c r="N1583" s="221"/>
    </row>
    <row r="1584" customFormat="false" ht="14.25" hidden="false" customHeight="false" outlineLevel="0" collapsed="false">
      <c r="A1584" s="219"/>
      <c r="C1584" s="220"/>
      <c r="N1584" s="221"/>
    </row>
    <row r="1585" customFormat="false" ht="14.25" hidden="false" customHeight="false" outlineLevel="0" collapsed="false">
      <c r="A1585" s="219"/>
      <c r="C1585" s="220"/>
      <c r="N1585" s="221"/>
    </row>
    <row r="1586" customFormat="false" ht="14.25" hidden="false" customHeight="false" outlineLevel="0" collapsed="false">
      <c r="A1586" s="219"/>
      <c r="C1586" s="220"/>
      <c r="N1586" s="221"/>
    </row>
    <row r="1587" customFormat="false" ht="14.25" hidden="false" customHeight="false" outlineLevel="0" collapsed="false">
      <c r="A1587" s="219"/>
      <c r="C1587" s="220"/>
      <c r="N1587" s="221"/>
    </row>
    <row r="1588" customFormat="false" ht="14.25" hidden="false" customHeight="false" outlineLevel="0" collapsed="false">
      <c r="A1588" s="219"/>
      <c r="C1588" s="220"/>
      <c r="N1588" s="221"/>
    </row>
    <row r="1589" customFormat="false" ht="14.25" hidden="false" customHeight="false" outlineLevel="0" collapsed="false">
      <c r="A1589" s="219"/>
      <c r="C1589" s="220"/>
      <c r="N1589" s="221"/>
    </row>
    <row r="1590" customFormat="false" ht="14.25" hidden="false" customHeight="false" outlineLevel="0" collapsed="false">
      <c r="A1590" s="219"/>
      <c r="C1590" s="220"/>
      <c r="N1590" s="221"/>
    </row>
    <row r="1591" customFormat="false" ht="14.25" hidden="false" customHeight="false" outlineLevel="0" collapsed="false">
      <c r="A1591" s="219"/>
      <c r="C1591" s="220"/>
      <c r="N1591" s="221"/>
    </row>
    <row r="1592" customFormat="false" ht="14.25" hidden="false" customHeight="false" outlineLevel="0" collapsed="false">
      <c r="A1592" s="219"/>
      <c r="C1592" s="220"/>
      <c r="N1592" s="221"/>
    </row>
    <row r="1593" customFormat="false" ht="14.25" hidden="false" customHeight="false" outlineLevel="0" collapsed="false">
      <c r="A1593" s="219"/>
      <c r="C1593" s="220"/>
      <c r="N1593" s="221"/>
    </row>
    <row r="1594" customFormat="false" ht="14.25" hidden="false" customHeight="false" outlineLevel="0" collapsed="false">
      <c r="A1594" s="219"/>
      <c r="C1594" s="220"/>
      <c r="N1594" s="221"/>
    </row>
    <row r="1595" customFormat="false" ht="14.25" hidden="false" customHeight="false" outlineLevel="0" collapsed="false">
      <c r="A1595" s="219"/>
      <c r="C1595" s="220"/>
      <c r="N1595" s="221"/>
    </row>
    <row r="1596" customFormat="false" ht="14.25" hidden="false" customHeight="false" outlineLevel="0" collapsed="false">
      <c r="A1596" s="219"/>
      <c r="C1596" s="220"/>
      <c r="N1596" s="221"/>
    </row>
    <row r="1597" customFormat="false" ht="14.25" hidden="false" customHeight="false" outlineLevel="0" collapsed="false">
      <c r="A1597" s="219"/>
      <c r="C1597" s="220"/>
      <c r="N1597" s="221"/>
    </row>
    <row r="1598" customFormat="false" ht="14.25" hidden="false" customHeight="false" outlineLevel="0" collapsed="false">
      <c r="A1598" s="219"/>
      <c r="C1598" s="220"/>
      <c r="N1598" s="221"/>
    </row>
    <row r="1599" customFormat="false" ht="14.25" hidden="false" customHeight="false" outlineLevel="0" collapsed="false">
      <c r="A1599" s="219"/>
      <c r="C1599" s="220"/>
      <c r="N1599" s="221"/>
    </row>
    <row r="1600" customFormat="false" ht="14.25" hidden="false" customHeight="false" outlineLevel="0" collapsed="false">
      <c r="A1600" s="219"/>
      <c r="C1600" s="220"/>
      <c r="N1600" s="221"/>
    </row>
    <row r="1601" customFormat="false" ht="14.25" hidden="false" customHeight="false" outlineLevel="0" collapsed="false">
      <c r="A1601" s="219"/>
      <c r="C1601" s="220"/>
      <c r="N1601" s="221"/>
    </row>
    <row r="1602" customFormat="false" ht="14.25" hidden="false" customHeight="false" outlineLevel="0" collapsed="false">
      <c r="A1602" s="219"/>
      <c r="C1602" s="220"/>
      <c r="N1602" s="221"/>
    </row>
    <row r="1603" customFormat="false" ht="14.25" hidden="false" customHeight="false" outlineLevel="0" collapsed="false">
      <c r="A1603" s="219"/>
      <c r="C1603" s="220"/>
      <c r="N1603" s="221"/>
    </row>
    <row r="1604" customFormat="false" ht="14.25" hidden="false" customHeight="false" outlineLevel="0" collapsed="false">
      <c r="A1604" s="219"/>
      <c r="C1604" s="220"/>
      <c r="N1604" s="221"/>
    </row>
    <row r="1605" customFormat="false" ht="14.25" hidden="false" customHeight="false" outlineLevel="0" collapsed="false">
      <c r="A1605" s="219"/>
      <c r="C1605" s="220"/>
      <c r="N1605" s="221"/>
    </row>
    <row r="1606" customFormat="false" ht="14.25" hidden="false" customHeight="false" outlineLevel="0" collapsed="false">
      <c r="A1606" s="219"/>
      <c r="C1606" s="220"/>
      <c r="N1606" s="221"/>
    </row>
    <row r="1607" customFormat="false" ht="14.25" hidden="false" customHeight="false" outlineLevel="0" collapsed="false">
      <c r="A1607" s="219"/>
      <c r="C1607" s="220"/>
      <c r="N1607" s="221"/>
    </row>
    <row r="1608" customFormat="false" ht="14.25" hidden="false" customHeight="false" outlineLevel="0" collapsed="false">
      <c r="A1608" s="219"/>
      <c r="C1608" s="220"/>
      <c r="N1608" s="221"/>
    </row>
    <row r="1609" customFormat="false" ht="14.25" hidden="false" customHeight="false" outlineLevel="0" collapsed="false">
      <c r="A1609" s="219"/>
      <c r="C1609" s="220"/>
      <c r="N1609" s="221"/>
    </row>
    <row r="1610" customFormat="false" ht="14.25" hidden="false" customHeight="false" outlineLevel="0" collapsed="false">
      <c r="A1610" s="219"/>
      <c r="C1610" s="220"/>
      <c r="N1610" s="221"/>
    </row>
    <row r="1611" customFormat="false" ht="14.25" hidden="false" customHeight="false" outlineLevel="0" collapsed="false">
      <c r="A1611" s="219"/>
      <c r="C1611" s="220"/>
      <c r="N1611" s="221"/>
    </row>
    <row r="1612" customFormat="false" ht="14.25" hidden="false" customHeight="false" outlineLevel="0" collapsed="false">
      <c r="A1612" s="219"/>
      <c r="C1612" s="220"/>
      <c r="N1612" s="221"/>
    </row>
    <row r="1613" customFormat="false" ht="14.25" hidden="false" customHeight="false" outlineLevel="0" collapsed="false">
      <c r="A1613" s="219"/>
      <c r="C1613" s="220"/>
      <c r="N1613" s="221"/>
    </row>
    <row r="1614" customFormat="false" ht="14.25" hidden="false" customHeight="false" outlineLevel="0" collapsed="false">
      <c r="A1614" s="219"/>
      <c r="C1614" s="220"/>
      <c r="N1614" s="221"/>
    </row>
    <row r="1615" customFormat="false" ht="14.25" hidden="false" customHeight="false" outlineLevel="0" collapsed="false">
      <c r="A1615" s="219"/>
      <c r="C1615" s="220"/>
      <c r="N1615" s="221"/>
    </row>
    <row r="1616" customFormat="false" ht="14.25" hidden="false" customHeight="false" outlineLevel="0" collapsed="false">
      <c r="A1616" s="219"/>
      <c r="C1616" s="220"/>
      <c r="N1616" s="221"/>
    </row>
    <row r="1617" customFormat="false" ht="14.25" hidden="false" customHeight="false" outlineLevel="0" collapsed="false">
      <c r="A1617" s="219"/>
      <c r="C1617" s="220"/>
      <c r="N1617" s="221"/>
    </row>
    <row r="1618" customFormat="false" ht="14.25" hidden="false" customHeight="false" outlineLevel="0" collapsed="false">
      <c r="A1618" s="219"/>
      <c r="C1618" s="220"/>
      <c r="N1618" s="221"/>
    </row>
    <row r="1619" customFormat="false" ht="14.25" hidden="false" customHeight="false" outlineLevel="0" collapsed="false">
      <c r="A1619" s="219"/>
      <c r="C1619" s="220"/>
      <c r="M1619" s="224"/>
      <c r="N1619" s="221"/>
    </row>
    <row r="1620" customFormat="false" ht="14.25" hidden="false" customHeight="false" outlineLevel="0" collapsed="false">
      <c r="A1620" s="219"/>
      <c r="C1620" s="220"/>
      <c r="N1620" s="221"/>
    </row>
    <row r="1621" customFormat="false" ht="14.25" hidden="false" customHeight="false" outlineLevel="0" collapsed="false">
      <c r="A1621" s="219"/>
      <c r="C1621" s="220"/>
      <c r="N1621" s="221"/>
    </row>
    <row r="1622" customFormat="false" ht="14.25" hidden="false" customHeight="false" outlineLevel="0" collapsed="false">
      <c r="A1622" s="219"/>
      <c r="C1622" s="220"/>
      <c r="N1622" s="221"/>
    </row>
    <row r="1623" customFormat="false" ht="14.25" hidden="false" customHeight="false" outlineLevel="0" collapsed="false">
      <c r="A1623" s="219"/>
      <c r="C1623" s="220"/>
      <c r="N1623" s="221"/>
    </row>
    <row r="1624" customFormat="false" ht="14.25" hidden="false" customHeight="false" outlineLevel="0" collapsed="false">
      <c r="A1624" s="219"/>
      <c r="C1624" s="220"/>
      <c r="N1624" s="221"/>
    </row>
    <row r="1625" customFormat="false" ht="14.25" hidden="false" customHeight="false" outlineLevel="0" collapsed="false">
      <c r="A1625" s="219"/>
      <c r="C1625" s="220"/>
      <c r="N1625" s="221"/>
    </row>
    <row r="1626" customFormat="false" ht="14.25" hidden="false" customHeight="false" outlineLevel="0" collapsed="false">
      <c r="A1626" s="219"/>
      <c r="C1626" s="220"/>
      <c r="N1626" s="221"/>
    </row>
    <row r="1627" customFormat="false" ht="14.25" hidden="false" customHeight="false" outlineLevel="0" collapsed="false">
      <c r="A1627" s="219"/>
      <c r="C1627" s="220"/>
      <c r="N1627" s="221"/>
    </row>
    <row r="1628" customFormat="false" ht="14.25" hidden="false" customHeight="false" outlineLevel="0" collapsed="false">
      <c r="A1628" s="219"/>
      <c r="C1628" s="220"/>
      <c r="N1628" s="221"/>
    </row>
    <row r="1629" customFormat="false" ht="14.25" hidden="false" customHeight="false" outlineLevel="0" collapsed="false">
      <c r="A1629" s="219"/>
      <c r="C1629" s="220"/>
      <c r="N1629" s="221"/>
    </row>
    <row r="1630" customFormat="false" ht="14.25" hidden="false" customHeight="false" outlineLevel="0" collapsed="false">
      <c r="A1630" s="219"/>
      <c r="C1630" s="220"/>
      <c r="N1630" s="221"/>
    </row>
    <row r="1631" customFormat="false" ht="14.25" hidden="false" customHeight="false" outlineLevel="0" collapsed="false">
      <c r="A1631" s="219"/>
      <c r="C1631" s="220"/>
      <c r="N1631" s="221"/>
    </row>
    <row r="1632" customFormat="false" ht="14.25" hidden="false" customHeight="false" outlineLevel="0" collapsed="false">
      <c r="A1632" s="219"/>
      <c r="C1632" s="220"/>
      <c r="N1632" s="221"/>
    </row>
    <row r="1633" customFormat="false" ht="14.25" hidden="false" customHeight="false" outlineLevel="0" collapsed="false">
      <c r="A1633" s="219"/>
      <c r="C1633" s="220"/>
      <c r="N1633" s="221"/>
    </row>
    <row r="1634" customFormat="false" ht="14.25" hidden="false" customHeight="false" outlineLevel="0" collapsed="false">
      <c r="A1634" s="219"/>
      <c r="C1634" s="220"/>
      <c r="N1634" s="221"/>
    </row>
    <row r="1635" customFormat="false" ht="14.25" hidden="false" customHeight="false" outlineLevel="0" collapsed="false">
      <c r="A1635" s="219"/>
      <c r="C1635" s="220"/>
      <c r="N1635" s="221"/>
    </row>
    <row r="1636" customFormat="false" ht="14.25" hidden="false" customHeight="false" outlineLevel="0" collapsed="false">
      <c r="A1636" s="219"/>
      <c r="C1636" s="220"/>
      <c r="N1636" s="221"/>
    </row>
    <row r="1637" customFormat="false" ht="14.25" hidden="false" customHeight="false" outlineLevel="0" collapsed="false">
      <c r="A1637" s="219"/>
      <c r="C1637" s="220"/>
      <c r="N1637" s="221"/>
    </row>
    <row r="1638" customFormat="false" ht="14.25" hidden="false" customHeight="false" outlineLevel="0" collapsed="false">
      <c r="A1638" s="219"/>
      <c r="C1638" s="220"/>
      <c r="N1638" s="221"/>
    </row>
    <row r="1639" customFormat="false" ht="14.25" hidden="false" customHeight="false" outlineLevel="0" collapsed="false">
      <c r="A1639" s="219"/>
      <c r="C1639" s="220"/>
      <c r="N1639" s="221"/>
    </row>
    <row r="1640" customFormat="false" ht="14.25" hidden="false" customHeight="false" outlineLevel="0" collapsed="false">
      <c r="A1640" s="219"/>
      <c r="C1640" s="220"/>
      <c r="N1640" s="221"/>
    </row>
    <row r="1641" customFormat="false" ht="14.25" hidden="false" customHeight="false" outlineLevel="0" collapsed="false">
      <c r="A1641" s="219"/>
      <c r="C1641" s="220"/>
      <c r="N1641" s="221"/>
    </row>
    <row r="1642" customFormat="false" ht="14.25" hidden="false" customHeight="false" outlineLevel="0" collapsed="false">
      <c r="A1642" s="219"/>
      <c r="C1642" s="220"/>
      <c r="N1642" s="221"/>
    </row>
    <row r="1643" customFormat="false" ht="14.25" hidden="false" customHeight="false" outlineLevel="0" collapsed="false">
      <c r="A1643" s="219"/>
      <c r="C1643" s="220"/>
      <c r="N1643" s="221"/>
    </row>
    <row r="1644" customFormat="false" ht="14.25" hidden="false" customHeight="false" outlineLevel="0" collapsed="false">
      <c r="A1644" s="219"/>
      <c r="C1644" s="220"/>
      <c r="N1644" s="221"/>
    </row>
    <row r="1645" customFormat="false" ht="14.25" hidden="false" customHeight="false" outlineLevel="0" collapsed="false">
      <c r="A1645" s="219"/>
      <c r="C1645" s="220"/>
      <c r="N1645" s="221"/>
    </row>
    <row r="1646" customFormat="false" ht="14.25" hidden="false" customHeight="false" outlineLevel="0" collapsed="false">
      <c r="A1646" s="219"/>
      <c r="C1646" s="220"/>
      <c r="N1646" s="221"/>
    </row>
    <row r="1647" customFormat="false" ht="14.25" hidden="false" customHeight="false" outlineLevel="0" collapsed="false">
      <c r="A1647" s="219"/>
      <c r="C1647" s="220"/>
      <c r="N1647" s="221"/>
    </row>
    <row r="1648" customFormat="false" ht="14.25" hidden="false" customHeight="false" outlineLevel="0" collapsed="false">
      <c r="A1648" s="219"/>
      <c r="C1648" s="220"/>
      <c r="N1648" s="221"/>
    </row>
    <row r="1649" customFormat="false" ht="14.25" hidden="false" customHeight="false" outlineLevel="0" collapsed="false">
      <c r="A1649" s="219"/>
      <c r="C1649" s="220"/>
      <c r="N1649" s="221"/>
    </row>
    <row r="1650" customFormat="false" ht="14.25" hidden="false" customHeight="false" outlineLevel="0" collapsed="false">
      <c r="A1650" s="219"/>
      <c r="C1650" s="220"/>
      <c r="N1650" s="221"/>
    </row>
    <row r="1651" customFormat="false" ht="14.25" hidden="false" customHeight="false" outlineLevel="0" collapsed="false">
      <c r="A1651" s="219"/>
      <c r="C1651" s="220"/>
      <c r="N1651" s="221"/>
    </row>
    <row r="1652" customFormat="false" ht="14.25" hidden="false" customHeight="false" outlineLevel="0" collapsed="false">
      <c r="A1652" s="219"/>
      <c r="C1652" s="220"/>
      <c r="N1652" s="221"/>
    </row>
    <row r="1653" customFormat="false" ht="14.25" hidden="false" customHeight="false" outlineLevel="0" collapsed="false">
      <c r="A1653" s="219"/>
      <c r="C1653" s="220"/>
      <c r="N1653" s="221"/>
    </row>
    <row r="1654" customFormat="false" ht="14.25" hidden="false" customHeight="false" outlineLevel="0" collapsed="false">
      <c r="A1654" s="219"/>
      <c r="C1654" s="220"/>
      <c r="N1654" s="221"/>
    </row>
    <row r="1655" customFormat="false" ht="14.25" hidden="false" customHeight="false" outlineLevel="0" collapsed="false">
      <c r="A1655" s="219"/>
      <c r="C1655" s="220"/>
      <c r="N1655" s="221"/>
    </row>
    <row r="1656" customFormat="false" ht="14.25" hidden="false" customHeight="false" outlineLevel="0" collapsed="false">
      <c r="A1656" s="219"/>
      <c r="C1656" s="220"/>
      <c r="N1656" s="221"/>
    </row>
    <row r="1657" customFormat="false" ht="14.25" hidden="false" customHeight="false" outlineLevel="0" collapsed="false">
      <c r="A1657" s="219"/>
      <c r="C1657" s="220"/>
      <c r="N1657" s="221"/>
    </row>
    <row r="1658" customFormat="false" ht="14.25" hidden="false" customHeight="false" outlineLevel="0" collapsed="false">
      <c r="A1658" s="219"/>
      <c r="C1658" s="220"/>
      <c r="N1658" s="221"/>
    </row>
    <row r="1659" customFormat="false" ht="14.25" hidden="false" customHeight="false" outlineLevel="0" collapsed="false">
      <c r="A1659" s="219"/>
      <c r="C1659" s="220"/>
      <c r="N1659" s="221"/>
    </row>
    <row r="1660" customFormat="false" ht="14.25" hidden="false" customHeight="false" outlineLevel="0" collapsed="false">
      <c r="A1660" s="219"/>
      <c r="C1660" s="220"/>
      <c r="N1660" s="221"/>
    </row>
    <row r="1661" customFormat="false" ht="14.25" hidden="false" customHeight="false" outlineLevel="0" collapsed="false">
      <c r="A1661" s="219"/>
      <c r="C1661" s="220"/>
      <c r="N1661" s="221"/>
    </row>
    <row r="1662" customFormat="false" ht="14.25" hidden="false" customHeight="false" outlineLevel="0" collapsed="false">
      <c r="A1662" s="219"/>
      <c r="C1662" s="220"/>
      <c r="N1662" s="221"/>
    </row>
    <row r="1663" customFormat="false" ht="14.25" hidden="false" customHeight="false" outlineLevel="0" collapsed="false">
      <c r="A1663" s="219"/>
      <c r="C1663" s="220"/>
      <c r="N1663" s="221"/>
    </row>
    <row r="1664" customFormat="false" ht="14.25" hidden="false" customHeight="false" outlineLevel="0" collapsed="false">
      <c r="A1664" s="219"/>
      <c r="C1664" s="220"/>
      <c r="N1664" s="221"/>
    </row>
    <row r="1665" customFormat="false" ht="14.25" hidden="false" customHeight="false" outlineLevel="0" collapsed="false">
      <c r="A1665" s="219"/>
      <c r="C1665" s="220"/>
      <c r="N1665" s="221"/>
    </row>
    <row r="1666" customFormat="false" ht="14.25" hidden="false" customHeight="false" outlineLevel="0" collapsed="false">
      <c r="A1666" s="219"/>
      <c r="C1666" s="220"/>
      <c r="N1666" s="221"/>
    </row>
    <row r="1667" customFormat="false" ht="14.25" hidden="false" customHeight="false" outlineLevel="0" collapsed="false">
      <c r="A1667" s="219"/>
      <c r="C1667" s="220"/>
      <c r="N1667" s="221"/>
    </row>
    <row r="1668" customFormat="false" ht="14.25" hidden="false" customHeight="false" outlineLevel="0" collapsed="false">
      <c r="A1668" s="219"/>
      <c r="C1668" s="220"/>
      <c r="N1668" s="221"/>
    </row>
    <row r="1669" customFormat="false" ht="14.25" hidden="false" customHeight="false" outlineLevel="0" collapsed="false">
      <c r="A1669" s="219"/>
      <c r="C1669" s="220"/>
      <c r="N1669" s="221"/>
    </row>
    <row r="1670" customFormat="false" ht="14.25" hidden="false" customHeight="false" outlineLevel="0" collapsed="false">
      <c r="A1670" s="219"/>
      <c r="C1670" s="220"/>
      <c r="N1670" s="221"/>
    </row>
    <row r="1671" customFormat="false" ht="14.25" hidden="false" customHeight="false" outlineLevel="0" collapsed="false">
      <c r="A1671" s="219"/>
      <c r="C1671" s="220"/>
      <c r="N1671" s="221"/>
    </row>
    <row r="1672" customFormat="false" ht="14.25" hidden="false" customHeight="false" outlineLevel="0" collapsed="false">
      <c r="A1672" s="219"/>
      <c r="C1672" s="220"/>
      <c r="N1672" s="221"/>
    </row>
    <row r="1673" customFormat="false" ht="14.25" hidden="false" customHeight="false" outlineLevel="0" collapsed="false">
      <c r="A1673" s="219"/>
      <c r="C1673" s="220"/>
      <c r="N1673" s="221"/>
    </row>
    <row r="1674" customFormat="false" ht="14.25" hidden="false" customHeight="false" outlineLevel="0" collapsed="false">
      <c r="A1674" s="219"/>
      <c r="C1674" s="220"/>
      <c r="N1674" s="221"/>
    </row>
    <row r="1675" customFormat="false" ht="14.25" hidden="false" customHeight="false" outlineLevel="0" collapsed="false">
      <c r="A1675" s="219"/>
      <c r="C1675" s="220"/>
      <c r="N1675" s="221"/>
    </row>
    <row r="1676" customFormat="false" ht="14.25" hidden="false" customHeight="false" outlineLevel="0" collapsed="false">
      <c r="A1676" s="219"/>
      <c r="C1676" s="220"/>
      <c r="N1676" s="221"/>
    </row>
    <row r="1677" customFormat="false" ht="14.25" hidden="false" customHeight="false" outlineLevel="0" collapsed="false">
      <c r="A1677" s="219"/>
      <c r="C1677" s="220"/>
      <c r="N1677" s="221"/>
    </row>
    <row r="1678" customFormat="false" ht="14.25" hidden="false" customHeight="false" outlineLevel="0" collapsed="false">
      <c r="A1678" s="219"/>
      <c r="C1678" s="220"/>
      <c r="N1678" s="221"/>
    </row>
    <row r="1679" customFormat="false" ht="14.25" hidden="false" customHeight="false" outlineLevel="0" collapsed="false">
      <c r="A1679" s="219"/>
      <c r="C1679" s="220"/>
      <c r="N1679" s="221"/>
    </row>
    <row r="1680" customFormat="false" ht="14.25" hidden="false" customHeight="false" outlineLevel="0" collapsed="false">
      <c r="A1680" s="219"/>
      <c r="C1680" s="220"/>
      <c r="N1680" s="221"/>
    </row>
    <row r="1681" customFormat="false" ht="14.25" hidden="false" customHeight="false" outlineLevel="0" collapsed="false">
      <c r="A1681" s="219"/>
      <c r="C1681" s="220"/>
      <c r="N1681" s="221"/>
    </row>
    <row r="1682" customFormat="false" ht="14.25" hidden="false" customHeight="false" outlineLevel="0" collapsed="false">
      <c r="A1682" s="219"/>
      <c r="C1682" s="220"/>
      <c r="N1682" s="221"/>
    </row>
    <row r="1683" customFormat="false" ht="14.25" hidden="false" customHeight="false" outlineLevel="0" collapsed="false">
      <c r="A1683" s="219"/>
      <c r="C1683" s="220"/>
      <c r="N1683" s="221"/>
    </row>
    <row r="1684" customFormat="false" ht="14.25" hidden="false" customHeight="false" outlineLevel="0" collapsed="false">
      <c r="A1684" s="219"/>
      <c r="C1684" s="220"/>
      <c r="N1684" s="221"/>
    </row>
    <row r="1685" customFormat="false" ht="14.25" hidden="false" customHeight="false" outlineLevel="0" collapsed="false">
      <c r="A1685" s="219"/>
      <c r="C1685" s="220"/>
      <c r="N1685" s="221"/>
    </row>
    <row r="1686" customFormat="false" ht="14.25" hidden="false" customHeight="false" outlineLevel="0" collapsed="false">
      <c r="A1686" s="219"/>
      <c r="C1686" s="220"/>
      <c r="N1686" s="221"/>
    </row>
    <row r="1687" customFormat="false" ht="14.25" hidden="false" customHeight="false" outlineLevel="0" collapsed="false">
      <c r="A1687" s="219"/>
      <c r="C1687" s="220"/>
      <c r="N1687" s="221"/>
    </row>
    <row r="1688" customFormat="false" ht="14.25" hidden="false" customHeight="false" outlineLevel="0" collapsed="false">
      <c r="A1688" s="219"/>
      <c r="C1688" s="220"/>
      <c r="M1688" s="224"/>
      <c r="N1688" s="221"/>
    </row>
    <row r="1689" customFormat="false" ht="14.25" hidden="false" customHeight="false" outlineLevel="0" collapsed="false">
      <c r="A1689" s="219"/>
      <c r="C1689" s="220"/>
      <c r="N1689" s="221"/>
    </row>
    <row r="1690" customFormat="false" ht="14.25" hidden="false" customHeight="false" outlineLevel="0" collapsed="false">
      <c r="A1690" s="219"/>
      <c r="C1690" s="220"/>
      <c r="M1690" s="224"/>
      <c r="N1690" s="221"/>
    </row>
    <row r="1691" customFormat="false" ht="14.25" hidden="false" customHeight="false" outlineLevel="0" collapsed="false">
      <c r="A1691" s="219"/>
      <c r="C1691" s="220"/>
      <c r="N1691" s="221"/>
    </row>
    <row r="1692" customFormat="false" ht="14.25" hidden="false" customHeight="false" outlineLevel="0" collapsed="false">
      <c r="A1692" s="219"/>
      <c r="C1692" s="220"/>
      <c r="N1692" s="221"/>
    </row>
    <row r="1693" customFormat="false" ht="14.25" hidden="false" customHeight="false" outlineLevel="0" collapsed="false">
      <c r="A1693" s="219"/>
      <c r="C1693" s="220"/>
      <c r="N1693" s="221"/>
    </row>
    <row r="1694" customFormat="false" ht="14.25" hidden="false" customHeight="false" outlineLevel="0" collapsed="false">
      <c r="A1694" s="219"/>
      <c r="C1694" s="220"/>
      <c r="N1694" s="221"/>
    </row>
    <row r="1695" customFormat="false" ht="14.25" hidden="false" customHeight="false" outlineLevel="0" collapsed="false">
      <c r="A1695" s="219"/>
      <c r="C1695" s="220"/>
      <c r="N1695" s="221"/>
    </row>
    <row r="1696" customFormat="false" ht="14.25" hidden="false" customHeight="false" outlineLevel="0" collapsed="false">
      <c r="A1696" s="219"/>
      <c r="C1696" s="220"/>
      <c r="N1696" s="221"/>
    </row>
    <row r="1697" customFormat="false" ht="14.25" hidden="false" customHeight="false" outlineLevel="0" collapsed="false">
      <c r="A1697" s="219"/>
      <c r="C1697" s="220"/>
      <c r="N1697" s="221"/>
    </row>
    <row r="1698" customFormat="false" ht="14.25" hidden="false" customHeight="false" outlineLevel="0" collapsed="false">
      <c r="A1698" s="219"/>
      <c r="C1698" s="220"/>
      <c r="N1698" s="221"/>
    </row>
    <row r="1699" customFormat="false" ht="14.25" hidden="false" customHeight="false" outlineLevel="0" collapsed="false">
      <c r="A1699" s="219"/>
      <c r="C1699" s="220"/>
      <c r="N1699" s="221"/>
    </row>
    <row r="1700" customFormat="false" ht="14.25" hidden="false" customHeight="false" outlineLevel="0" collapsed="false">
      <c r="A1700" s="219"/>
      <c r="C1700" s="220"/>
      <c r="N1700" s="221"/>
    </row>
    <row r="1701" customFormat="false" ht="14.25" hidden="false" customHeight="false" outlineLevel="0" collapsed="false">
      <c r="A1701" s="219"/>
      <c r="C1701" s="220"/>
      <c r="N1701" s="221"/>
    </row>
    <row r="1702" customFormat="false" ht="14.25" hidden="false" customHeight="false" outlineLevel="0" collapsed="false">
      <c r="A1702" s="219"/>
      <c r="C1702" s="220"/>
      <c r="N1702" s="221"/>
    </row>
    <row r="1703" customFormat="false" ht="14.25" hidden="false" customHeight="false" outlineLevel="0" collapsed="false">
      <c r="A1703" s="219"/>
      <c r="C1703" s="220"/>
      <c r="N1703" s="221"/>
    </row>
    <row r="1704" customFormat="false" ht="14.25" hidden="false" customHeight="false" outlineLevel="0" collapsed="false">
      <c r="A1704" s="219"/>
      <c r="C1704" s="220"/>
      <c r="N1704" s="221"/>
    </row>
    <row r="1705" customFormat="false" ht="14.25" hidden="false" customHeight="false" outlineLevel="0" collapsed="false">
      <c r="A1705" s="219"/>
      <c r="C1705" s="220"/>
      <c r="N1705" s="221"/>
    </row>
    <row r="1706" customFormat="false" ht="14.25" hidden="false" customHeight="false" outlineLevel="0" collapsed="false">
      <c r="A1706" s="219"/>
      <c r="C1706" s="220"/>
      <c r="N1706" s="221"/>
    </row>
    <row r="1707" customFormat="false" ht="14.25" hidden="false" customHeight="false" outlineLevel="0" collapsed="false">
      <c r="A1707" s="219"/>
      <c r="C1707" s="220"/>
      <c r="N1707" s="221"/>
    </row>
    <row r="1708" customFormat="false" ht="14.25" hidden="false" customHeight="false" outlineLevel="0" collapsed="false">
      <c r="A1708" s="219"/>
      <c r="C1708" s="220"/>
      <c r="N1708" s="221"/>
    </row>
    <row r="1709" customFormat="false" ht="14.25" hidden="false" customHeight="false" outlineLevel="0" collapsed="false">
      <c r="A1709" s="219"/>
      <c r="C1709" s="220"/>
      <c r="N1709" s="221"/>
    </row>
    <row r="1710" customFormat="false" ht="14.25" hidden="false" customHeight="false" outlineLevel="0" collapsed="false">
      <c r="A1710" s="219"/>
      <c r="C1710" s="220"/>
      <c r="N1710" s="221"/>
    </row>
    <row r="1711" customFormat="false" ht="14.25" hidden="false" customHeight="false" outlineLevel="0" collapsed="false">
      <c r="A1711" s="219"/>
      <c r="C1711" s="220"/>
      <c r="N1711" s="221"/>
    </row>
    <row r="1712" customFormat="false" ht="14.25" hidden="false" customHeight="false" outlineLevel="0" collapsed="false">
      <c r="A1712" s="219"/>
      <c r="C1712" s="220"/>
      <c r="N1712" s="221"/>
    </row>
    <row r="1713" customFormat="false" ht="14.25" hidden="false" customHeight="false" outlineLevel="0" collapsed="false">
      <c r="A1713" s="219"/>
      <c r="C1713" s="220"/>
      <c r="N1713" s="221"/>
    </row>
    <row r="1714" customFormat="false" ht="14.25" hidden="false" customHeight="false" outlineLevel="0" collapsed="false">
      <c r="A1714" s="219"/>
      <c r="C1714" s="220"/>
      <c r="N1714" s="221"/>
    </row>
    <row r="1715" customFormat="false" ht="14.25" hidden="false" customHeight="false" outlineLevel="0" collapsed="false">
      <c r="A1715" s="219"/>
      <c r="C1715" s="220"/>
      <c r="N1715" s="221"/>
    </row>
    <row r="1716" customFormat="false" ht="14.25" hidden="false" customHeight="false" outlineLevel="0" collapsed="false">
      <c r="A1716" s="219"/>
      <c r="C1716" s="220"/>
      <c r="N1716" s="221"/>
    </row>
    <row r="1717" customFormat="false" ht="14.25" hidden="false" customHeight="false" outlineLevel="0" collapsed="false">
      <c r="A1717" s="219"/>
      <c r="C1717" s="220"/>
      <c r="N1717" s="221"/>
    </row>
    <row r="1718" customFormat="false" ht="14.25" hidden="false" customHeight="false" outlineLevel="0" collapsed="false">
      <c r="A1718" s="219"/>
      <c r="C1718" s="220"/>
      <c r="N1718" s="221"/>
    </row>
    <row r="1719" customFormat="false" ht="14.25" hidden="false" customHeight="false" outlineLevel="0" collapsed="false">
      <c r="A1719" s="219"/>
      <c r="C1719" s="220"/>
      <c r="N1719" s="221"/>
    </row>
    <row r="1720" customFormat="false" ht="14.25" hidden="false" customHeight="false" outlineLevel="0" collapsed="false">
      <c r="A1720" s="219"/>
      <c r="C1720" s="220"/>
      <c r="N1720" s="221"/>
    </row>
    <row r="1721" customFormat="false" ht="14.25" hidden="false" customHeight="false" outlineLevel="0" collapsed="false">
      <c r="A1721" s="219"/>
      <c r="C1721" s="220"/>
      <c r="N1721" s="221"/>
    </row>
    <row r="1722" customFormat="false" ht="14.25" hidden="false" customHeight="false" outlineLevel="0" collapsed="false">
      <c r="A1722" s="219"/>
      <c r="C1722" s="220"/>
      <c r="N1722" s="221"/>
    </row>
    <row r="1723" customFormat="false" ht="14.25" hidden="false" customHeight="false" outlineLevel="0" collapsed="false">
      <c r="A1723" s="219"/>
      <c r="C1723" s="220"/>
      <c r="N1723" s="221"/>
    </row>
    <row r="1724" customFormat="false" ht="14.25" hidden="false" customHeight="false" outlineLevel="0" collapsed="false">
      <c r="A1724" s="219"/>
      <c r="C1724" s="220"/>
      <c r="N1724" s="221"/>
    </row>
    <row r="1725" customFormat="false" ht="14.25" hidden="false" customHeight="false" outlineLevel="0" collapsed="false">
      <c r="A1725" s="219"/>
      <c r="C1725" s="220"/>
      <c r="N1725" s="221"/>
    </row>
    <row r="1726" customFormat="false" ht="14.25" hidden="false" customHeight="false" outlineLevel="0" collapsed="false">
      <c r="A1726" s="219"/>
      <c r="C1726" s="220"/>
      <c r="N1726" s="221"/>
    </row>
    <row r="1727" customFormat="false" ht="14.25" hidden="false" customHeight="false" outlineLevel="0" collapsed="false">
      <c r="A1727" s="219"/>
      <c r="C1727" s="220"/>
      <c r="N1727" s="221"/>
    </row>
    <row r="1728" customFormat="false" ht="14.25" hidden="false" customHeight="false" outlineLevel="0" collapsed="false">
      <c r="A1728" s="219"/>
      <c r="C1728" s="220"/>
      <c r="N1728" s="221"/>
    </row>
    <row r="1729" customFormat="false" ht="14.25" hidden="false" customHeight="false" outlineLevel="0" collapsed="false">
      <c r="A1729" s="219"/>
      <c r="C1729" s="220"/>
      <c r="N1729" s="221"/>
    </row>
    <row r="1730" customFormat="false" ht="14.25" hidden="false" customHeight="false" outlineLevel="0" collapsed="false">
      <c r="A1730" s="219"/>
      <c r="C1730" s="220"/>
      <c r="N1730" s="221"/>
    </row>
    <row r="1731" customFormat="false" ht="14.25" hidden="false" customHeight="false" outlineLevel="0" collapsed="false">
      <c r="A1731" s="219"/>
      <c r="C1731" s="220"/>
      <c r="N1731" s="221"/>
    </row>
    <row r="1732" customFormat="false" ht="14.25" hidden="false" customHeight="false" outlineLevel="0" collapsed="false">
      <c r="A1732" s="219"/>
      <c r="C1732" s="220"/>
      <c r="N1732" s="221"/>
    </row>
    <row r="1733" customFormat="false" ht="14.25" hidden="false" customHeight="false" outlineLevel="0" collapsed="false">
      <c r="A1733" s="219"/>
      <c r="C1733" s="220"/>
      <c r="N1733" s="221"/>
    </row>
    <row r="1734" customFormat="false" ht="14.25" hidden="false" customHeight="false" outlineLevel="0" collapsed="false">
      <c r="A1734" s="219"/>
      <c r="C1734" s="220"/>
      <c r="N1734" s="221"/>
    </row>
    <row r="1735" customFormat="false" ht="14.25" hidden="false" customHeight="false" outlineLevel="0" collapsed="false">
      <c r="A1735" s="219"/>
      <c r="C1735" s="220"/>
      <c r="N1735" s="221"/>
    </row>
    <row r="1736" customFormat="false" ht="14.25" hidden="false" customHeight="false" outlineLevel="0" collapsed="false">
      <c r="A1736" s="219"/>
      <c r="C1736" s="220"/>
      <c r="N1736" s="221"/>
    </row>
    <row r="1737" customFormat="false" ht="14.25" hidden="false" customHeight="false" outlineLevel="0" collapsed="false">
      <c r="A1737" s="219"/>
      <c r="C1737" s="220"/>
      <c r="N1737" s="221"/>
    </row>
    <row r="1738" customFormat="false" ht="14.25" hidden="false" customHeight="false" outlineLevel="0" collapsed="false">
      <c r="A1738" s="219"/>
      <c r="C1738" s="220"/>
      <c r="M1738" s="224"/>
      <c r="N1738" s="221"/>
    </row>
    <row r="1739" customFormat="false" ht="14.25" hidden="false" customHeight="false" outlineLevel="0" collapsed="false">
      <c r="A1739" s="219"/>
      <c r="C1739" s="220"/>
      <c r="N1739" s="221"/>
    </row>
    <row r="1740" customFormat="false" ht="14.25" hidden="false" customHeight="false" outlineLevel="0" collapsed="false">
      <c r="A1740" s="219"/>
      <c r="C1740" s="220"/>
      <c r="N1740" s="221"/>
    </row>
    <row r="1741" customFormat="false" ht="14.25" hidden="false" customHeight="false" outlineLevel="0" collapsed="false">
      <c r="A1741" s="219"/>
      <c r="C1741" s="220"/>
      <c r="N1741" s="221"/>
    </row>
    <row r="1742" customFormat="false" ht="14.25" hidden="false" customHeight="false" outlineLevel="0" collapsed="false">
      <c r="A1742" s="219"/>
      <c r="C1742" s="220"/>
      <c r="N1742" s="221"/>
    </row>
    <row r="1743" customFormat="false" ht="14.25" hidden="false" customHeight="false" outlineLevel="0" collapsed="false">
      <c r="A1743" s="219"/>
      <c r="C1743" s="220"/>
      <c r="N1743" s="221"/>
    </row>
    <row r="1744" customFormat="false" ht="14.25" hidden="false" customHeight="false" outlineLevel="0" collapsed="false">
      <c r="A1744" s="219"/>
      <c r="C1744" s="220"/>
      <c r="N1744" s="221"/>
    </row>
    <row r="1745" customFormat="false" ht="14.25" hidden="false" customHeight="false" outlineLevel="0" collapsed="false">
      <c r="A1745" s="219"/>
      <c r="C1745" s="220"/>
      <c r="N1745" s="221"/>
    </row>
    <row r="1746" customFormat="false" ht="14.25" hidden="false" customHeight="false" outlineLevel="0" collapsed="false">
      <c r="A1746" s="219"/>
      <c r="C1746" s="220"/>
      <c r="N1746" s="221"/>
    </row>
    <row r="1747" customFormat="false" ht="14.25" hidden="false" customHeight="false" outlineLevel="0" collapsed="false">
      <c r="A1747" s="219"/>
      <c r="C1747" s="220"/>
      <c r="N1747" s="221"/>
    </row>
    <row r="1748" customFormat="false" ht="14.25" hidden="false" customHeight="false" outlineLevel="0" collapsed="false">
      <c r="A1748" s="219"/>
      <c r="C1748" s="220"/>
      <c r="N1748" s="221"/>
    </row>
    <row r="1749" customFormat="false" ht="14.25" hidden="false" customHeight="false" outlineLevel="0" collapsed="false">
      <c r="A1749" s="219"/>
      <c r="C1749" s="220"/>
      <c r="N1749" s="221"/>
    </row>
    <row r="1750" customFormat="false" ht="14.25" hidden="false" customHeight="false" outlineLevel="0" collapsed="false">
      <c r="A1750" s="219"/>
      <c r="C1750" s="220"/>
      <c r="N1750" s="221"/>
    </row>
    <row r="1751" customFormat="false" ht="14.25" hidden="false" customHeight="false" outlineLevel="0" collapsed="false">
      <c r="A1751" s="219"/>
      <c r="C1751" s="220"/>
      <c r="N1751" s="221"/>
    </row>
    <row r="1752" customFormat="false" ht="14.25" hidden="false" customHeight="false" outlineLevel="0" collapsed="false">
      <c r="A1752" s="219"/>
      <c r="C1752" s="220"/>
      <c r="N1752" s="221"/>
    </row>
    <row r="1753" customFormat="false" ht="14.25" hidden="false" customHeight="false" outlineLevel="0" collapsed="false">
      <c r="A1753" s="219"/>
      <c r="C1753" s="220"/>
      <c r="N1753" s="221"/>
    </row>
    <row r="1754" customFormat="false" ht="14.25" hidden="false" customHeight="false" outlineLevel="0" collapsed="false">
      <c r="A1754" s="219"/>
      <c r="C1754" s="220"/>
      <c r="N1754" s="221"/>
    </row>
    <row r="1755" customFormat="false" ht="14.25" hidden="false" customHeight="false" outlineLevel="0" collapsed="false">
      <c r="A1755" s="219"/>
      <c r="C1755" s="220"/>
      <c r="N1755" s="221"/>
    </row>
    <row r="1756" customFormat="false" ht="14.25" hidden="false" customHeight="false" outlineLevel="0" collapsed="false">
      <c r="A1756" s="219"/>
      <c r="C1756" s="220"/>
      <c r="N1756" s="221"/>
    </row>
    <row r="1757" customFormat="false" ht="14.25" hidden="false" customHeight="false" outlineLevel="0" collapsed="false">
      <c r="A1757" s="219"/>
      <c r="C1757" s="220"/>
      <c r="N1757" s="221"/>
    </row>
    <row r="1758" customFormat="false" ht="14.25" hidden="false" customHeight="false" outlineLevel="0" collapsed="false">
      <c r="A1758" s="219"/>
      <c r="C1758" s="220"/>
      <c r="N1758" s="221"/>
    </row>
    <row r="1759" customFormat="false" ht="14.25" hidden="false" customHeight="false" outlineLevel="0" collapsed="false">
      <c r="A1759" s="219"/>
      <c r="C1759" s="220"/>
      <c r="N1759" s="221"/>
    </row>
    <row r="1760" customFormat="false" ht="14.25" hidden="false" customHeight="false" outlineLevel="0" collapsed="false">
      <c r="A1760" s="219"/>
      <c r="C1760" s="220"/>
      <c r="N1760" s="221"/>
    </row>
    <row r="1761" customFormat="false" ht="14.25" hidden="false" customHeight="false" outlineLevel="0" collapsed="false">
      <c r="A1761" s="219"/>
      <c r="C1761" s="220"/>
      <c r="N1761" s="221"/>
    </row>
    <row r="1762" customFormat="false" ht="14.25" hidden="false" customHeight="false" outlineLevel="0" collapsed="false">
      <c r="A1762" s="219"/>
      <c r="C1762" s="220"/>
      <c r="N1762" s="221"/>
    </row>
    <row r="1763" customFormat="false" ht="14.25" hidden="false" customHeight="false" outlineLevel="0" collapsed="false">
      <c r="A1763" s="219"/>
      <c r="C1763" s="220"/>
      <c r="N1763" s="221"/>
    </row>
    <row r="1764" customFormat="false" ht="14.25" hidden="false" customHeight="false" outlineLevel="0" collapsed="false">
      <c r="A1764" s="219"/>
      <c r="C1764" s="220"/>
      <c r="N1764" s="221"/>
    </row>
    <row r="1765" customFormat="false" ht="14.25" hidden="false" customHeight="false" outlineLevel="0" collapsed="false">
      <c r="A1765" s="219"/>
      <c r="C1765" s="220"/>
      <c r="N1765" s="221"/>
    </row>
    <row r="1766" customFormat="false" ht="14.25" hidden="false" customHeight="false" outlineLevel="0" collapsed="false">
      <c r="A1766" s="219"/>
      <c r="C1766" s="220"/>
      <c r="N1766" s="221"/>
    </row>
    <row r="1767" customFormat="false" ht="14.25" hidden="false" customHeight="false" outlineLevel="0" collapsed="false">
      <c r="A1767" s="219"/>
      <c r="C1767" s="220"/>
      <c r="N1767" s="221"/>
    </row>
    <row r="1768" customFormat="false" ht="14.25" hidden="false" customHeight="false" outlineLevel="0" collapsed="false">
      <c r="A1768" s="219"/>
      <c r="C1768" s="220"/>
      <c r="N1768" s="221"/>
    </row>
    <row r="1769" customFormat="false" ht="14.25" hidden="false" customHeight="false" outlineLevel="0" collapsed="false">
      <c r="A1769" s="219"/>
      <c r="C1769" s="220"/>
      <c r="N1769" s="221"/>
    </row>
    <row r="1770" customFormat="false" ht="14.25" hidden="false" customHeight="false" outlineLevel="0" collapsed="false">
      <c r="A1770" s="219"/>
      <c r="C1770" s="220"/>
      <c r="N1770" s="221"/>
    </row>
    <row r="1771" customFormat="false" ht="14.25" hidden="false" customHeight="false" outlineLevel="0" collapsed="false">
      <c r="A1771" s="219"/>
      <c r="C1771" s="220"/>
      <c r="N1771" s="221"/>
    </row>
    <row r="1772" customFormat="false" ht="14.25" hidden="false" customHeight="false" outlineLevel="0" collapsed="false">
      <c r="A1772" s="219"/>
      <c r="C1772" s="220"/>
      <c r="N1772" s="221"/>
    </row>
    <row r="1773" customFormat="false" ht="14.25" hidden="false" customHeight="false" outlineLevel="0" collapsed="false">
      <c r="A1773" s="219"/>
      <c r="C1773" s="220"/>
      <c r="N1773" s="221"/>
    </row>
    <row r="1774" customFormat="false" ht="14.25" hidden="false" customHeight="false" outlineLevel="0" collapsed="false">
      <c r="A1774" s="219"/>
      <c r="C1774" s="220"/>
      <c r="N1774" s="221"/>
    </row>
    <row r="1775" customFormat="false" ht="14.25" hidden="false" customHeight="false" outlineLevel="0" collapsed="false">
      <c r="A1775" s="219"/>
      <c r="C1775" s="220"/>
      <c r="N1775" s="221"/>
    </row>
    <row r="1776" customFormat="false" ht="14.25" hidden="false" customHeight="false" outlineLevel="0" collapsed="false">
      <c r="A1776" s="219"/>
      <c r="C1776" s="220"/>
      <c r="N1776" s="221"/>
    </row>
    <row r="1777" customFormat="false" ht="14.25" hidden="false" customHeight="false" outlineLevel="0" collapsed="false">
      <c r="A1777" s="219"/>
      <c r="C1777" s="220"/>
      <c r="N1777" s="221"/>
    </row>
    <row r="1778" customFormat="false" ht="14.25" hidden="false" customHeight="false" outlineLevel="0" collapsed="false">
      <c r="A1778" s="219"/>
      <c r="C1778" s="220"/>
      <c r="N1778" s="221"/>
    </row>
    <row r="1779" customFormat="false" ht="14.25" hidden="false" customHeight="false" outlineLevel="0" collapsed="false">
      <c r="A1779" s="219"/>
      <c r="C1779" s="220"/>
      <c r="N1779" s="221"/>
    </row>
    <row r="1780" customFormat="false" ht="14.25" hidden="false" customHeight="false" outlineLevel="0" collapsed="false">
      <c r="A1780" s="219"/>
      <c r="C1780" s="220"/>
      <c r="N1780" s="221"/>
    </row>
    <row r="1781" customFormat="false" ht="14.25" hidden="false" customHeight="false" outlineLevel="0" collapsed="false">
      <c r="A1781" s="219"/>
      <c r="C1781" s="220"/>
      <c r="N1781" s="221"/>
    </row>
    <row r="1782" customFormat="false" ht="14.25" hidden="false" customHeight="false" outlineLevel="0" collapsed="false">
      <c r="A1782" s="219"/>
      <c r="C1782" s="220"/>
      <c r="N1782" s="221"/>
    </row>
    <row r="1783" customFormat="false" ht="14.25" hidden="false" customHeight="false" outlineLevel="0" collapsed="false">
      <c r="A1783" s="219"/>
      <c r="C1783" s="220"/>
      <c r="N1783" s="221"/>
    </row>
    <row r="1784" customFormat="false" ht="14.25" hidden="false" customHeight="false" outlineLevel="0" collapsed="false">
      <c r="A1784" s="219"/>
      <c r="C1784" s="220"/>
      <c r="N1784" s="221"/>
    </row>
    <row r="1785" customFormat="false" ht="14.25" hidden="false" customHeight="false" outlineLevel="0" collapsed="false">
      <c r="A1785" s="219"/>
      <c r="C1785" s="220"/>
      <c r="N1785" s="221"/>
    </row>
    <row r="1786" customFormat="false" ht="14.25" hidden="false" customHeight="false" outlineLevel="0" collapsed="false">
      <c r="A1786" s="219"/>
      <c r="C1786" s="220"/>
      <c r="N1786" s="221"/>
    </row>
    <row r="1787" customFormat="false" ht="14.25" hidden="false" customHeight="false" outlineLevel="0" collapsed="false">
      <c r="A1787" s="219"/>
      <c r="C1787" s="220"/>
      <c r="N1787" s="221"/>
    </row>
    <row r="1788" customFormat="false" ht="14.25" hidden="false" customHeight="false" outlineLevel="0" collapsed="false">
      <c r="A1788" s="219"/>
      <c r="C1788" s="220"/>
      <c r="N1788" s="221"/>
    </row>
    <row r="1789" customFormat="false" ht="14.25" hidden="false" customHeight="false" outlineLevel="0" collapsed="false">
      <c r="A1789" s="219"/>
      <c r="C1789" s="220"/>
      <c r="N1789" s="221"/>
    </row>
    <row r="1790" customFormat="false" ht="14.25" hidden="false" customHeight="false" outlineLevel="0" collapsed="false">
      <c r="A1790" s="219"/>
      <c r="C1790" s="220"/>
      <c r="N1790" s="221"/>
    </row>
    <row r="1791" customFormat="false" ht="14.25" hidden="false" customHeight="false" outlineLevel="0" collapsed="false">
      <c r="A1791" s="219"/>
      <c r="C1791" s="220"/>
      <c r="N1791" s="221"/>
    </row>
    <row r="1792" customFormat="false" ht="14.25" hidden="false" customHeight="false" outlineLevel="0" collapsed="false">
      <c r="A1792" s="219"/>
      <c r="C1792" s="220"/>
      <c r="N1792" s="221"/>
    </row>
    <row r="1793" customFormat="false" ht="14.25" hidden="false" customHeight="false" outlineLevel="0" collapsed="false">
      <c r="A1793" s="219"/>
      <c r="C1793" s="220"/>
      <c r="N1793" s="221"/>
    </row>
    <row r="1794" customFormat="false" ht="14.25" hidden="false" customHeight="false" outlineLevel="0" collapsed="false">
      <c r="A1794" s="219"/>
      <c r="C1794" s="220"/>
      <c r="N1794" s="221"/>
    </row>
    <row r="1795" customFormat="false" ht="14.25" hidden="false" customHeight="false" outlineLevel="0" collapsed="false">
      <c r="A1795" s="219"/>
      <c r="C1795" s="220"/>
      <c r="N1795" s="221"/>
    </row>
    <row r="1796" customFormat="false" ht="14.25" hidden="false" customHeight="false" outlineLevel="0" collapsed="false">
      <c r="A1796" s="219"/>
      <c r="C1796" s="220"/>
      <c r="N1796" s="221"/>
    </row>
    <row r="1797" customFormat="false" ht="14.25" hidden="false" customHeight="false" outlineLevel="0" collapsed="false">
      <c r="A1797" s="219"/>
      <c r="C1797" s="220"/>
      <c r="N1797" s="221"/>
    </row>
    <row r="1798" customFormat="false" ht="14.25" hidden="false" customHeight="false" outlineLevel="0" collapsed="false">
      <c r="A1798" s="219"/>
      <c r="C1798" s="220"/>
      <c r="N1798" s="221"/>
    </row>
    <row r="1799" customFormat="false" ht="14.25" hidden="false" customHeight="false" outlineLevel="0" collapsed="false">
      <c r="A1799" s="219"/>
      <c r="C1799" s="220"/>
      <c r="N1799" s="221"/>
    </row>
    <row r="1800" customFormat="false" ht="14.25" hidden="false" customHeight="false" outlineLevel="0" collapsed="false">
      <c r="A1800" s="219"/>
      <c r="C1800" s="220"/>
      <c r="N1800" s="221"/>
    </row>
    <row r="1801" customFormat="false" ht="14.25" hidden="false" customHeight="false" outlineLevel="0" collapsed="false">
      <c r="A1801" s="219"/>
      <c r="C1801" s="220"/>
      <c r="N1801" s="221"/>
    </row>
    <row r="1802" customFormat="false" ht="14.25" hidden="false" customHeight="false" outlineLevel="0" collapsed="false">
      <c r="A1802" s="219"/>
      <c r="C1802" s="220"/>
      <c r="N1802" s="221"/>
    </row>
    <row r="1803" customFormat="false" ht="14.25" hidden="false" customHeight="false" outlineLevel="0" collapsed="false">
      <c r="A1803" s="219"/>
      <c r="C1803" s="220"/>
      <c r="M1803" s="224"/>
      <c r="N1803" s="221"/>
    </row>
    <row r="1804" customFormat="false" ht="14.25" hidden="false" customHeight="false" outlineLevel="0" collapsed="false">
      <c r="A1804" s="219"/>
      <c r="C1804" s="220"/>
      <c r="N1804" s="221"/>
    </row>
    <row r="1805" customFormat="false" ht="14.25" hidden="false" customHeight="false" outlineLevel="0" collapsed="false">
      <c r="A1805" s="219"/>
      <c r="C1805" s="220"/>
      <c r="N1805" s="221"/>
    </row>
    <row r="1806" customFormat="false" ht="14.25" hidden="false" customHeight="false" outlineLevel="0" collapsed="false">
      <c r="A1806" s="219"/>
      <c r="C1806" s="220"/>
      <c r="N1806" s="221"/>
    </row>
    <row r="1807" customFormat="false" ht="14.25" hidden="false" customHeight="false" outlineLevel="0" collapsed="false">
      <c r="A1807" s="219"/>
      <c r="C1807" s="220"/>
      <c r="N1807" s="221"/>
    </row>
    <row r="1808" customFormat="false" ht="14.25" hidden="false" customHeight="false" outlineLevel="0" collapsed="false">
      <c r="A1808" s="219"/>
      <c r="C1808" s="220"/>
      <c r="N1808" s="221"/>
    </row>
    <row r="1809" customFormat="false" ht="14.25" hidden="false" customHeight="false" outlineLevel="0" collapsed="false">
      <c r="A1809" s="219"/>
      <c r="C1809" s="220"/>
      <c r="N1809" s="221"/>
    </row>
    <row r="1810" customFormat="false" ht="14.25" hidden="false" customHeight="false" outlineLevel="0" collapsed="false">
      <c r="A1810" s="219"/>
      <c r="C1810" s="220"/>
      <c r="N1810" s="221"/>
    </row>
    <row r="1811" customFormat="false" ht="14.25" hidden="false" customHeight="false" outlineLevel="0" collapsed="false">
      <c r="A1811" s="219"/>
      <c r="C1811" s="220"/>
      <c r="N1811" s="221"/>
    </row>
    <row r="1812" customFormat="false" ht="14.25" hidden="false" customHeight="false" outlineLevel="0" collapsed="false">
      <c r="A1812" s="219"/>
      <c r="C1812" s="220"/>
      <c r="N1812" s="221"/>
    </row>
    <row r="1813" customFormat="false" ht="14.25" hidden="false" customHeight="false" outlineLevel="0" collapsed="false">
      <c r="A1813" s="219"/>
      <c r="C1813" s="220"/>
      <c r="N1813" s="221"/>
    </row>
    <row r="1814" customFormat="false" ht="14.25" hidden="false" customHeight="false" outlineLevel="0" collapsed="false">
      <c r="A1814" s="219"/>
      <c r="C1814" s="220"/>
      <c r="N1814" s="221"/>
    </row>
    <row r="1815" customFormat="false" ht="14.25" hidden="false" customHeight="false" outlineLevel="0" collapsed="false">
      <c r="A1815" s="219"/>
      <c r="C1815" s="220"/>
      <c r="N1815" s="221"/>
    </row>
    <row r="1816" customFormat="false" ht="14.25" hidden="false" customHeight="false" outlineLevel="0" collapsed="false">
      <c r="A1816" s="219"/>
      <c r="C1816" s="220"/>
      <c r="N1816" s="221"/>
    </row>
    <row r="1817" customFormat="false" ht="14.25" hidden="false" customHeight="false" outlineLevel="0" collapsed="false">
      <c r="A1817" s="219"/>
      <c r="C1817" s="220"/>
      <c r="N1817" s="221"/>
    </row>
    <row r="1818" customFormat="false" ht="14.25" hidden="false" customHeight="false" outlineLevel="0" collapsed="false">
      <c r="A1818" s="219"/>
      <c r="C1818" s="220"/>
      <c r="N1818" s="221"/>
    </row>
    <row r="1819" customFormat="false" ht="14.25" hidden="false" customHeight="false" outlineLevel="0" collapsed="false">
      <c r="A1819" s="219"/>
      <c r="C1819" s="220"/>
      <c r="N1819" s="221"/>
    </row>
    <row r="1820" customFormat="false" ht="14.25" hidden="false" customHeight="false" outlineLevel="0" collapsed="false">
      <c r="A1820" s="219"/>
      <c r="C1820" s="220"/>
      <c r="N1820" s="221"/>
    </row>
    <row r="1821" customFormat="false" ht="14.25" hidden="false" customHeight="false" outlineLevel="0" collapsed="false">
      <c r="A1821" s="219"/>
      <c r="C1821" s="220"/>
      <c r="N1821" s="221"/>
    </row>
    <row r="1822" customFormat="false" ht="14.25" hidden="false" customHeight="false" outlineLevel="0" collapsed="false">
      <c r="A1822" s="219"/>
      <c r="C1822" s="220"/>
      <c r="N1822" s="221"/>
    </row>
    <row r="1823" customFormat="false" ht="14.25" hidden="false" customHeight="false" outlineLevel="0" collapsed="false">
      <c r="A1823" s="219"/>
      <c r="C1823" s="220"/>
      <c r="N1823" s="221"/>
    </row>
    <row r="1824" customFormat="false" ht="14.25" hidden="false" customHeight="false" outlineLevel="0" collapsed="false">
      <c r="A1824" s="219"/>
      <c r="C1824" s="220"/>
      <c r="N1824" s="221"/>
    </row>
    <row r="1825" customFormat="false" ht="14.25" hidden="false" customHeight="false" outlineLevel="0" collapsed="false">
      <c r="A1825" s="219"/>
      <c r="C1825" s="220"/>
      <c r="N1825" s="221"/>
    </row>
    <row r="1826" customFormat="false" ht="14.25" hidden="false" customHeight="false" outlineLevel="0" collapsed="false">
      <c r="A1826" s="219"/>
      <c r="C1826" s="220"/>
      <c r="N1826" s="221"/>
    </row>
    <row r="1827" customFormat="false" ht="14.25" hidden="false" customHeight="false" outlineLevel="0" collapsed="false">
      <c r="A1827" s="219"/>
      <c r="C1827" s="220"/>
      <c r="N1827" s="221"/>
    </row>
    <row r="1828" customFormat="false" ht="14.25" hidden="false" customHeight="false" outlineLevel="0" collapsed="false">
      <c r="A1828" s="219"/>
      <c r="C1828" s="220"/>
      <c r="N1828" s="221"/>
    </row>
    <row r="1829" customFormat="false" ht="14.25" hidden="false" customHeight="false" outlineLevel="0" collapsed="false">
      <c r="A1829" s="219"/>
      <c r="C1829" s="220"/>
      <c r="N1829" s="221"/>
    </row>
    <row r="1830" customFormat="false" ht="14.25" hidden="false" customHeight="false" outlineLevel="0" collapsed="false">
      <c r="A1830" s="219"/>
      <c r="C1830" s="220"/>
      <c r="N1830" s="221"/>
    </row>
    <row r="1831" customFormat="false" ht="14.25" hidden="false" customHeight="false" outlineLevel="0" collapsed="false">
      <c r="A1831" s="219"/>
      <c r="C1831" s="220"/>
      <c r="N1831" s="221"/>
    </row>
    <row r="1832" customFormat="false" ht="14.25" hidden="false" customHeight="false" outlineLevel="0" collapsed="false">
      <c r="A1832" s="219"/>
      <c r="C1832" s="220"/>
      <c r="N1832" s="221"/>
    </row>
    <row r="1833" customFormat="false" ht="14.25" hidden="false" customHeight="false" outlineLevel="0" collapsed="false">
      <c r="A1833" s="219"/>
      <c r="C1833" s="220"/>
      <c r="N1833" s="221"/>
    </row>
    <row r="1834" customFormat="false" ht="14.25" hidden="false" customHeight="false" outlineLevel="0" collapsed="false">
      <c r="A1834" s="219"/>
      <c r="C1834" s="220"/>
      <c r="N1834" s="221"/>
    </row>
    <row r="1835" customFormat="false" ht="14.25" hidden="false" customHeight="false" outlineLevel="0" collapsed="false">
      <c r="A1835" s="219"/>
      <c r="C1835" s="220"/>
      <c r="N1835" s="221"/>
    </row>
    <row r="1836" customFormat="false" ht="14.25" hidden="false" customHeight="false" outlineLevel="0" collapsed="false">
      <c r="A1836" s="219"/>
      <c r="C1836" s="220"/>
      <c r="N1836" s="221"/>
    </row>
    <row r="1837" customFormat="false" ht="14.25" hidden="false" customHeight="false" outlineLevel="0" collapsed="false">
      <c r="A1837" s="219"/>
      <c r="C1837" s="220"/>
      <c r="N1837" s="221"/>
    </row>
    <row r="1838" customFormat="false" ht="14.25" hidden="false" customHeight="false" outlineLevel="0" collapsed="false">
      <c r="A1838" s="219"/>
      <c r="C1838" s="220"/>
      <c r="N1838" s="221"/>
    </row>
    <row r="1839" customFormat="false" ht="14.25" hidden="false" customHeight="false" outlineLevel="0" collapsed="false">
      <c r="A1839" s="219"/>
      <c r="C1839" s="220"/>
      <c r="N1839" s="221"/>
    </row>
    <row r="1840" customFormat="false" ht="14.25" hidden="false" customHeight="false" outlineLevel="0" collapsed="false">
      <c r="A1840" s="219"/>
      <c r="C1840" s="220"/>
      <c r="N1840" s="221"/>
    </row>
    <row r="1841" customFormat="false" ht="14.25" hidden="false" customHeight="false" outlineLevel="0" collapsed="false">
      <c r="A1841" s="219"/>
      <c r="C1841" s="220"/>
      <c r="N1841" s="221"/>
    </row>
    <row r="1842" customFormat="false" ht="14.25" hidden="false" customHeight="false" outlineLevel="0" collapsed="false">
      <c r="A1842" s="219"/>
      <c r="C1842" s="220"/>
      <c r="N1842" s="221"/>
    </row>
    <row r="1843" customFormat="false" ht="14.25" hidden="false" customHeight="false" outlineLevel="0" collapsed="false">
      <c r="A1843" s="219"/>
      <c r="C1843" s="220"/>
      <c r="N1843" s="221"/>
    </row>
    <row r="1844" customFormat="false" ht="14.25" hidden="false" customHeight="false" outlineLevel="0" collapsed="false">
      <c r="A1844" s="219"/>
      <c r="C1844" s="220"/>
      <c r="N1844" s="221"/>
    </row>
    <row r="1845" customFormat="false" ht="14.25" hidden="false" customHeight="false" outlineLevel="0" collapsed="false">
      <c r="A1845" s="219"/>
      <c r="C1845" s="220"/>
      <c r="N1845" s="221"/>
    </row>
    <row r="1846" customFormat="false" ht="14.25" hidden="false" customHeight="false" outlineLevel="0" collapsed="false">
      <c r="A1846" s="219"/>
      <c r="C1846" s="220"/>
      <c r="N1846" s="221"/>
    </row>
    <row r="1847" customFormat="false" ht="14.25" hidden="false" customHeight="false" outlineLevel="0" collapsed="false">
      <c r="A1847" s="219"/>
      <c r="C1847" s="220"/>
      <c r="N1847" s="221"/>
    </row>
    <row r="1848" customFormat="false" ht="14.25" hidden="false" customHeight="false" outlineLevel="0" collapsed="false">
      <c r="A1848" s="219"/>
      <c r="C1848" s="220"/>
      <c r="N1848" s="221"/>
    </row>
    <row r="1849" customFormat="false" ht="14.25" hidden="false" customHeight="false" outlineLevel="0" collapsed="false">
      <c r="A1849" s="219"/>
      <c r="C1849" s="220"/>
      <c r="N1849" s="221"/>
    </row>
    <row r="1850" customFormat="false" ht="14.25" hidden="false" customHeight="false" outlineLevel="0" collapsed="false">
      <c r="A1850" s="219"/>
      <c r="C1850" s="220"/>
      <c r="N1850" s="221"/>
    </row>
    <row r="1851" customFormat="false" ht="14.25" hidden="false" customHeight="false" outlineLevel="0" collapsed="false">
      <c r="A1851" s="219"/>
      <c r="C1851" s="220"/>
      <c r="N1851" s="221"/>
    </row>
    <row r="1852" customFormat="false" ht="14.25" hidden="false" customHeight="false" outlineLevel="0" collapsed="false">
      <c r="A1852" s="219"/>
      <c r="C1852" s="220"/>
      <c r="N1852" s="221"/>
    </row>
    <row r="1853" customFormat="false" ht="14.25" hidden="false" customHeight="false" outlineLevel="0" collapsed="false">
      <c r="A1853" s="219"/>
      <c r="C1853" s="220"/>
      <c r="N1853" s="221"/>
    </row>
    <row r="1854" customFormat="false" ht="14.25" hidden="false" customHeight="false" outlineLevel="0" collapsed="false">
      <c r="A1854" s="219"/>
      <c r="C1854" s="220"/>
      <c r="N1854" s="221"/>
    </row>
    <row r="1855" customFormat="false" ht="14.25" hidden="false" customHeight="false" outlineLevel="0" collapsed="false">
      <c r="A1855" s="219"/>
      <c r="C1855" s="220"/>
      <c r="N1855" s="221"/>
    </row>
    <row r="1856" customFormat="false" ht="14.25" hidden="false" customHeight="false" outlineLevel="0" collapsed="false">
      <c r="A1856" s="219"/>
      <c r="C1856" s="220"/>
      <c r="N1856" s="221"/>
    </row>
    <row r="1857" customFormat="false" ht="14.25" hidden="false" customHeight="false" outlineLevel="0" collapsed="false">
      <c r="A1857" s="219"/>
      <c r="C1857" s="220"/>
      <c r="N1857" s="221"/>
    </row>
    <row r="1858" customFormat="false" ht="14.25" hidden="false" customHeight="false" outlineLevel="0" collapsed="false">
      <c r="A1858" s="219"/>
      <c r="C1858" s="220"/>
      <c r="N1858" s="221"/>
    </row>
    <row r="1859" customFormat="false" ht="14.25" hidden="false" customHeight="false" outlineLevel="0" collapsed="false">
      <c r="A1859" s="219"/>
      <c r="C1859" s="220"/>
      <c r="N1859" s="221"/>
    </row>
    <row r="1860" customFormat="false" ht="14.25" hidden="false" customHeight="false" outlineLevel="0" collapsed="false">
      <c r="A1860" s="219"/>
      <c r="C1860" s="220"/>
      <c r="N1860" s="221"/>
    </row>
    <row r="1861" customFormat="false" ht="14.25" hidden="false" customHeight="false" outlineLevel="0" collapsed="false">
      <c r="A1861" s="219"/>
      <c r="C1861" s="220"/>
      <c r="N1861" s="221"/>
    </row>
    <row r="1862" customFormat="false" ht="14.25" hidden="false" customHeight="false" outlineLevel="0" collapsed="false">
      <c r="A1862" s="219"/>
      <c r="C1862" s="220"/>
      <c r="N1862" s="221"/>
    </row>
    <row r="1863" customFormat="false" ht="14.25" hidden="false" customHeight="false" outlineLevel="0" collapsed="false">
      <c r="A1863" s="219"/>
      <c r="C1863" s="220"/>
      <c r="N1863" s="221"/>
    </row>
    <row r="1864" customFormat="false" ht="14.25" hidden="false" customHeight="false" outlineLevel="0" collapsed="false">
      <c r="A1864" s="219"/>
      <c r="C1864" s="220"/>
      <c r="N1864" s="221"/>
    </row>
    <row r="1865" customFormat="false" ht="14.25" hidden="false" customHeight="false" outlineLevel="0" collapsed="false">
      <c r="A1865" s="219"/>
      <c r="C1865" s="220"/>
      <c r="N1865" s="221"/>
    </row>
    <row r="1866" customFormat="false" ht="14.25" hidden="false" customHeight="false" outlineLevel="0" collapsed="false">
      <c r="A1866" s="219"/>
      <c r="C1866" s="220"/>
      <c r="N1866" s="221"/>
    </row>
    <row r="1867" customFormat="false" ht="14.25" hidden="false" customHeight="false" outlineLevel="0" collapsed="false">
      <c r="A1867" s="219"/>
      <c r="C1867" s="220"/>
      <c r="N1867" s="221"/>
    </row>
    <row r="1868" customFormat="false" ht="14.25" hidden="false" customHeight="false" outlineLevel="0" collapsed="false">
      <c r="A1868" s="219"/>
      <c r="C1868" s="220"/>
      <c r="N1868" s="221"/>
    </row>
    <row r="1869" customFormat="false" ht="14.25" hidden="false" customHeight="false" outlineLevel="0" collapsed="false">
      <c r="A1869" s="219"/>
      <c r="C1869" s="220"/>
      <c r="N1869" s="221"/>
    </row>
    <row r="1870" customFormat="false" ht="14.25" hidden="false" customHeight="false" outlineLevel="0" collapsed="false">
      <c r="A1870" s="219"/>
      <c r="C1870" s="220"/>
      <c r="N1870" s="221"/>
    </row>
    <row r="1871" customFormat="false" ht="14.25" hidden="false" customHeight="false" outlineLevel="0" collapsed="false">
      <c r="A1871" s="219"/>
      <c r="C1871" s="220"/>
      <c r="N1871" s="221"/>
    </row>
    <row r="1872" customFormat="false" ht="14.25" hidden="false" customHeight="false" outlineLevel="0" collapsed="false">
      <c r="A1872" s="219"/>
      <c r="C1872" s="220"/>
      <c r="N1872" s="221"/>
    </row>
    <row r="1873" customFormat="false" ht="14.25" hidden="false" customHeight="false" outlineLevel="0" collapsed="false">
      <c r="A1873" s="219"/>
      <c r="C1873" s="220"/>
      <c r="N1873" s="221"/>
    </row>
    <row r="1874" customFormat="false" ht="14.25" hidden="false" customHeight="false" outlineLevel="0" collapsed="false">
      <c r="A1874" s="219"/>
      <c r="C1874" s="220"/>
      <c r="N1874" s="221"/>
    </row>
    <row r="1875" customFormat="false" ht="14.25" hidden="false" customHeight="false" outlineLevel="0" collapsed="false">
      <c r="A1875" s="219"/>
      <c r="C1875" s="220"/>
      <c r="N1875" s="221"/>
    </row>
    <row r="1876" customFormat="false" ht="14.25" hidden="false" customHeight="false" outlineLevel="0" collapsed="false">
      <c r="A1876" s="219"/>
      <c r="C1876" s="220"/>
      <c r="N1876" s="221"/>
    </row>
    <row r="1877" customFormat="false" ht="14.25" hidden="false" customHeight="false" outlineLevel="0" collapsed="false">
      <c r="A1877" s="219"/>
      <c r="C1877" s="220"/>
      <c r="N1877" s="221"/>
    </row>
    <row r="1878" customFormat="false" ht="14.25" hidden="false" customHeight="false" outlineLevel="0" collapsed="false">
      <c r="A1878" s="219"/>
      <c r="C1878" s="220"/>
      <c r="N1878" s="221"/>
    </row>
    <row r="1879" customFormat="false" ht="14.25" hidden="false" customHeight="false" outlineLevel="0" collapsed="false">
      <c r="A1879" s="219"/>
      <c r="C1879" s="220"/>
      <c r="N1879" s="221"/>
    </row>
    <row r="1880" customFormat="false" ht="14.25" hidden="false" customHeight="false" outlineLevel="0" collapsed="false">
      <c r="A1880" s="219"/>
      <c r="C1880" s="220"/>
      <c r="N1880" s="221"/>
    </row>
    <row r="1881" customFormat="false" ht="14.25" hidden="false" customHeight="false" outlineLevel="0" collapsed="false">
      <c r="A1881" s="219"/>
      <c r="C1881" s="220"/>
      <c r="N1881" s="221"/>
    </row>
    <row r="1882" customFormat="false" ht="14.25" hidden="false" customHeight="false" outlineLevel="0" collapsed="false">
      <c r="A1882" s="219"/>
      <c r="C1882" s="220"/>
      <c r="N1882" s="221"/>
    </row>
    <row r="1883" customFormat="false" ht="14.25" hidden="false" customHeight="false" outlineLevel="0" collapsed="false">
      <c r="A1883" s="219"/>
      <c r="C1883" s="220"/>
      <c r="N1883" s="221"/>
    </row>
    <row r="1884" customFormat="false" ht="14.25" hidden="false" customHeight="false" outlineLevel="0" collapsed="false">
      <c r="A1884" s="219"/>
      <c r="C1884" s="220"/>
      <c r="N1884" s="221"/>
    </row>
    <row r="1885" customFormat="false" ht="14.25" hidden="false" customHeight="false" outlineLevel="0" collapsed="false">
      <c r="A1885" s="219"/>
      <c r="C1885" s="220"/>
      <c r="N1885" s="221"/>
    </row>
    <row r="1886" customFormat="false" ht="14.25" hidden="false" customHeight="false" outlineLevel="0" collapsed="false">
      <c r="A1886" s="219"/>
      <c r="C1886" s="220"/>
      <c r="N1886" s="221"/>
    </row>
    <row r="1887" customFormat="false" ht="14.25" hidden="false" customHeight="false" outlineLevel="0" collapsed="false">
      <c r="A1887" s="219"/>
      <c r="C1887" s="220"/>
      <c r="N1887" s="221"/>
    </row>
    <row r="1888" customFormat="false" ht="14.25" hidden="false" customHeight="false" outlineLevel="0" collapsed="false">
      <c r="A1888" s="219"/>
      <c r="C1888" s="220"/>
      <c r="N1888" s="221"/>
    </row>
    <row r="1889" customFormat="false" ht="14.25" hidden="false" customHeight="false" outlineLevel="0" collapsed="false">
      <c r="A1889" s="219"/>
      <c r="C1889" s="220"/>
      <c r="N1889" s="221"/>
    </row>
    <row r="1890" customFormat="false" ht="14.25" hidden="false" customHeight="false" outlineLevel="0" collapsed="false">
      <c r="A1890" s="219"/>
      <c r="C1890" s="220"/>
      <c r="N1890" s="221"/>
    </row>
    <row r="1891" customFormat="false" ht="14.25" hidden="false" customHeight="false" outlineLevel="0" collapsed="false">
      <c r="A1891" s="219"/>
      <c r="C1891" s="220"/>
      <c r="N1891" s="221"/>
    </row>
    <row r="1892" customFormat="false" ht="14.25" hidden="false" customHeight="false" outlineLevel="0" collapsed="false">
      <c r="A1892" s="219"/>
      <c r="C1892" s="220"/>
      <c r="N1892" s="221"/>
    </row>
    <row r="1893" customFormat="false" ht="14.25" hidden="false" customHeight="false" outlineLevel="0" collapsed="false">
      <c r="A1893" s="219"/>
      <c r="C1893" s="220"/>
      <c r="N1893" s="221"/>
    </row>
    <row r="1894" customFormat="false" ht="14.25" hidden="false" customHeight="false" outlineLevel="0" collapsed="false">
      <c r="A1894" s="219"/>
      <c r="C1894" s="220"/>
      <c r="N1894" s="221"/>
    </row>
    <row r="1895" customFormat="false" ht="14.25" hidden="false" customHeight="false" outlineLevel="0" collapsed="false">
      <c r="A1895" s="219"/>
      <c r="C1895" s="220"/>
      <c r="N1895" s="221"/>
    </row>
    <row r="1896" customFormat="false" ht="14.25" hidden="false" customHeight="false" outlineLevel="0" collapsed="false">
      <c r="A1896" s="219"/>
      <c r="C1896" s="220"/>
      <c r="N1896" s="221"/>
    </row>
    <row r="1897" customFormat="false" ht="14.25" hidden="false" customHeight="false" outlineLevel="0" collapsed="false">
      <c r="A1897" s="219"/>
      <c r="C1897" s="220"/>
      <c r="N1897" s="221"/>
    </row>
    <row r="1898" customFormat="false" ht="14.25" hidden="false" customHeight="false" outlineLevel="0" collapsed="false">
      <c r="A1898" s="219"/>
      <c r="C1898" s="220"/>
      <c r="N1898" s="221"/>
    </row>
    <row r="1899" customFormat="false" ht="14.25" hidden="false" customHeight="false" outlineLevel="0" collapsed="false">
      <c r="A1899" s="219"/>
      <c r="C1899" s="220"/>
      <c r="N1899" s="221"/>
    </row>
    <row r="1900" customFormat="false" ht="14.25" hidden="false" customHeight="false" outlineLevel="0" collapsed="false">
      <c r="A1900" s="219"/>
      <c r="C1900" s="220"/>
      <c r="N1900" s="221"/>
    </row>
    <row r="1901" customFormat="false" ht="14.25" hidden="false" customHeight="false" outlineLevel="0" collapsed="false">
      <c r="A1901" s="219"/>
      <c r="C1901" s="220"/>
      <c r="N1901" s="221"/>
    </row>
    <row r="1902" customFormat="false" ht="14.25" hidden="false" customHeight="false" outlineLevel="0" collapsed="false">
      <c r="A1902" s="219"/>
      <c r="C1902" s="220"/>
      <c r="N1902" s="221"/>
    </row>
    <row r="1903" customFormat="false" ht="14.25" hidden="false" customHeight="false" outlineLevel="0" collapsed="false">
      <c r="A1903" s="219"/>
      <c r="C1903" s="220"/>
      <c r="N1903" s="221"/>
    </row>
    <row r="1904" customFormat="false" ht="14.25" hidden="false" customHeight="false" outlineLevel="0" collapsed="false">
      <c r="A1904" s="219"/>
      <c r="C1904" s="220"/>
      <c r="N1904" s="221"/>
    </row>
    <row r="1905" customFormat="false" ht="14.25" hidden="false" customHeight="false" outlineLevel="0" collapsed="false">
      <c r="A1905" s="219"/>
      <c r="C1905" s="220"/>
      <c r="N1905" s="221"/>
    </row>
    <row r="1906" customFormat="false" ht="14.25" hidden="false" customHeight="false" outlineLevel="0" collapsed="false">
      <c r="A1906" s="219"/>
      <c r="C1906" s="220"/>
      <c r="N1906" s="221"/>
    </row>
    <row r="1907" customFormat="false" ht="14.25" hidden="false" customHeight="false" outlineLevel="0" collapsed="false">
      <c r="A1907" s="219"/>
      <c r="C1907" s="220"/>
      <c r="N1907" s="221"/>
    </row>
    <row r="1908" customFormat="false" ht="14.25" hidden="false" customHeight="false" outlineLevel="0" collapsed="false">
      <c r="A1908" s="219"/>
      <c r="C1908" s="220"/>
      <c r="N1908" s="221"/>
    </row>
    <row r="1909" customFormat="false" ht="14.25" hidden="false" customHeight="false" outlineLevel="0" collapsed="false">
      <c r="A1909" s="219"/>
      <c r="C1909" s="220"/>
      <c r="N1909" s="221"/>
    </row>
    <row r="1910" customFormat="false" ht="14.25" hidden="false" customHeight="false" outlineLevel="0" collapsed="false">
      <c r="A1910" s="219"/>
      <c r="C1910" s="220"/>
      <c r="N1910" s="221"/>
    </row>
    <row r="1911" customFormat="false" ht="14.25" hidden="false" customHeight="false" outlineLevel="0" collapsed="false">
      <c r="A1911" s="219"/>
      <c r="C1911" s="220"/>
      <c r="N1911" s="221"/>
    </row>
    <row r="1912" customFormat="false" ht="14.25" hidden="false" customHeight="false" outlineLevel="0" collapsed="false">
      <c r="A1912" s="219"/>
      <c r="C1912" s="220"/>
      <c r="N1912" s="221"/>
    </row>
    <row r="1913" customFormat="false" ht="14.25" hidden="false" customHeight="false" outlineLevel="0" collapsed="false">
      <c r="A1913" s="219"/>
      <c r="C1913" s="220"/>
      <c r="N1913" s="221"/>
    </row>
    <row r="1914" customFormat="false" ht="14.25" hidden="false" customHeight="false" outlineLevel="0" collapsed="false">
      <c r="A1914" s="219"/>
      <c r="C1914" s="220"/>
      <c r="M1914" s="224"/>
      <c r="N1914" s="221"/>
    </row>
    <row r="1915" customFormat="false" ht="14.25" hidden="false" customHeight="false" outlineLevel="0" collapsed="false">
      <c r="A1915" s="219"/>
      <c r="C1915" s="220"/>
      <c r="N1915" s="221"/>
    </row>
    <row r="1916" customFormat="false" ht="14.25" hidden="false" customHeight="false" outlineLevel="0" collapsed="false">
      <c r="A1916" s="219"/>
      <c r="C1916" s="220"/>
      <c r="N1916" s="221"/>
    </row>
    <row r="1917" customFormat="false" ht="14.25" hidden="false" customHeight="false" outlineLevel="0" collapsed="false">
      <c r="A1917" s="219"/>
      <c r="C1917" s="220"/>
      <c r="N1917" s="221"/>
    </row>
    <row r="1918" customFormat="false" ht="14.25" hidden="false" customHeight="false" outlineLevel="0" collapsed="false">
      <c r="A1918" s="219"/>
      <c r="C1918" s="220"/>
      <c r="N1918" s="221"/>
    </row>
    <row r="1919" customFormat="false" ht="14.25" hidden="false" customHeight="false" outlineLevel="0" collapsed="false">
      <c r="A1919" s="219"/>
      <c r="C1919" s="220"/>
      <c r="N1919" s="221"/>
    </row>
    <row r="1920" customFormat="false" ht="14.25" hidden="false" customHeight="false" outlineLevel="0" collapsed="false">
      <c r="A1920" s="219"/>
      <c r="C1920" s="220"/>
      <c r="N1920" s="221"/>
    </row>
    <row r="1921" customFormat="false" ht="14.25" hidden="false" customHeight="false" outlineLevel="0" collapsed="false">
      <c r="A1921" s="219"/>
      <c r="C1921" s="220"/>
      <c r="M1921" s="224"/>
      <c r="N1921" s="221"/>
    </row>
    <row r="1922" customFormat="false" ht="14.25" hidden="false" customHeight="false" outlineLevel="0" collapsed="false">
      <c r="A1922" s="219"/>
      <c r="C1922" s="220"/>
      <c r="N1922" s="221"/>
    </row>
    <row r="1923" customFormat="false" ht="14.25" hidden="false" customHeight="false" outlineLevel="0" collapsed="false">
      <c r="A1923" s="219"/>
      <c r="C1923" s="220"/>
      <c r="N1923" s="221"/>
    </row>
    <row r="1924" customFormat="false" ht="14.25" hidden="false" customHeight="false" outlineLevel="0" collapsed="false">
      <c r="A1924" s="219"/>
      <c r="C1924" s="220"/>
      <c r="N1924" s="221"/>
    </row>
    <row r="1925" customFormat="false" ht="14.25" hidden="false" customHeight="false" outlineLevel="0" collapsed="false">
      <c r="A1925" s="219"/>
      <c r="C1925" s="220"/>
      <c r="N1925" s="221"/>
    </row>
    <row r="1926" customFormat="false" ht="14.25" hidden="false" customHeight="false" outlineLevel="0" collapsed="false">
      <c r="A1926" s="219"/>
      <c r="C1926" s="220"/>
      <c r="N1926" s="221"/>
    </row>
    <row r="1927" customFormat="false" ht="14.25" hidden="false" customHeight="false" outlineLevel="0" collapsed="false">
      <c r="A1927" s="219"/>
      <c r="C1927" s="220"/>
      <c r="N1927" s="221"/>
    </row>
    <row r="1928" customFormat="false" ht="14.25" hidden="false" customHeight="false" outlineLevel="0" collapsed="false">
      <c r="A1928" s="219"/>
      <c r="C1928" s="220"/>
      <c r="N1928" s="221"/>
    </row>
    <row r="1929" customFormat="false" ht="14.25" hidden="false" customHeight="false" outlineLevel="0" collapsed="false">
      <c r="A1929" s="219"/>
      <c r="C1929" s="220"/>
      <c r="N1929" s="221"/>
    </row>
    <row r="1930" customFormat="false" ht="14.25" hidden="false" customHeight="false" outlineLevel="0" collapsed="false">
      <c r="A1930" s="219"/>
      <c r="C1930" s="220"/>
      <c r="N1930" s="221"/>
    </row>
    <row r="1931" customFormat="false" ht="14.25" hidden="false" customHeight="false" outlineLevel="0" collapsed="false">
      <c r="A1931" s="219"/>
      <c r="C1931" s="220"/>
      <c r="N1931" s="221"/>
    </row>
    <row r="1932" customFormat="false" ht="14.25" hidden="false" customHeight="false" outlineLevel="0" collapsed="false">
      <c r="A1932" s="219"/>
      <c r="C1932" s="220"/>
      <c r="N1932" s="221"/>
    </row>
    <row r="1933" customFormat="false" ht="14.25" hidden="false" customHeight="false" outlineLevel="0" collapsed="false">
      <c r="A1933" s="219"/>
      <c r="C1933" s="220"/>
      <c r="N1933" s="221"/>
    </row>
    <row r="1934" customFormat="false" ht="14.25" hidden="false" customHeight="false" outlineLevel="0" collapsed="false">
      <c r="A1934" s="219"/>
      <c r="C1934" s="220"/>
      <c r="N1934" s="221"/>
    </row>
    <row r="1935" customFormat="false" ht="14.25" hidden="false" customHeight="false" outlineLevel="0" collapsed="false">
      <c r="A1935" s="219"/>
      <c r="C1935" s="220"/>
      <c r="N1935" s="221"/>
    </row>
    <row r="1936" customFormat="false" ht="14.25" hidden="false" customHeight="false" outlineLevel="0" collapsed="false">
      <c r="A1936" s="219"/>
      <c r="C1936" s="220"/>
      <c r="N1936" s="221"/>
    </row>
    <row r="1937" customFormat="false" ht="14.25" hidden="false" customHeight="false" outlineLevel="0" collapsed="false">
      <c r="A1937" s="219"/>
      <c r="C1937" s="220"/>
      <c r="N1937" s="221"/>
    </row>
    <row r="1938" customFormat="false" ht="14.25" hidden="false" customHeight="false" outlineLevel="0" collapsed="false">
      <c r="A1938" s="219"/>
      <c r="C1938" s="220"/>
      <c r="N1938" s="221"/>
    </row>
    <row r="1939" customFormat="false" ht="14.25" hidden="false" customHeight="false" outlineLevel="0" collapsed="false">
      <c r="A1939" s="219"/>
      <c r="C1939" s="220"/>
      <c r="N1939" s="221"/>
    </row>
    <row r="1940" customFormat="false" ht="14.25" hidden="false" customHeight="false" outlineLevel="0" collapsed="false">
      <c r="A1940" s="219"/>
      <c r="C1940" s="220"/>
      <c r="N1940" s="221"/>
    </row>
    <row r="1941" customFormat="false" ht="14.25" hidden="false" customHeight="false" outlineLevel="0" collapsed="false">
      <c r="A1941" s="219"/>
      <c r="C1941" s="220"/>
      <c r="N1941" s="221"/>
    </row>
    <row r="1942" customFormat="false" ht="14.25" hidden="false" customHeight="false" outlineLevel="0" collapsed="false">
      <c r="A1942" s="219"/>
      <c r="C1942" s="220"/>
      <c r="N1942" s="221"/>
    </row>
    <row r="1943" customFormat="false" ht="14.25" hidden="false" customHeight="false" outlineLevel="0" collapsed="false">
      <c r="A1943" s="219"/>
      <c r="C1943" s="220"/>
      <c r="N1943" s="221"/>
    </row>
    <row r="1944" customFormat="false" ht="14.25" hidden="false" customHeight="false" outlineLevel="0" collapsed="false">
      <c r="A1944" s="219"/>
      <c r="C1944" s="220"/>
      <c r="N1944" s="221"/>
    </row>
    <row r="1945" customFormat="false" ht="14.25" hidden="false" customHeight="false" outlineLevel="0" collapsed="false">
      <c r="A1945" s="219"/>
      <c r="C1945" s="220"/>
      <c r="N1945" s="221"/>
    </row>
    <row r="1946" customFormat="false" ht="14.25" hidden="false" customHeight="false" outlineLevel="0" collapsed="false">
      <c r="A1946" s="219"/>
      <c r="C1946" s="220"/>
      <c r="N1946" s="221"/>
    </row>
    <row r="1947" customFormat="false" ht="14.25" hidden="false" customHeight="false" outlineLevel="0" collapsed="false">
      <c r="A1947" s="219"/>
      <c r="C1947" s="220"/>
      <c r="N1947" s="221"/>
    </row>
    <row r="1948" customFormat="false" ht="14.25" hidden="false" customHeight="false" outlineLevel="0" collapsed="false">
      <c r="A1948" s="219"/>
      <c r="C1948" s="220"/>
      <c r="N1948" s="221"/>
    </row>
    <row r="1949" customFormat="false" ht="14.25" hidden="false" customHeight="false" outlineLevel="0" collapsed="false">
      <c r="A1949" s="219"/>
      <c r="C1949" s="220"/>
      <c r="N1949" s="221"/>
    </row>
    <row r="1950" customFormat="false" ht="14.25" hidden="false" customHeight="false" outlineLevel="0" collapsed="false">
      <c r="A1950" s="219"/>
      <c r="C1950" s="220"/>
      <c r="N1950" s="221"/>
    </row>
    <row r="1951" customFormat="false" ht="14.25" hidden="false" customHeight="false" outlineLevel="0" collapsed="false">
      <c r="A1951" s="219"/>
      <c r="C1951" s="220"/>
      <c r="N1951" s="221"/>
    </row>
    <row r="1952" customFormat="false" ht="14.25" hidden="false" customHeight="false" outlineLevel="0" collapsed="false">
      <c r="A1952" s="219"/>
      <c r="C1952" s="220"/>
      <c r="N1952" s="221"/>
    </row>
    <row r="1953" customFormat="false" ht="14.25" hidden="false" customHeight="false" outlineLevel="0" collapsed="false">
      <c r="A1953" s="219"/>
      <c r="C1953" s="220"/>
      <c r="N1953" s="221"/>
    </row>
    <row r="1954" customFormat="false" ht="14.25" hidden="false" customHeight="false" outlineLevel="0" collapsed="false">
      <c r="A1954" s="219"/>
      <c r="C1954" s="220"/>
      <c r="N1954" s="221"/>
    </row>
    <row r="1955" customFormat="false" ht="14.25" hidden="false" customHeight="false" outlineLevel="0" collapsed="false">
      <c r="A1955" s="219"/>
      <c r="C1955" s="220"/>
      <c r="N1955" s="221"/>
    </row>
    <row r="1956" customFormat="false" ht="14.25" hidden="false" customHeight="false" outlineLevel="0" collapsed="false">
      <c r="A1956" s="219"/>
      <c r="C1956" s="220"/>
      <c r="N1956" s="221"/>
    </row>
    <row r="1957" customFormat="false" ht="14.25" hidden="false" customHeight="false" outlineLevel="0" collapsed="false">
      <c r="A1957" s="219"/>
      <c r="C1957" s="220"/>
      <c r="N1957" s="221"/>
    </row>
    <row r="1958" customFormat="false" ht="14.25" hidden="false" customHeight="false" outlineLevel="0" collapsed="false">
      <c r="A1958" s="219"/>
      <c r="C1958" s="220"/>
      <c r="N1958" s="221"/>
    </row>
    <row r="1959" customFormat="false" ht="14.25" hidden="false" customHeight="false" outlineLevel="0" collapsed="false">
      <c r="A1959" s="219"/>
      <c r="C1959" s="220"/>
      <c r="N1959" s="221"/>
    </row>
    <row r="1960" customFormat="false" ht="14.25" hidden="false" customHeight="false" outlineLevel="0" collapsed="false">
      <c r="A1960" s="219"/>
      <c r="C1960" s="220"/>
      <c r="N1960" s="221"/>
    </row>
    <row r="1961" customFormat="false" ht="14.25" hidden="false" customHeight="false" outlineLevel="0" collapsed="false">
      <c r="A1961" s="219"/>
      <c r="C1961" s="220"/>
      <c r="N1961" s="221"/>
    </row>
    <row r="1962" customFormat="false" ht="14.25" hidden="false" customHeight="false" outlineLevel="0" collapsed="false">
      <c r="A1962" s="219"/>
      <c r="C1962" s="220"/>
      <c r="N1962" s="221"/>
    </row>
    <row r="1963" customFormat="false" ht="14.25" hidden="false" customHeight="false" outlineLevel="0" collapsed="false">
      <c r="A1963" s="219"/>
      <c r="C1963" s="220"/>
      <c r="N1963" s="221"/>
    </row>
    <row r="1964" customFormat="false" ht="14.25" hidden="false" customHeight="false" outlineLevel="0" collapsed="false">
      <c r="A1964" s="219"/>
      <c r="C1964" s="220"/>
      <c r="N1964" s="221"/>
    </row>
    <row r="1965" customFormat="false" ht="14.25" hidden="false" customHeight="false" outlineLevel="0" collapsed="false">
      <c r="A1965" s="219"/>
      <c r="C1965" s="220"/>
      <c r="N1965" s="221"/>
    </row>
    <row r="1966" customFormat="false" ht="14.25" hidden="false" customHeight="false" outlineLevel="0" collapsed="false">
      <c r="A1966" s="219"/>
      <c r="C1966" s="220"/>
      <c r="N1966" s="221"/>
    </row>
    <row r="1967" customFormat="false" ht="14.25" hidden="false" customHeight="false" outlineLevel="0" collapsed="false">
      <c r="A1967" s="219"/>
      <c r="C1967" s="220"/>
      <c r="N1967" s="221"/>
    </row>
    <row r="1968" customFormat="false" ht="14.25" hidden="false" customHeight="false" outlineLevel="0" collapsed="false">
      <c r="A1968" s="219"/>
      <c r="C1968" s="220"/>
      <c r="N1968" s="221"/>
    </row>
    <row r="1969" customFormat="false" ht="14.25" hidden="false" customHeight="false" outlineLevel="0" collapsed="false">
      <c r="A1969" s="219"/>
      <c r="C1969" s="220"/>
      <c r="N1969" s="221"/>
    </row>
    <row r="1970" customFormat="false" ht="14.25" hidden="false" customHeight="false" outlineLevel="0" collapsed="false">
      <c r="A1970" s="219"/>
      <c r="C1970" s="220"/>
      <c r="N1970" s="221"/>
    </row>
    <row r="1971" customFormat="false" ht="14.25" hidden="false" customHeight="false" outlineLevel="0" collapsed="false">
      <c r="A1971" s="219"/>
      <c r="C1971" s="220"/>
      <c r="N1971" s="221"/>
    </row>
    <row r="1972" customFormat="false" ht="14.25" hidden="false" customHeight="false" outlineLevel="0" collapsed="false">
      <c r="A1972" s="219"/>
      <c r="C1972" s="220"/>
      <c r="N1972" s="221"/>
    </row>
    <row r="1973" customFormat="false" ht="14.25" hidden="false" customHeight="false" outlineLevel="0" collapsed="false">
      <c r="A1973" s="219"/>
      <c r="C1973" s="220"/>
      <c r="N1973" s="221"/>
    </row>
    <row r="1974" customFormat="false" ht="14.25" hidden="false" customHeight="false" outlineLevel="0" collapsed="false">
      <c r="A1974" s="219"/>
      <c r="C1974" s="220"/>
      <c r="N1974" s="221"/>
    </row>
    <row r="1975" customFormat="false" ht="14.25" hidden="false" customHeight="false" outlineLevel="0" collapsed="false">
      <c r="A1975" s="219"/>
      <c r="C1975" s="220"/>
      <c r="N1975" s="221"/>
    </row>
    <row r="1976" customFormat="false" ht="14.25" hidden="false" customHeight="false" outlineLevel="0" collapsed="false">
      <c r="A1976" s="219"/>
      <c r="C1976" s="220"/>
      <c r="N1976" s="221"/>
    </row>
    <row r="1977" customFormat="false" ht="14.25" hidden="false" customHeight="false" outlineLevel="0" collapsed="false">
      <c r="A1977" s="219"/>
      <c r="C1977" s="220"/>
      <c r="N1977" s="221"/>
    </row>
    <row r="1978" customFormat="false" ht="14.25" hidden="false" customHeight="false" outlineLevel="0" collapsed="false">
      <c r="A1978" s="219"/>
      <c r="C1978" s="220"/>
      <c r="N1978" s="221"/>
    </row>
    <row r="1979" customFormat="false" ht="14.25" hidden="false" customHeight="false" outlineLevel="0" collapsed="false">
      <c r="A1979" s="219"/>
      <c r="C1979" s="220"/>
      <c r="N1979" s="221"/>
    </row>
    <row r="1980" customFormat="false" ht="14.25" hidden="false" customHeight="false" outlineLevel="0" collapsed="false">
      <c r="A1980" s="219"/>
      <c r="C1980" s="220"/>
      <c r="N1980" s="221"/>
    </row>
    <row r="1981" customFormat="false" ht="14.25" hidden="false" customHeight="false" outlineLevel="0" collapsed="false">
      <c r="A1981" s="219"/>
      <c r="C1981" s="220"/>
      <c r="N1981" s="221"/>
    </row>
    <row r="1982" customFormat="false" ht="14.25" hidden="false" customHeight="false" outlineLevel="0" collapsed="false">
      <c r="A1982" s="219"/>
      <c r="C1982" s="220"/>
      <c r="N1982" s="221"/>
    </row>
    <row r="1983" customFormat="false" ht="14.25" hidden="false" customHeight="false" outlineLevel="0" collapsed="false">
      <c r="A1983" s="219"/>
      <c r="C1983" s="220"/>
      <c r="N1983" s="221"/>
    </row>
    <row r="1984" customFormat="false" ht="14.25" hidden="false" customHeight="false" outlineLevel="0" collapsed="false">
      <c r="A1984" s="219"/>
      <c r="C1984" s="220"/>
      <c r="N1984" s="221"/>
    </row>
    <row r="1985" customFormat="false" ht="14.25" hidden="false" customHeight="false" outlineLevel="0" collapsed="false">
      <c r="A1985" s="219"/>
      <c r="C1985" s="220"/>
      <c r="N1985" s="221"/>
    </row>
    <row r="1986" customFormat="false" ht="14.25" hidden="false" customHeight="false" outlineLevel="0" collapsed="false">
      <c r="A1986" s="219"/>
      <c r="C1986" s="220"/>
      <c r="N1986" s="221"/>
    </row>
    <row r="1987" customFormat="false" ht="14.25" hidden="false" customHeight="false" outlineLevel="0" collapsed="false">
      <c r="A1987" s="219"/>
      <c r="C1987" s="220"/>
      <c r="N1987" s="221"/>
    </row>
    <row r="1988" customFormat="false" ht="14.25" hidden="false" customHeight="false" outlineLevel="0" collapsed="false">
      <c r="A1988" s="219"/>
      <c r="C1988" s="220"/>
      <c r="N1988" s="221"/>
    </row>
    <row r="1989" customFormat="false" ht="14.25" hidden="false" customHeight="false" outlineLevel="0" collapsed="false">
      <c r="A1989" s="219"/>
      <c r="C1989" s="220"/>
      <c r="N1989" s="221"/>
    </row>
    <row r="1990" customFormat="false" ht="14.25" hidden="false" customHeight="false" outlineLevel="0" collapsed="false">
      <c r="A1990" s="219"/>
      <c r="C1990" s="220"/>
      <c r="N1990" s="221"/>
    </row>
    <row r="1991" customFormat="false" ht="14.25" hidden="false" customHeight="false" outlineLevel="0" collapsed="false">
      <c r="A1991" s="219"/>
      <c r="C1991" s="220"/>
      <c r="N1991" s="221"/>
    </row>
    <row r="1992" customFormat="false" ht="14.25" hidden="false" customHeight="false" outlineLevel="0" collapsed="false">
      <c r="A1992" s="219"/>
      <c r="C1992" s="220"/>
      <c r="N1992" s="221"/>
    </row>
    <row r="1993" customFormat="false" ht="14.25" hidden="false" customHeight="false" outlineLevel="0" collapsed="false">
      <c r="A1993" s="219"/>
      <c r="C1993" s="220"/>
      <c r="N1993" s="221"/>
    </row>
    <row r="1994" customFormat="false" ht="14.25" hidden="false" customHeight="false" outlineLevel="0" collapsed="false">
      <c r="A1994" s="219"/>
      <c r="C1994" s="220"/>
      <c r="N1994" s="221"/>
    </row>
    <row r="1995" customFormat="false" ht="14.25" hidden="false" customHeight="false" outlineLevel="0" collapsed="false">
      <c r="A1995" s="219"/>
      <c r="C1995" s="220"/>
      <c r="N1995" s="221"/>
    </row>
    <row r="1996" customFormat="false" ht="14.25" hidden="false" customHeight="false" outlineLevel="0" collapsed="false">
      <c r="A1996" s="219"/>
      <c r="C1996" s="220"/>
      <c r="N1996" s="221"/>
    </row>
    <row r="1997" customFormat="false" ht="14.25" hidden="false" customHeight="false" outlineLevel="0" collapsed="false">
      <c r="A1997" s="219"/>
      <c r="C1997" s="220"/>
      <c r="N1997" s="221"/>
    </row>
    <row r="1998" customFormat="false" ht="14.25" hidden="false" customHeight="false" outlineLevel="0" collapsed="false">
      <c r="A1998" s="219"/>
      <c r="C1998" s="220"/>
      <c r="N1998" s="221"/>
    </row>
    <row r="1999" customFormat="false" ht="14.25" hidden="false" customHeight="false" outlineLevel="0" collapsed="false">
      <c r="A1999" s="219"/>
      <c r="C1999" s="220"/>
      <c r="N1999" s="221"/>
    </row>
    <row r="2000" customFormat="false" ht="14.25" hidden="false" customHeight="false" outlineLevel="0" collapsed="false">
      <c r="A2000" s="219"/>
      <c r="C2000" s="220"/>
      <c r="N2000" s="221"/>
    </row>
    <row r="2001" customFormat="false" ht="14.25" hidden="false" customHeight="false" outlineLevel="0" collapsed="false">
      <c r="A2001" s="219"/>
      <c r="C2001" s="220"/>
      <c r="N2001" s="221"/>
    </row>
    <row r="2002" customFormat="false" ht="14.25" hidden="false" customHeight="false" outlineLevel="0" collapsed="false">
      <c r="A2002" s="219"/>
      <c r="C2002" s="220"/>
      <c r="N2002" s="221"/>
    </row>
    <row r="2003" customFormat="false" ht="14.25" hidden="false" customHeight="false" outlineLevel="0" collapsed="false">
      <c r="A2003" s="219"/>
      <c r="C2003" s="220"/>
      <c r="N2003" s="221"/>
    </row>
    <row r="2004" customFormat="false" ht="14.25" hidden="false" customHeight="false" outlineLevel="0" collapsed="false">
      <c r="A2004" s="219"/>
      <c r="C2004" s="220"/>
      <c r="N2004" s="221"/>
    </row>
    <row r="2005" customFormat="false" ht="14.25" hidden="false" customHeight="false" outlineLevel="0" collapsed="false">
      <c r="A2005" s="219"/>
      <c r="C2005" s="220"/>
      <c r="N2005" s="221"/>
    </row>
    <row r="2006" customFormat="false" ht="14.25" hidden="false" customHeight="false" outlineLevel="0" collapsed="false">
      <c r="A2006" s="219"/>
      <c r="C2006" s="220"/>
      <c r="N2006" s="221"/>
    </row>
    <row r="2007" customFormat="false" ht="14.25" hidden="false" customHeight="false" outlineLevel="0" collapsed="false">
      <c r="A2007" s="219"/>
      <c r="C2007" s="220"/>
      <c r="N2007" s="221"/>
    </row>
    <row r="2008" customFormat="false" ht="14.25" hidden="false" customHeight="false" outlineLevel="0" collapsed="false">
      <c r="A2008" s="219"/>
      <c r="C2008" s="220"/>
      <c r="N2008" s="221"/>
    </row>
    <row r="2009" customFormat="false" ht="14.25" hidden="false" customHeight="false" outlineLevel="0" collapsed="false">
      <c r="A2009" s="219"/>
      <c r="C2009" s="220"/>
      <c r="N2009" s="221"/>
    </row>
    <row r="2010" customFormat="false" ht="14.25" hidden="false" customHeight="false" outlineLevel="0" collapsed="false">
      <c r="A2010" s="219"/>
      <c r="C2010" s="220"/>
      <c r="N2010" s="221"/>
    </row>
    <row r="2011" customFormat="false" ht="14.25" hidden="false" customHeight="false" outlineLevel="0" collapsed="false">
      <c r="A2011" s="219"/>
      <c r="C2011" s="220"/>
      <c r="N2011" s="221"/>
    </row>
    <row r="2012" customFormat="false" ht="14.25" hidden="false" customHeight="false" outlineLevel="0" collapsed="false">
      <c r="A2012" s="219"/>
      <c r="C2012" s="220"/>
      <c r="N2012" s="221"/>
    </row>
    <row r="2013" customFormat="false" ht="14.25" hidden="false" customHeight="false" outlineLevel="0" collapsed="false">
      <c r="A2013" s="219"/>
      <c r="C2013" s="220"/>
      <c r="N2013" s="221"/>
    </row>
    <row r="2014" customFormat="false" ht="14.25" hidden="false" customHeight="false" outlineLevel="0" collapsed="false">
      <c r="A2014" s="219"/>
      <c r="C2014" s="220"/>
      <c r="N2014" s="221"/>
    </row>
    <row r="2015" customFormat="false" ht="14.25" hidden="false" customHeight="false" outlineLevel="0" collapsed="false">
      <c r="A2015" s="219"/>
      <c r="C2015" s="220"/>
      <c r="N2015" s="221"/>
    </row>
    <row r="2016" customFormat="false" ht="14.25" hidden="false" customHeight="false" outlineLevel="0" collapsed="false">
      <c r="A2016" s="219"/>
      <c r="C2016" s="220"/>
      <c r="M2016" s="224"/>
      <c r="N2016" s="221"/>
    </row>
    <row r="2017" customFormat="false" ht="14.25" hidden="false" customHeight="false" outlineLevel="0" collapsed="false">
      <c r="A2017" s="219"/>
      <c r="C2017" s="220"/>
      <c r="N2017" s="221"/>
    </row>
    <row r="2018" customFormat="false" ht="14.25" hidden="false" customHeight="false" outlineLevel="0" collapsed="false">
      <c r="A2018" s="219"/>
      <c r="C2018" s="220"/>
      <c r="N2018" s="221"/>
    </row>
    <row r="2019" customFormat="false" ht="14.25" hidden="false" customHeight="false" outlineLevel="0" collapsed="false">
      <c r="A2019" s="219"/>
      <c r="C2019" s="220"/>
      <c r="N2019" s="221"/>
    </row>
    <row r="2020" customFormat="false" ht="14.25" hidden="false" customHeight="false" outlineLevel="0" collapsed="false">
      <c r="A2020" s="219"/>
      <c r="C2020" s="220"/>
      <c r="N2020" s="221"/>
    </row>
    <row r="2021" customFormat="false" ht="14.25" hidden="false" customHeight="false" outlineLevel="0" collapsed="false">
      <c r="A2021" s="219"/>
      <c r="C2021" s="220"/>
      <c r="N2021" s="221"/>
    </row>
    <row r="2022" customFormat="false" ht="14.25" hidden="false" customHeight="false" outlineLevel="0" collapsed="false">
      <c r="A2022" s="219"/>
      <c r="C2022" s="220"/>
      <c r="N2022" s="221"/>
    </row>
    <row r="2023" customFormat="false" ht="14.25" hidden="false" customHeight="false" outlineLevel="0" collapsed="false">
      <c r="A2023" s="219"/>
      <c r="C2023" s="220"/>
      <c r="N2023" s="221"/>
    </row>
    <row r="2024" customFormat="false" ht="14.25" hidden="false" customHeight="false" outlineLevel="0" collapsed="false">
      <c r="A2024" s="219"/>
      <c r="C2024" s="220"/>
      <c r="N2024" s="221"/>
    </row>
    <row r="2025" customFormat="false" ht="14.25" hidden="false" customHeight="false" outlineLevel="0" collapsed="false">
      <c r="A2025" s="219"/>
      <c r="C2025" s="220"/>
      <c r="N2025" s="221"/>
    </row>
    <row r="2026" customFormat="false" ht="14.25" hidden="false" customHeight="false" outlineLevel="0" collapsed="false">
      <c r="A2026" s="219"/>
      <c r="C2026" s="220"/>
      <c r="N2026" s="221"/>
    </row>
    <row r="2027" customFormat="false" ht="14.25" hidden="false" customHeight="false" outlineLevel="0" collapsed="false">
      <c r="A2027" s="219"/>
      <c r="C2027" s="220"/>
      <c r="N2027" s="221"/>
    </row>
    <row r="2028" customFormat="false" ht="14.25" hidden="false" customHeight="false" outlineLevel="0" collapsed="false">
      <c r="A2028" s="219"/>
      <c r="C2028" s="220"/>
      <c r="N2028" s="221"/>
    </row>
    <row r="2029" customFormat="false" ht="14.25" hidden="false" customHeight="false" outlineLevel="0" collapsed="false">
      <c r="A2029" s="219"/>
      <c r="C2029" s="220"/>
      <c r="N2029" s="221"/>
    </row>
    <row r="2030" customFormat="false" ht="14.25" hidden="false" customHeight="false" outlineLevel="0" collapsed="false">
      <c r="A2030" s="219"/>
      <c r="C2030" s="220"/>
      <c r="N2030" s="221"/>
    </row>
    <row r="2031" customFormat="false" ht="14.25" hidden="false" customHeight="false" outlineLevel="0" collapsed="false">
      <c r="A2031" s="219"/>
      <c r="C2031" s="220"/>
      <c r="N2031" s="221"/>
    </row>
    <row r="2032" customFormat="false" ht="14.25" hidden="false" customHeight="false" outlineLevel="0" collapsed="false">
      <c r="A2032" s="219"/>
      <c r="C2032" s="220"/>
      <c r="N2032" s="221"/>
    </row>
    <row r="2033" customFormat="false" ht="14.25" hidden="false" customHeight="false" outlineLevel="0" collapsed="false">
      <c r="A2033" s="219"/>
      <c r="C2033" s="220"/>
      <c r="N2033" s="221"/>
    </row>
    <row r="2034" customFormat="false" ht="14.25" hidden="false" customHeight="false" outlineLevel="0" collapsed="false">
      <c r="A2034" s="219"/>
      <c r="C2034" s="220"/>
      <c r="N2034" s="221"/>
    </row>
    <row r="2035" customFormat="false" ht="14.25" hidden="false" customHeight="false" outlineLevel="0" collapsed="false">
      <c r="A2035" s="219"/>
      <c r="C2035" s="220"/>
      <c r="N2035" s="221"/>
    </row>
    <row r="2036" customFormat="false" ht="14.25" hidden="false" customHeight="false" outlineLevel="0" collapsed="false">
      <c r="A2036" s="219"/>
      <c r="C2036" s="220"/>
      <c r="N2036" s="221"/>
    </row>
    <row r="2037" customFormat="false" ht="14.25" hidden="false" customHeight="false" outlineLevel="0" collapsed="false">
      <c r="A2037" s="219"/>
      <c r="C2037" s="220"/>
      <c r="N2037" s="221"/>
    </row>
    <row r="2038" customFormat="false" ht="14.25" hidden="false" customHeight="false" outlineLevel="0" collapsed="false">
      <c r="A2038" s="219"/>
      <c r="C2038" s="220"/>
      <c r="N2038" s="221"/>
    </row>
    <row r="2039" customFormat="false" ht="14.25" hidden="false" customHeight="false" outlineLevel="0" collapsed="false">
      <c r="A2039" s="219"/>
      <c r="C2039" s="220"/>
      <c r="N2039" s="221"/>
    </row>
    <row r="2040" customFormat="false" ht="14.25" hidden="false" customHeight="false" outlineLevel="0" collapsed="false">
      <c r="A2040" s="219"/>
      <c r="C2040" s="220"/>
      <c r="N2040" s="221"/>
    </row>
    <row r="2041" customFormat="false" ht="14.25" hidden="false" customHeight="false" outlineLevel="0" collapsed="false">
      <c r="A2041" s="219"/>
      <c r="C2041" s="220"/>
      <c r="N2041" s="221"/>
    </row>
    <row r="2042" customFormat="false" ht="14.25" hidden="false" customHeight="false" outlineLevel="0" collapsed="false">
      <c r="A2042" s="219"/>
      <c r="C2042" s="220"/>
      <c r="N2042" s="221"/>
    </row>
    <row r="2043" customFormat="false" ht="14.25" hidden="false" customHeight="false" outlineLevel="0" collapsed="false">
      <c r="A2043" s="219"/>
      <c r="C2043" s="220"/>
      <c r="N2043" s="221"/>
    </row>
    <row r="2044" customFormat="false" ht="14.25" hidden="false" customHeight="false" outlineLevel="0" collapsed="false">
      <c r="A2044" s="219"/>
      <c r="C2044" s="220"/>
      <c r="N2044" s="221"/>
    </row>
    <row r="2045" customFormat="false" ht="14.25" hidden="false" customHeight="false" outlineLevel="0" collapsed="false">
      <c r="A2045" s="219"/>
      <c r="C2045" s="220"/>
      <c r="N2045" s="221"/>
    </row>
    <row r="2046" customFormat="false" ht="14.25" hidden="false" customHeight="false" outlineLevel="0" collapsed="false">
      <c r="A2046" s="219"/>
      <c r="C2046" s="220"/>
      <c r="L2046" s="224"/>
      <c r="N2046" s="221"/>
    </row>
    <row r="2047" customFormat="false" ht="14.25" hidden="false" customHeight="false" outlineLevel="0" collapsed="false">
      <c r="A2047" s="219"/>
      <c r="C2047" s="220"/>
      <c r="N2047" s="221"/>
    </row>
    <row r="2048" customFormat="false" ht="14.25" hidden="false" customHeight="false" outlineLevel="0" collapsed="false">
      <c r="A2048" s="219"/>
      <c r="C2048" s="220"/>
      <c r="N2048" s="221"/>
    </row>
    <row r="2049" customFormat="false" ht="14.25" hidden="false" customHeight="false" outlineLevel="0" collapsed="false">
      <c r="A2049" s="219"/>
      <c r="C2049" s="220"/>
      <c r="N2049" s="221"/>
    </row>
    <row r="2050" customFormat="false" ht="14.25" hidden="false" customHeight="false" outlineLevel="0" collapsed="false">
      <c r="A2050" s="219"/>
      <c r="C2050" s="220"/>
      <c r="L2050" s="224"/>
      <c r="N2050" s="221"/>
    </row>
    <row r="2051" customFormat="false" ht="14.25" hidden="false" customHeight="false" outlineLevel="0" collapsed="false">
      <c r="A2051" s="219"/>
      <c r="C2051" s="220"/>
      <c r="N2051" s="221"/>
    </row>
    <row r="2052" customFormat="false" ht="14.25" hidden="false" customHeight="false" outlineLevel="0" collapsed="false">
      <c r="A2052" s="219"/>
      <c r="C2052" s="220"/>
      <c r="N2052" s="221"/>
    </row>
    <row r="2053" customFormat="false" ht="14.25" hidden="false" customHeight="false" outlineLevel="0" collapsed="false">
      <c r="A2053" s="219"/>
      <c r="C2053" s="220"/>
      <c r="N2053" s="221"/>
    </row>
    <row r="2054" customFormat="false" ht="14.25" hidden="false" customHeight="false" outlineLevel="0" collapsed="false">
      <c r="A2054" s="219"/>
      <c r="C2054" s="220"/>
      <c r="N2054" s="221"/>
    </row>
    <row r="2055" customFormat="false" ht="14.25" hidden="false" customHeight="false" outlineLevel="0" collapsed="false">
      <c r="A2055" s="219"/>
      <c r="C2055" s="220"/>
      <c r="N2055" s="221"/>
    </row>
    <row r="2056" customFormat="false" ht="14.25" hidden="false" customHeight="false" outlineLevel="0" collapsed="false">
      <c r="A2056" s="219"/>
      <c r="C2056" s="220"/>
      <c r="N2056" s="221"/>
    </row>
    <row r="2057" customFormat="false" ht="14.25" hidden="false" customHeight="false" outlineLevel="0" collapsed="false">
      <c r="A2057" s="219"/>
      <c r="C2057" s="220"/>
      <c r="L2057" s="224"/>
      <c r="N2057" s="221"/>
    </row>
    <row r="2058" customFormat="false" ht="14.25" hidden="false" customHeight="false" outlineLevel="0" collapsed="false">
      <c r="A2058" s="219"/>
      <c r="C2058" s="220"/>
      <c r="N2058" s="221"/>
    </row>
    <row r="2059" customFormat="false" ht="14.25" hidden="false" customHeight="false" outlineLevel="0" collapsed="false">
      <c r="A2059" s="219"/>
      <c r="C2059" s="220"/>
      <c r="L2059" s="224"/>
      <c r="N2059" s="221"/>
    </row>
    <row r="2060" customFormat="false" ht="14.25" hidden="false" customHeight="false" outlineLevel="0" collapsed="false">
      <c r="A2060" s="219"/>
      <c r="C2060" s="220"/>
      <c r="N2060" s="221"/>
    </row>
    <row r="2061" customFormat="false" ht="14.25" hidden="false" customHeight="false" outlineLevel="0" collapsed="false">
      <c r="A2061" s="219"/>
      <c r="C2061" s="220"/>
      <c r="N2061" s="221"/>
    </row>
    <row r="2062" customFormat="false" ht="14.25" hidden="false" customHeight="false" outlineLevel="0" collapsed="false">
      <c r="A2062" s="219"/>
      <c r="C2062" s="220"/>
      <c r="N2062" s="221"/>
    </row>
    <row r="2063" customFormat="false" ht="14.25" hidden="false" customHeight="false" outlineLevel="0" collapsed="false">
      <c r="A2063" s="219"/>
      <c r="C2063" s="220"/>
      <c r="N2063" s="221"/>
    </row>
    <row r="2064" customFormat="false" ht="14.25" hidden="false" customHeight="false" outlineLevel="0" collapsed="false">
      <c r="A2064" s="219"/>
      <c r="C2064" s="220"/>
      <c r="N2064" s="221"/>
    </row>
    <row r="2065" customFormat="false" ht="14.25" hidden="false" customHeight="false" outlineLevel="0" collapsed="false">
      <c r="A2065" s="219"/>
      <c r="C2065" s="220"/>
      <c r="N2065" s="221"/>
    </row>
    <row r="2066" customFormat="false" ht="14.25" hidden="false" customHeight="false" outlineLevel="0" collapsed="false">
      <c r="A2066" s="219"/>
      <c r="C2066" s="220"/>
      <c r="N2066" s="221"/>
    </row>
    <row r="2067" customFormat="false" ht="14.25" hidden="false" customHeight="false" outlineLevel="0" collapsed="false">
      <c r="A2067" s="219"/>
      <c r="C2067" s="220"/>
      <c r="L2067" s="224"/>
      <c r="N2067" s="221"/>
    </row>
    <row r="2068" customFormat="false" ht="14.25" hidden="false" customHeight="false" outlineLevel="0" collapsed="false">
      <c r="A2068" s="219"/>
      <c r="C2068" s="220"/>
      <c r="N2068" s="221"/>
    </row>
    <row r="2069" customFormat="false" ht="14.25" hidden="false" customHeight="false" outlineLevel="0" collapsed="false">
      <c r="A2069" s="219"/>
      <c r="C2069" s="220"/>
      <c r="N2069" s="221"/>
    </row>
    <row r="2070" customFormat="false" ht="14.25" hidden="false" customHeight="false" outlineLevel="0" collapsed="false">
      <c r="A2070" s="219"/>
      <c r="C2070" s="220"/>
      <c r="N2070" s="221"/>
    </row>
    <row r="2071" customFormat="false" ht="14.25" hidden="false" customHeight="false" outlineLevel="0" collapsed="false">
      <c r="A2071" s="219"/>
      <c r="C2071" s="220"/>
      <c r="N2071" s="221"/>
    </row>
    <row r="2072" customFormat="false" ht="14.25" hidden="false" customHeight="false" outlineLevel="0" collapsed="false">
      <c r="A2072" s="219"/>
      <c r="C2072" s="220"/>
      <c r="N2072" s="221"/>
    </row>
    <row r="2073" customFormat="false" ht="14.25" hidden="false" customHeight="false" outlineLevel="0" collapsed="false">
      <c r="A2073" s="219"/>
      <c r="C2073" s="220"/>
      <c r="L2073" s="224"/>
      <c r="N2073" s="221"/>
    </row>
    <row r="2074" customFormat="false" ht="14.25" hidden="false" customHeight="false" outlineLevel="0" collapsed="false">
      <c r="A2074" s="219"/>
      <c r="C2074" s="220"/>
      <c r="N2074" s="221"/>
    </row>
    <row r="2075" customFormat="false" ht="14.25" hidden="false" customHeight="false" outlineLevel="0" collapsed="false">
      <c r="A2075" s="219"/>
      <c r="C2075" s="220"/>
      <c r="L2075" s="224"/>
      <c r="N2075" s="221"/>
    </row>
    <row r="2076" customFormat="false" ht="14.25" hidden="false" customHeight="false" outlineLevel="0" collapsed="false">
      <c r="A2076" s="219"/>
      <c r="C2076" s="220"/>
      <c r="L2076" s="224"/>
      <c r="N2076" s="221"/>
    </row>
    <row r="2077" customFormat="false" ht="14.25" hidden="false" customHeight="false" outlineLevel="0" collapsed="false">
      <c r="A2077" s="219"/>
      <c r="C2077" s="220"/>
      <c r="L2077" s="224"/>
      <c r="N2077" s="221"/>
    </row>
    <row r="2078" customFormat="false" ht="14.25" hidden="false" customHeight="false" outlineLevel="0" collapsed="false">
      <c r="A2078" s="219"/>
      <c r="C2078" s="220"/>
      <c r="L2078" s="224"/>
      <c r="N2078" s="221"/>
    </row>
    <row r="2079" customFormat="false" ht="14.25" hidden="false" customHeight="false" outlineLevel="0" collapsed="false">
      <c r="A2079" s="219"/>
      <c r="C2079" s="220"/>
      <c r="N2079" s="221"/>
    </row>
    <row r="2080" customFormat="false" ht="14.25" hidden="false" customHeight="false" outlineLevel="0" collapsed="false">
      <c r="A2080" s="219"/>
      <c r="C2080" s="220"/>
      <c r="L2080" s="224"/>
      <c r="N2080" s="221"/>
    </row>
    <row r="2081" customFormat="false" ht="14.25" hidden="false" customHeight="false" outlineLevel="0" collapsed="false">
      <c r="A2081" s="219"/>
      <c r="C2081" s="220"/>
      <c r="L2081" s="224"/>
      <c r="N2081" s="221"/>
    </row>
    <row r="2082" customFormat="false" ht="14.25" hidden="false" customHeight="false" outlineLevel="0" collapsed="false">
      <c r="A2082" s="219"/>
      <c r="C2082" s="220"/>
      <c r="L2082" s="224"/>
      <c r="N2082" s="221"/>
    </row>
    <row r="2083" customFormat="false" ht="14.25" hidden="false" customHeight="false" outlineLevel="0" collapsed="false">
      <c r="A2083" s="219"/>
      <c r="C2083" s="220"/>
      <c r="L2083" s="224"/>
      <c r="N2083" s="221"/>
    </row>
    <row r="2084" customFormat="false" ht="14.25" hidden="false" customHeight="false" outlineLevel="0" collapsed="false">
      <c r="A2084" s="219"/>
      <c r="C2084" s="220"/>
      <c r="L2084" s="224"/>
      <c r="N2084" s="221"/>
    </row>
    <row r="2085" customFormat="false" ht="14.25" hidden="false" customHeight="false" outlineLevel="0" collapsed="false">
      <c r="A2085" s="219"/>
      <c r="C2085" s="220"/>
      <c r="L2085" s="224"/>
      <c r="N2085" s="221"/>
    </row>
    <row r="2086" customFormat="false" ht="14.25" hidden="false" customHeight="false" outlineLevel="0" collapsed="false">
      <c r="A2086" s="219"/>
      <c r="C2086" s="220"/>
      <c r="L2086" s="224"/>
      <c r="N2086" s="221"/>
    </row>
    <row r="2087" customFormat="false" ht="14.25" hidden="false" customHeight="false" outlineLevel="0" collapsed="false">
      <c r="A2087" s="219"/>
      <c r="C2087" s="220"/>
      <c r="L2087" s="224"/>
      <c r="N2087" s="221"/>
    </row>
    <row r="2088" customFormat="false" ht="14.25" hidden="false" customHeight="false" outlineLevel="0" collapsed="false">
      <c r="A2088" s="219"/>
      <c r="C2088" s="220"/>
      <c r="N2088" s="221"/>
    </row>
    <row r="2089" customFormat="false" ht="14.25" hidden="false" customHeight="false" outlineLevel="0" collapsed="false">
      <c r="A2089" s="219"/>
      <c r="C2089" s="220"/>
      <c r="L2089" s="224"/>
      <c r="N2089" s="221"/>
    </row>
    <row r="2090" customFormat="false" ht="14.25" hidden="false" customHeight="false" outlineLevel="0" collapsed="false">
      <c r="A2090" s="219"/>
      <c r="C2090" s="220"/>
      <c r="L2090" s="224"/>
      <c r="N2090" s="221"/>
    </row>
    <row r="2091" customFormat="false" ht="14.25" hidden="false" customHeight="false" outlineLevel="0" collapsed="false">
      <c r="A2091" s="219"/>
      <c r="C2091" s="220"/>
      <c r="L2091" s="224"/>
      <c r="N2091" s="221"/>
    </row>
    <row r="2092" customFormat="false" ht="14.25" hidden="false" customHeight="false" outlineLevel="0" collapsed="false">
      <c r="A2092" s="219"/>
      <c r="C2092" s="220"/>
      <c r="L2092" s="224"/>
      <c r="N2092" s="221"/>
    </row>
    <row r="2093" customFormat="false" ht="14.25" hidden="false" customHeight="false" outlineLevel="0" collapsed="false">
      <c r="A2093" s="219"/>
      <c r="C2093" s="220"/>
      <c r="N2093" s="221"/>
    </row>
    <row r="2094" customFormat="false" ht="14.25" hidden="false" customHeight="false" outlineLevel="0" collapsed="false">
      <c r="A2094" s="219"/>
      <c r="C2094" s="220"/>
      <c r="N2094" s="221"/>
    </row>
    <row r="2095" customFormat="false" ht="14.25" hidden="false" customHeight="false" outlineLevel="0" collapsed="false">
      <c r="A2095" s="219"/>
      <c r="C2095" s="220"/>
      <c r="N2095" s="221"/>
    </row>
    <row r="2096" customFormat="false" ht="14.25" hidden="false" customHeight="false" outlineLevel="0" collapsed="false">
      <c r="A2096" s="219"/>
      <c r="C2096" s="220"/>
      <c r="N2096" s="221"/>
    </row>
    <row r="2097" customFormat="false" ht="14.25" hidden="false" customHeight="false" outlineLevel="0" collapsed="false">
      <c r="A2097" s="219"/>
      <c r="C2097" s="220"/>
      <c r="N2097" s="221"/>
    </row>
    <row r="2098" customFormat="false" ht="14.25" hidden="false" customHeight="false" outlineLevel="0" collapsed="false">
      <c r="A2098" s="219"/>
      <c r="C2098" s="220"/>
      <c r="N2098" s="221"/>
    </row>
    <row r="2099" customFormat="false" ht="14.25" hidden="false" customHeight="false" outlineLevel="0" collapsed="false">
      <c r="A2099" s="219"/>
      <c r="C2099" s="220"/>
      <c r="N2099" s="221"/>
    </row>
    <row r="2100" customFormat="false" ht="14.25" hidden="false" customHeight="false" outlineLevel="0" collapsed="false">
      <c r="A2100" s="219"/>
      <c r="C2100" s="220"/>
      <c r="N2100" s="221"/>
    </row>
    <row r="2101" customFormat="false" ht="14.25" hidden="false" customHeight="false" outlineLevel="0" collapsed="false">
      <c r="A2101" s="219"/>
      <c r="C2101" s="220"/>
      <c r="N2101" s="221"/>
    </row>
    <row r="2102" customFormat="false" ht="14.25" hidden="false" customHeight="false" outlineLevel="0" collapsed="false">
      <c r="A2102" s="219"/>
      <c r="C2102" s="220"/>
      <c r="N2102" s="221"/>
    </row>
    <row r="2103" customFormat="false" ht="14.25" hidden="false" customHeight="false" outlineLevel="0" collapsed="false">
      <c r="A2103" s="219"/>
      <c r="C2103" s="220"/>
      <c r="N2103" s="221"/>
    </row>
    <row r="2104" customFormat="false" ht="14.25" hidden="false" customHeight="false" outlineLevel="0" collapsed="false">
      <c r="A2104" s="219"/>
      <c r="C2104" s="220"/>
      <c r="N2104" s="221"/>
    </row>
    <row r="2105" customFormat="false" ht="14.25" hidden="false" customHeight="false" outlineLevel="0" collapsed="false">
      <c r="A2105" s="219"/>
      <c r="C2105" s="220"/>
      <c r="N2105" s="221"/>
    </row>
    <row r="2106" customFormat="false" ht="14.25" hidden="false" customHeight="false" outlineLevel="0" collapsed="false">
      <c r="A2106" s="219"/>
      <c r="C2106" s="220"/>
      <c r="N2106" s="221"/>
    </row>
    <row r="2107" customFormat="false" ht="14.25" hidden="false" customHeight="false" outlineLevel="0" collapsed="false">
      <c r="A2107" s="219"/>
      <c r="C2107" s="220"/>
      <c r="N2107" s="221"/>
    </row>
    <row r="2108" customFormat="false" ht="14.25" hidden="false" customHeight="false" outlineLevel="0" collapsed="false">
      <c r="A2108" s="219"/>
      <c r="C2108" s="220"/>
      <c r="N2108" s="221"/>
    </row>
    <row r="2109" customFormat="false" ht="14.25" hidden="false" customHeight="false" outlineLevel="0" collapsed="false">
      <c r="A2109" s="219"/>
      <c r="C2109" s="220"/>
      <c r="N2109" s="221"/>
    </row>
    <row r="2110" customFormat="false" ht="14.25" hidden="false" customHeight="false" outlineLevel="0" collapsed="false">
      <c r="A2110" s="219"/>
      <c r="C2110" s="220"/>
      <c r="N2110" s="221"/>
    </row>
    <row r="2111" customFormat="false" ht="14.25" hidden="false" customHeight="false" outlineLevel="0" collapsed="false">
      <c r="A2111" s="219"/>
      <c r="C2111" s="220"/>
      <c r="N2111" s="221"/>
    </row>
    <row r="2112" customFormat="false" ht="14.25" hidden="false" customHeight="false" outlineLevel="0" collapsed="false">
      <c r="A2112" s="219"/>
      <c r="C2112" s="220"/>
      <c r="N2112" s="221"/>
    </row>
    <row r="2113" customFormat="false" ht="14.25" hidden="false" customHeight="false" outlineLevel="0" collapsed="false">
      <c r="A2113" s="219"/>
      <c r="C2113" s="220"/>
      <c r="L2113" s="224"/>
      <c r="N2113" s="221"/>
    </row>
    <row r="2114" customFormat="false" ht="14.25" hidden="false" customHeight="false" outlineLevel="0" collapsed="false">
      <c r="A2114" s="219"/>
      <c r="C2114" s="220"/>
      <c r="L2114" s="224"/>
      <c r="N2114" s="221"/>
    </row>
    <row r="2115" customFormat="false" ht="14.25" hidden="false" customHeight="false" outlineLevel="0" collapsed="false">
      <c r="A2115" s="219"/>
      <c r="C2115" s="220"/>
      <c r="L2115" s="224"/>
      <c r="N2115" s="221"/>
    </row>
    <row r="2116" customFormat="false" ht="14.25" hidden="false" customHeight="false" outlineLevel="0" collapsed="false">
      <c r="A2116" s="219"/>
      <c r="C2116" s="220"/>
      <c r="N2116" s="221"/>
    </row>
    <row r="2117" customFormat="false" ht="14.25" hidden="false" customHeight="false" outlineLevel="0" collapsed="false">
      <c r="A2117" s="219"/>
      <c r="C2117" s="220"/>
      <c r="L2117" s="224"/>
      <c r="N2117" s="221"/>
    </row>
    <row r="2118" customFormat="false" ht="14.25" hidden="false" customHeight="false" outlineLevel="0" collapsed="false">
      <c r="A2118" s="219"/>
      <c r="C2118" s="220"/>
      <c r="N2118" s="221"/>
    </row>
    <row r="2119" customFormat="false" ht="14.25" hidden="false" customHeight="false" outlineLevel="0" collapsed="false">
      <c r="A2119" s="219"/>
      <c r="C2119" s="220"/>
      <c r="N2119" s="221"/>
    </row>
    <row r="2120" customFormat="false" ht="14.25" hidden="false" customHeight="false" outlineLevel="0" collapsed="false">
      <c r="A2120" s="219"/>
      <c r="C2120" s="220"/>
      <c r="N2120" s="221"/>
    </row>
    <row r="2121" customFormat="false" ht="14.25" hidden="false" customHeight="false" outlineLevel="0" collapsed="false">
      <c r="A2121" s="219"/>
      <c r="C2121" s="220"/>
      <c r="M2121" s="224"/>
      <c r="N2121" s="221"/>
    </row>
    <row r="2122" customFormat="false" ht="14.25" hidden="false" customHeight="false" outlineLevel="0" collapsed="false">
      <c r="A2122" s="219"/>
      <c r="C2122" s="220"/>
      <c r="L2122" s="224"/>
      <c r="N2122" s="221"/>
    </row>
    <row r="2123" customFormat="false" ht="14.25" hidden="false" customHeight="false" outlineLevel="0" collapsed="false">
      <c r="A2123" s="219"/>
      <c r="C2123" s="220"/>
      <c r="N2123" s="221"/>
    </row>
    <row r="2124" customFormat="false" ht="14.25" hidden="false" customHeight="false" outlineLevel="0" collapsed="false">
      <c r="A2124" s="219"/>
      <c r="C2124" s="220"/>
      <c r="N2124" s="221"/>
    </row>
    <row r="2125" customFormat="false" ht="14.25" hidden="false" customHeight="false" outlineLevel="0" collapsed="false">
      <c r="A2125" s="219"/>
      <c r="C2125" s="220"/>
      <c r="N2125" s="221"/>
    </row>
    <row r="2126" customFormat="false" ht="14.25" hidden="false" customHeight="false" outlineLevel="0" collapsed="false">
      <c r="A2126" s="219"/>
      <c r="C2126" s="220"/>
      <c r="L2126" s="224"/>
      <c r="N2126" s="221"/>
    </row>
    <row r="2127" customFormat="false" ht="14.25" hidden="false" customHeight="false" outlineLevel="0" collapsed="false">
      <c r="A2127" s="219"/>
      <c r="C2127" s="220"/>
      <c r="N2127" s="221"/>
    </row>
    <row r="2128" customFormat="false" ht="14.25" hidden="false" customHeight="false" outlineLevel="0" collapsed="false">
      <c r="A2128" s="219"/>
      <c r="C2128" s="220"/>
      <c r="M2128" s="224"/>
      <c r="N2128" s="221"/>
    </row>
    <row r="2129" customFormat="false" ht="14.25" hidden="false" customHeight="false" outlineLevel="0" collapsed="false">
      <c r="A2129" s="219"/>
      <c r="C2129" s="220"/>
      <c r="N2129" s="221"/>
    </row>
    <row r="2130" customFormat="false" ht="14.25" hidden="false" customHeight="false" outlineLevel="0" collapsed="false">
      <c r="A2130" s="219"/>
      <c r="C2130" s="220"/>
      <c r="N2130" s="221"/>
    </row>
  </sheetData>
  <autoFilter ref="A1:O25750"/>
  <dataValidations count="1">
    <dataValidation allowBlank="true" errorStyle="stop" operator="between" showDropDown="false" showErrorMessage="true" showInputMessage="true" sqref="O2:O58 D57:E57 O59:O490 O493:O498 O503:O504 O509:O511 O514:O520 O523:O524 O526 O528:O537 O539 O543:O626 O632:O2130" type="list">
      <formula1>'Grupos de Contas'!$A:$A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true" showRowColHeaders="true" showZeros="true" rightToLeft="false" tabSelected="false" showOutlineSymbols="true" defaultGridColor="true" view="normal" topLeftCell="A117" colorId="64" zoomScale="100" zoomScaleNormal="100" zoomScalePageLayoutView="100" workbookViewId="0">
      <selection pane="topLeft" activeCell="A131" activeCellId="1" sqref="O2:O308 A131"/>
    </sheetView>
  </sheetViews>
  <sheetFormatPr defaultColWidth="8.59765625" defaultRowHeight="14.25" zeroHeight="false" outlineLevelRow="0" outlineLevelCol="0"/>
  <cols>
    <col collapsed="false" customWidth="true" hidden="false" outlineLevel="0" max="1" min="1" style="36" width="66"/>
    <col collapsed="false" customWidth="true" hidden="false" outlineLevel="0" max="5" min="5" style="0" width="15.11"/>
    <col collapsed="false" customWidth="true" hidden="false" outlineLevel="0" max="7" min="7" style="0" width="11.55"/>
    <col collapsed="false" customWidth="true" hidden="false" outlineLevel="0" max="17" min="17" style="0" width="10.11"/>
  </cols>
  <sheetData>
    <row r="1" customFormat="false" ht="19.7" hidden="false" customHeight="false" outlineLevel="0" collapsed="false">
      <c r="A1" s="48"/>
    </row>
    <row r="2" customFormat="false" ht="17.35" hidden="false" customHeight="false" outlineLevel="0" collapsed="false">
      <c r="A2" s="64" t="s">
        <v>35</v>
      </c>
    </row>
    <row r="3" customFormat="false" ht="14.25" hidden="false" customHeight="false" outlineLevel="0" collapsed="false">
      <c r="A3" s="73" t="s">
        <v>36</v>
      </c>
    </row>
    <row r="4" customFormat="false" ht="14.25" hidden="false" customHeight="false" outlineLevel="0" collapsed="false">
      <c r="A4" s="73" t="s">
        <v>37</v>
      </c>
    </row>
    <row r="5" customFormat="false" ht="14.25" hidden="false" customHeight="false" outlineLevel="0" collapsed="false">
      <c r="A5" s="73" t="s">
        <v>168</v>
      </c>
    </row>
    <row r="6" customFormat="false" ht="14.25" hidden="false" customHeight="false" outlineLevel="0" collapsed="false">
      <c r="A6" s="73" t="s">
        <v>167</v>
      </c>
    </row>
    <row r="7" customFormat="false" ht="9.75" hidden="false" customHeight="true" outlineLevel="0" collapsed="false">
      <c r="A7" s="48"/>
    </row>
    <row r="8" customFormat="false" ht="17.35" hidden="false" customHeight="false" outlineLevel="0" collapsed="false">
      <c r="A8" s="79" t="s">
        <v>38</v>
      </c>
      <c r="Q8" s="224"/>
    </row>
    <row r="9" customFormat="false" ht="14.25" hidden="false" customHeight="false" outlineLevel="0" collapsed="false">
      <c r="A9" s="85" t="s">
        <v>39</v>
      </c>
    </row>
    <row r="10" customFormat="false" ht="14.25" hidden="false" customHeight="false" outlineLevel="0" collapsed="false">
      <c r="A10" s="89" t="s">
        <v>40</v>
      </c>
      <c r="G10" s="237"/>
      <c r="I10" s="237"/>
      <c r="K10" s="238"/>
    </row>
    <row r="11" customFormat="false" ht="14.25" hidden="false" customHeight="false" outlineLevel="0" collapsed="false">
      <c r="A11" s="89" t="s">
        <v>41</v>
      </c>
      <c r="G11" s="237"/>
      <c r="I11" s="237"/>
      <c r="K11" s="238"/>
    </row>
    <row r="12" customFormat="false" ht="14.25" hidden="false" customHeight="false" outlineLevel="0" collapsed="false">
      <c r="A12" s="89" t="s">
        <v>42</v>
      </c>
      <c r="G12" s="237"/>
      <c r="I12" s="237"/>
      <c r="K12" s="238"/>
    </row>
    <row r="13" customFormat="false" ht="14.25" hidden="false" customHeight="false" outlineLevel="0" collapsed="false">
      <c r="A13" s="89" t="s">
        <v>43</v>
      </c>
      <c r="G13" s="237"/>
      <c r="I13" s="237"/>
      <c r="K13" s="238"/>
    </row>
    <row r="14" customFormat="false" ht="14.25" hidden="false" customHeight="false" outlineLevel="0" collapsed="false">
      <c r="A14" s="85" t="s">
        <v>44</v>
      </c>
      <c r="G14" s="237"/>
      <c r="I14" s="239"/>
      <c r="K14" s="238"/>
    </row>
    <row r="15" customFormat="false" ht="14.25" hidden="false" customHeight="false" outlineLevel="0" collapsed="false">
      <c r="A15" s="89" t="s">
        <v>45</v>
      </c>
      <c r="G15" s="237"/>
      <c r="I15" s="239"/>
      <c r="K15" s="238"/>
    </row>
    <row r="16" customFormat="false" ht="14.25" hidden="false" customHeight="false" outlineLevel="0" collapsed="false">
      <c r="A16" s="89" t="s">
        <v>46</v>
      </c>
      <c r="G16" s="237"/>
      <c r="I16" s="239"/>
      <c r="K16" s="238"/>
    </row>
    <row r="17" customFormat="false" ht="14.25" hidden="false" customHeight="false" outlineLevel="0" collapsed="false">
      <c r="A17" s="89" t="s">
        <v>47</v>
      </c>
      <c r="G17" s="237"/>
      <c r="I17" s="239"/>
      <c r="K17" s="238"/>
    </row>
    <row r="18" customFormat="false" ht="14.25" hidden="false" customHeight="false" outlineLevel="0" collapsed="false">
      <c r="A18" s="89" t="s">
        <v>48</v>
      </c>
      <c r="G18" s="237"/>
      <c r="I18" s="239"/>
      <c r="K18" s="238"/>
    </row>
    <row r="19" customFormat="false" ht="6" hidden="false" customHeight="true" outlineLevel="0" collapsed="false">
      <c r="A19" s="48"/>
      <c r="G19" s="237"/>
      <c r="I19" s="239"/>
      <c r="K19" s="238"/>
    </row>
    <row r="20" customFormat="false" ht="17.35" hidden="false" customHeight="false" outlineLevel="0" collapsed="false">
      <c r="A20" s="79" t="s">
        <v>50</v>
      </c>
      <c r="G20" s="237"/>
      <c r="I20" s="239"/>
      <c r="K20" s="238"/>
    </row>
    <row r="21" customFormat="false" ht="14.25" hidden="false" customHeight="false" outlineLevel="0" collapsed="false">
      <c r="A21" s="85" t="s">
        <v>51</v>
      </c>
      <c r="G21" s="237"/>
      <c r="I21" s="239"/>
      <c r="K21" s="238"/>
    </row>
    <row r="22" customFormat="false" ht="14.25" hidden="false" customHeight="false" outlineLevel="0" collapsed="false">
      <c r="A22" s="89" t="s">
        <v>178</v>
      </c>
    </row>
    <row r="23" customFormat="false" ht="14.25" hidden="false" customHeight="false" outlineLevel="0" collapsed="false">
      <c r="A23" s="89" t="s">
        <v>179</v>
      </c>
    </row>
    <row r="24" customFormat="false" ht="14.25" hidden="false" customHeight="false" outlineLevel="0" collapsed="false">
      <c r="A24" s="89" t="s">
        <v>53</v>
      </c>
      <c r="I24" s="240"/>
    </row>
    <row r="25" customFormat="false" ht="14.25" hidden="false" customHeight="false" outlineLevel="0" collapsed="false">
      <c r="A25" s="89" t="s">
        <v>54</v>
      </c>
      <c r="I25" s="240"/>
    </row>
    <row r="26" customFormat="false" ht="14.25" hidden="false" customHeight="false" outlineLevel="0" collapsed="false">
      <c r="A26" s="85" t="s">
        <v>55</v>
      </c>
    </row>
    <row r="27" customFormat="false" ht="14.25" hidden="false" customHeight="false" outlineLevel="0" collapsed="false">
      <c r="A27" s="89" t="s">
        <v>56</v>
      </c>
      <c r="I27" s="240"/>
    </row>
    <row r="28" customFormat="false" ht="14.25" hidden="false" customHeight="false" outlineLevel="0" collapsed="false">
      <c r="A28" s="89" t="s">
        <v>57</v>
      </c>
      <c r="I28" s="240"/>
    </row>
    <row r="29" customFormat="false" ht="6" hidden="false" customHeight="true" outlineLevel="0" collapsed="false">
      <c r="A29" s="48"/>
    </row>
    <row r="30" customFormat="false" ht="17.35" hidden="false" customHeight="false" outlineLevel="0" collapsed="false">
      <c r="A30" s="79" t="s">
        <v>59</v>
      </c>
      <c r="I30" s="240"/>
    </row>
    <row r="31" customFormat="false" ht="14.25" hidden="false" customHeight="false" outlineLevel="0" collapsed="false">
      <c r="A31" s="106" t="s">
        <v>60</v>
      </c>
      <c r="I31" s="240"/>
    </row>
    <row r="32" customFormat="false" ht="14.25" hidden="false" customHeight="false" outlineLevel="0" collapsed="false">
      <c r="A32" s="89" t="s">
        <v>61</v>
      </c>
    </row>
    <row r="33" customFormat="false" ht="14.25" hidden="false" customHeight="false" outlineLevel="0" collapsed="false">
      <c r="A33" s="89" t="s">
        <v>171</v>
      </c>
    </row>
    <row r="34" customFormat="false" ht="14.25" hidden="false" customHeight="false" outlineLevel="0" collapsed="false">
      <c r="A34" s="89" t="s">
        <v>180</v>
      </c>
    </row>
    <row r="35" customFormat="false" ht="14.25" hidden="false" customHeight="false" outlineLevel="0" collapsed="false">
      <c r="A35" s="89" t="s">
        <v>181</v>
      </c>
    </row>
    <row r="36" customFormat="false" ht="14.25" hidden="false" customHeight="false" outlineLevel="0" collapsed="false">
      <c r="A36" s="89" t="s">
        <v>62</v>
      </c>
      <c r="I36" s="240"/>
    </row>
    <row r="37" customFormat="false" ht="9" hidden="false" customHeight="true" outlineLevel="0" collapsed="false">
      <c r="A37" s="48"/>
      <c r="I37" s="240"/>
    </row>
    <row r="38" customFormat="false" ht="17.35" hidden="false" customHeight="false" outlineLevel="0" collapsed="false">
      <c r="A38" s="79" t="s">
        <v>64</v>
      </c>
    </row>
    <row r="39" customFormat="false" ht="14.25" hidden="false" customHeight="false" outlineLevel="0" collapsed="false">
      <c r="A39" s="106" t="s">
        <v>65</v>
      </c>
      <c r="I39" s="240"/>
    </row>
    <row r="40" customFormat="false" ht="14.25" hidden="false" customHeight="false" outlineLevel="0" collapsed="false">
      <c r="A40" s="89" t="s">
        <v>66</v>
      </c>
      <c r="I40" s="240"/>
    </row>
    <row r="41" customFormat="false" ht="14.25" hidden="false" customHeight="false" outlineLevel="0" collapsed="false">
      <c r="A41" s="89" t="s">
        <v>67</v>
      </c>
    </row>
    <row r="42" customFormat="false" ht="14.25" hidden="false" customHeight="false" outlineLevel="0" collapsed="false">
      <c r="A42" s="89" t="s">
        <v>68</v>
      </c>
    </row>
    <row r="43" customFormat="false" ht="14.25" hidden="false" customHeight="false" outlineLevel="0" collapsed="false">
      <c r="A43" s="89" t="s">
        <v>69</v>
      </c>
    </row>
    <row r="44" customFormat="false" ht="14.25" hidden="false" customHeight="false" outlineLevel="0" collapsed="false">
      <c r="A44" s="89" t="s">
        <v>70</v>
      </c>
    </row>
    <row r="45" customFormat="false" ht="14.25" hidden="false" customHeight="false" outlineLevel="0" collapsed="false">
      <c r="A45" s="89" t="s">
        <v>71</v>
      </c>
    </row>
    <row r="46" customFormat="false" ht="14.25" hidden="false" customHeight="false" outlineLevel="0" collapsed="false">
      <c r="A46" s="89" t="s">
        <v>72</v>
      </c>
    </row>
    <row r="47" customFormat="false" ht="14.25" hidden="false" customHeight="false" outlineLevel="0" collapsed="false">
      <c r="A47" s="89" t="s">
        <v>73</v>
      </c>
    </row>
    <row r="48" customFormat="false" ht="14.25" hidden="false" customHeight="false" outlineLevel="0" collapsed="false">
      <c r="A48" s="89" t="s">
        <v>74</v>
      </c>
    </row>
    <row r="49" customFormat="false" ht="14.25" hidden="false" customHeight="false" outlineLevel="0" collapsed="false">
      <c r="A49" s="89" t="s">
        <v>182</v>
      </c>
    </row>
    <row r="50" customFormat="false" ht="14.25" hidden="false" customHeight="false" outlineLevel="0" collapsed="false">
      <c r="A50" s="89" t="s">
        <v>76</v>
      </c>
    </row>
    <row r="51" customFormat="false" ht="14.25" hidden="false" customHeight="false" outlineLevel="0" collapsed="false">
      <c r="A51" s="89" t="s">
        <v>77</v>
      </c>
    </row>
    <row r="52" customFormat="false" ht="14.25" hidden="false" customHeight="false" outlineLevel="0" collapsed="false">
      <c r="A52" s="89" t="s">
        <v>78</v>
      </c>
    </row>
    <row r="53" customFormat="false" ht="14.25" hidden="false" customHeight="false" outlineLevel="0" collapsed="false">
      <c r="A53" s="89" t="s">
        <v>79</v>
      </c>
    </row>
    <row r="54" customFormat="false" ht="14.25" hidden="false" customHeight="false" outlineLevel="0" collapsed="false">
      <c r="A54" s="89" t="s">
        <v>80</v>
      </c>
    </row>
    <row r="55" customFormat="false" ht="14.25" hidden="false" customHeight="false" outlineLevel="0" collapsed="false">
      <c r="A55" s="89" t="s">
        <v>81</v>
      </c>
    </row>
    <row r="56" customFormat="false" ht="14.25" hidden="false" customHeight="false" outlineLevel="0" collapsed="false">
      <c r="A56" s="89" t="s">
        <v>82</v>
      </c>
    </row>
    <row r="57" customFormat="false" ht="14.25" hidden="false" customHeight="false" outlineLevel="0" collapsed="false">
      <c r="A57" s="89" t="s">
        <v>84</v>
      </c>
    </row>
    <row r="58" customFormat="false" ht="14.25" hidden="false" customHeight="false" outlineLevel="0" collapsed="false">
      <c r="A58" s="89" t="s">
        <v>85</v>
      </c>
    </row>
    <row r="59" customFormat="false" ht="14.25" hidden="false" customHeight="false" outlineLevel="0" collapsed="false">
      <c r="A59" s="89" t="s">
        <v>86</v>
      </c>
    </row>
    <row r="60" customFormat="false" ht="14.25" hidden="false" customHeight="false" outlineLevel="0" collapsed="false">
      <c r="A60" s="89" t="s">
        <v>87</v>
      </c>
    </row>
    <row r="61" customFormat="false" ht="14.25" hidden="false" customHeight="false" outlineLevel="0" collapsed="false">
      <c r="A61" s="89" t="s">
        <v>88</v>
      </c>
    </row>
    <row r="62" customFormat="false" ht="14.25" hidden="false" customHeight="false" outlineLevel="0" collapsed="false">
      <c r="A62" s="89" t="s">
        <v>89</v>
      </c>
    </row>
    <row r="63" customFormat="false" ht="14.25" hidden="false" customHeight="false" outlineLevel="0" collapsed="false">
      <c r="A63" s="89" t="s">
        <v>90</v>
      </c>
    </row>
    <row r="64" customFormat="false" ht="14.25" hidden="false" customHeight="false" outlineLevel="0" collapsed="false">
      <c r="A64" s="89" t="s">
        <v>92</v>
      </c>
    </row>
    <row r="65" customFormat="false" ht="14.25" hidden="false" customHeight="false" outlineLevel="0" collapsed="false">
      <c r="A65" s="89" t="s">
        <v>93</v>
      </c>
    </row>
    <row r="66" customFormat="false" ht="14.25" hidden="false" customHeight="false" outlineLevel="0" collapsed="false">
      <c r="A66" s="89" t="s">
        <v>94</v>
      </c>
    </row>
    <row r="67" customFormat="false" ht="14.25" hidden="false" customHeight="false" outlineLevel="0" collapsed="false">
      <c r="A67" s="89" t="s">
        <v>95</v>
      </c>
    </row>
    <row r="68" customFormat="false" ht="14.25" hidden="false" customHeight="false" outlineLevel="0" collapsed="false">
      <c r="A68" s="89" t="s">
        <v>96</v>
      </c>
    </row>
    <row r="69" customFormat="false" ht="14.25" hidden="false" customHeight="false" outlineLevel="0" collapsed="false">
      <c r="A69" s="89" t="s">
        <v>97</v>
      </c>
    </row>
    <row r="70" customFormat="false" ht="14.25" hidden="false" customHeight="false" outlineLevel="0" collapsed="false">
      <c r="A70" s="106" t="s">
        <v>98</v>
      </c>
    </row>
    <row r="71" customFormat="false" ht="14.25" hidden="false" customHeight="false" outlineLevel="0" collapsed="false">
      <c r="A71" s="89" t="s">
        <v>99</v>
      </c>
    </row>
    <row r="72" customFormat="false" ht="14.25" hidden="false" customHeight="false" outlineLevel="0" collapsed="false">
      <c r="A72" s="89" t="s">
        <v>100</v>
      </c>
    </row>
    <row r="73" customFormat="false" ht="14.25" hidden="false" customHeight="false" outlineLevel="0" collapsed="false">
      <c r="A73" s="89" t="s">
        <v>101</v>
      </c>
    </row>
    <row r="74" customFormat="false" ht="14.25" hidden="false" customHeight="false" outlineLevel="0" collapsed="false">
      <c r="A74" s="89" t="s">
        <v>102</v>
      </c>
    </row>
    <row r="75" customFormat="false" ht="14.25" hidden="false" customHeight="false" outlineLevel="0" collapsed="false">
      <c r="A75" s="89" t="s">
        <v>103</v>
      </c>
    </row>
    <row r="76" customFormat="false" ht="14.25" hidden="false" customHeight="false" outlineLevel="0" collapsed="false">
      <c r="A76" s="89" t="s">
        <v>104</v>
      </c>
    </row>
    <row r="77" customFormat="false" ht="14.25" hidden="false" customHeight="false" outlineLevel="0" collapsed="false">
      <c r="A77" s="89" t="s">
        <v>105</v>
      </c>
    </row>
    <row r="78" customFormat="false" ht="14.25" hidden="false" customHeight="false" outlineLevel="0" collapsed="false">
      <c r="A78" s="89" t="s">
        <v>106</v>
      </c>
    </row>
    <row r="79" customFormat="false" ht="14.25" hidden="false" customHeight="false" outlineLevel="0" collapsed="false">
      <c r="A79" s="89" t="s">
        <v>107</v>
      </c>
    </row>
    <row r="80" customFormat="false" ht="14.25" hidden="false" customHeight="false" outlineLevel="0" collapsed="false">
      <c r="A80" s="89" t="s">
        <v>108</v>
      </c>
    </row>
    <row r="81" customFormat="false" ht="14.25" hidden="false" customHeight="false" outlineLevel="0" collapsed="false">
      <c r="A81" s="89" t="s">
        <v>109</v>
      </c>
    </row>
    <row r="82" customFormat="false" ht="14.25" hidden="false" customHeight="false" outlineLevel="0" collapsed="false">
      <c r="A82" s="89" t="s">
        <v>110</v>
      </c>
    </row>
    <row r="83" customFormat="false" ht="14.25" hidden="false" customHeight="false" outlineLevel="0" collapsed="false">
      <c r="A83" s="89" t="s">
        <v>111</v>
      </c>
    </row>
    <row r="84" customFormat="false" ht="14.25" hidden="false" customHeight="false" outlineLevel="0" collapsed="false">
      <c r="A84" s="89" t="s">
        <v>112</v>
      </c>
    </row>
    <row r="85" customFormat="false" ht="14.25" hidden="false" customHeight="false" outlineLevel="0" collapsed="false">
      <c r="A85" s="89" t="s">
        <v>113</v>
      </c>
    </row>
    <row r="86" customFormat="false" ht="14.25" hidden="false" customHeight="false" outlineLevel="0" collapsed="false">
      <c r="A86" s="89" t="s">
        <v>114</v>
      </c>
    </row>
    <row r="87" customFormat="false" ht="14.25" hidden="false" customHeight="false" outlineLevel="0" collapsed="false">
      <c r="A87" s="89" t="s">
        <v>115</v>
      </c>
    </row>
    <row r="88" customFormat="false" ht="14.25" hidden="false" customHeight="false" outlineLevel="0" collapsed="false">
      <c r="A88" s="106" t="s">
        <v>116</v>
      </c>
    </row>
    <row r="89" customFormat="false" ht="14.25" hidden="false" customHeight="false" outlineLevel="0" collapsed="false">
      <c r="A89" s="89" t="s">
        <v>117</v>
      </c>
    </row>
    <row r="90" customFormat="false" ht="14.25" hidden="false" customHeight="false" outlineLevel="0" collapsed="false">
      <c r="A90" s="89" t="s">
        <v>118</v>
      </c>
    </row>
    <row r="91" customFormat="false" ht="14.25" hidden="false" customHeight="false" outlineLevel="0" collapsed="false">
      <c r="A91" s="89" t="s">
        <v>119</v>
      </c>
    </row>
    <row r="92" customFormat="false" ht="14.25" hidden="false" customHeight="false" outlineLevel="0" collapsed="false">
      <c r="A92" s="89" t="s">
        <v>120</v>
      </c>
    </row>
    <row r="93" customFormat="false" ht="14.25" hidden="false" customHeight="false" outlineLevel="0" collapsed="false">
      <c r="A93" s="106" t="s">
        <v>121</v>
      </c>
    </row>
    <row r="94" customFormat="false" ht="14.25" hidden="false" customHeight="false" outlineLevel="0" collapsed="false">
      <c r="A94" s="89" t="s">
        <v>122</v>
      </c>
    </row>
    <row r="95" customFormat="false" ht="14.25" hidden="false" customHeight="false" outlineLevel="0" collapsed="false">
      <c r="A95" s="89" t="s">
        <v>123</v>
      </c>
    </row>
    <row r="96" customFormat="false" ht="14.25" hidden="false" customHeight="false" outlineLevel="0" collapsed="false">
      <c r="A96" s="89" t="s">
        <v>124</v>
      </c>
    </row>
    <row r="97" customFormat="false" ht="14.25" hidden="false" customHeight="false" outlineLevel="0" collapsed="false">
      <c r="A97" s="89" t="s">
        <v>125</v>
      </c>
    </row>
    <row r="98" customFormat="false" ht="14.25" hidden="false" customHeight="false" outlineLevel="0" collapsed="false">
      <c r="A98" s="89" t="s">
        <v>126</v>
      </c>
    </row>
    <row r="99" customFormat="false" ht="14.25" hidden="false" customHeight="false" outlineLevel="0" collapsed="false">
      <c r="A99" s="89" t="s">
        <v>127</v>
      </c>
    </row>
    <row r="100" customFormat="false" ht="14.25" hidden="false" customHeight="false" outlineLevel="0" collapsed="false">
      <c r="A100" s="89" t="s">
        <v>128</v>
      </c>
    </row>
    <row r="101" customFormat="false" ht="14.25" hidden="false" customHeight="false" outlineLevel="0" collapsed="false">
      <c r="A101" s="89" t="s">
        <v>129</v>
      </c>
    </row>
    <row r="102" customFormat="false" ht="9" hidden="false" customHeight="true" outlineLevel="0" collapsed="false">
      <c r="A102" s="48"/>
    </row>
    <row r="103" customFormat="false" ht="20.85" hidden="false" customHeight="false" outlineLevel="0" collapsed="false">
      <c r="A103" s="79" t="s">
        <v>131</v>
      </c>
    </row>
    <row r="104" customFormat="false" ht="14.25" hidden="false" customHeight="false" outlineLevel="0" collapsed="false">
      <c r="A104" s="106" t="s">
        <v>132</v>
      </c>
    </row>
    <row r="105" customFormat="false" ht="14.25" hidden="false" customHeight="false" outlineLevel="0" collapsed="false">
      <c r="A105" s="117" t="s">
        <v>133</v>
      </c>
    </row>
    <row r="106" customFormat="false" ht="14.25" hidden="false" customHeight="false" outlineLevel="0" collapsed="false">
      <c r="A106" s="117" t="s">
        <v>134</v>
      </c>
    </row>
    <row r="107" customFormat="false" ht="14.25" hidden="false" customHeight="false" outlineLevel="0" collapsed="false">
      <c r="A107" s="117" t="s">
        <v>135</v>
      </c>
    </row>
    <row r="108" customFormat="false" ht="14.25" hidden="false" customHeight="false" outlineLevel="0" collapsed="false">
      <c r="A108" s="89" t="s">
        <v>136</v>
      </c>
    </row>
    <row r="109" customFormat="false" ht="14.25" hidden="false" customHeight="false" outlineLevel="0" collapsed="false">
      <c r="A109" s="89" t="s">
        <v>137</v>
      </c>
    </row>
    <row r="110" customFormat="false" ht="14.25" hidden="false" customHeight="false" outlineLevel="0" collapsed="false">
      <c r="A110" s="89" t="s">
        <v>138</v>
      </c>
    </row>
    <row r="111" customFormat="false" ht="14.25" hidden="false" customHeight="false" outlineLevel="0" collapsed="false">
      <c r="A111" s="89" t="s">
        <v>139</v>
      </c>
    </row>
    <row r="112" customFormat="false" ht="14.25" hidden="false" customHeight="false" outlineLevel="0" collapsed="false">
      <c r="A112" s="106" t="s">
        <v>140</v>
      </c>
    </row>
    <row r="113" customFormat="false" ht="14.25" hidden="false" customHeight="false" outlineLevel="0" collapsed="false">
      <c r="A113" s="89" t="s">
        <v>141</v>
      </c>
    </row>
    <row r="114" customFormat="false" ht="14.25" hidden="false" customHeight="false" outlineLevel="0" collapsed="false">
      <c r="A114" s="89" t="s">
        <v>142</v>
      </c>
    </row>
    <row r="115" customFormat="false" ht="14.25" hidden="false" customHeight="false" outlineLevel="0" collapsed="false">
      <c r="A115" s="89" t="s">
        <v>143</v>
      </c>
    </row>
    <row r="116" customFormat="false" ht="7.5" hidden="false" customHeight="true" outlineLevel="0" collapsed="false">
      <c r="A116" s="48"/>
    </row>
    <row r="117" customFormat="false" ht="20.85" hidden="false" customHeight="false" outlineLevel="0" collapsed="false">
      <c r="A117" s="118" t="s">
        <v>145</v>
      </c>
    </row>
    <row r="118" customFormat="false" ht="14.25" hidden="false" customHeight="false" outlineLevel="0" collapsed="false">
      <c r="A118" s="89" t="s">
        <v>146</v>
      </c>
    </row>
    <row r="119" customFormat="false" ht="14.25" hidden="false" customHeight="false" outlineLevel="0" collapsed="false">
      <c r="A119" s="89" t="s">
        <v>147</v>
      </c>
    </row>
    <row r="120" customFormat="false" ht="14.25" hidden="false" customHeight="false" outlineLevel="0" collapsed="false">
      <c r="A120" s="89" t="s">
        <v>148</v>
      </c>
    </row>
    <row r="121" customFormat="false" ht="14.25" hidden="false" customHeight="false" outlineLevel="0" collapsed="false">
      <c r="A121" s="89" t="s">
        <v>149</v>
      </c>
    </row>
    <row r="122" customFormat="false" ht="14.25" hidden="false" customHeight="false" outlineLevel="0" collapsed="false">
      <c r="A122" s="89" t="s">
        <v>150</v>
      </c>
    </row>
    <row r="123" customFormat="false" ht="14.25" hidden="false" customHeight="false" outlineLevel="0" collapsed="false">
      <c r="A123" s="89" t="s">
        <v>152</v>
      </c>
    </row>
    <row r="124" customFormat="false" ht="14.25" hidden="false" customHeight="false" outlineLevel="0" collapsed="false">
      <c r="A124" s="89" t="s">
        <v>153</v>
      </c>
    </row>
    <row r="125" customFormat="false" ht="14.25" hidden="false" customHeight="false" outlineLevel="0" collapsed="false">
      <c r="A125" s="89" t="s">
        <v>154</v>
      </c>
    </row>
    <row r="126" customFormat="false" ht="14.25" hidden="false" customHeight="false" outlineLevel="0" collapsed="false">
      <c r="A126" s="89" t="s">
        <v>155</v>
      </c>
    </row>
    <row r="127" customFormat="false" ht="14.25" hidden="false" customHeight="false" outlineLevel="0" collapsed="false">
      <c r="A127" s="89" t="s">
        <v>156</v>
      </c>
    </row>
    <row r="128" customFormat="false" ht="14.25" hidden="false" customHeight="false" outlineLevel="0" collapsed="false">
      <c r="A128" s="89" t="s">
        <v>157</v>
      </c>
    </row>
    <row r="129" customFormat="false" ht="14.25" hidden="false" customHeight="false" outlineLevel="0" collapsed="false">
      <c r="A129" s="89" t="s">
        <v>158</v>
      </c>
    </row>
    <row r="130" customFormat="false" ht="14.25" hidden="false" customHeight="false" outlineLevel="0" collapsed="false">
      <c r="A130" s="89" t="s">
        <v>159</v>
      </c>
    </row>
    <row r="131" customFormat="false" ht="14.25" hidden="false" customHeight="false" outlineLevel="0" collapsed="false">
      <c r="A131" s="89" t="s">
        <v>183</v>
      </c>
    </row>
    <row r="132" customFormat="false" ht="14.25" hidden="false" customHeight="false" outlineLevel="0" collapsed="false">
      <c r="A132" s="89" t="s">
        <v>160</v>
      </c>
    </row>
    <row r="133" customFormat="false" ht="14.25" hidden="false" customHeight="false" outlineLevel="0" collapsed="false">
      <c r="A133" s="89" t="s">
        <v>161</v>
      </c>
    </row>
  </sheetData>
  <conditionalFormatting sqref="A103">
    <cfRule type="cellIs" priority="2" operator="lessThan" aboveAverage="0" equalAverage="0" bottom="0" percent="0" rank="0" text="" dxfId="274">
      <formula>0</formula>
    </cfRule>
  </conditionalFormatting>
  <conditionalFormatting sqref="A117">
    <cfRule type="cellIs" priority="3" operator="lessThan" aboveAverage="0" equalAverage="0" bottom="0" percent="0" rank="0" text="" dxfId="275">
      <formula>0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LibreOffice/24.2.4.2$Linux_X86_64 LibreOffice_project/d29029bfb700ea4a272da1366c5f5e7c14e351b5</Application>
  <AppVersion>15.0000</AppVersion>
  <Company>Microsoft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2018-02-02T13:36:03Z</dcterms:created>
  <dc:creator>Unknown Creator</dc:creator>
  <dc:description/>
  <dc:language>en-US</dc:language>
  <cp:lastModifiedBy/>
  <cp:lastPrinted>2024-03-19T16:38:59Z</cp:lastPrinted>
  <dcterms:modified xsi:type="dcterms:W3CDTF">2024-06-26T14:28:49Z</dcterms:modified>
  <cp:revision>1</cp:revision>
  <dc:subject/>
  <dc:title>Untitled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